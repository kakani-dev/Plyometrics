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README" sheetId="2" r:id="rId6"/>
    <sheet name="Ready_84Q_Assessment" sheetId="3" r:id="rId7"/>
    <sheet name="Metric_Scoring_Rules" sheetId="4" r:id="rId8"/>
    <sheet name="Student_Response_Template" sheetId="5" r:id="rId9"/>
    <sheet name="Auto_Score_Summary" sheetId="6" r:id="rId10"/>
    <sheet name="Permutation_AI_Rules" sheetId="7" r:id="rId11"/>
    <sheet name="AI_Logic_Payloads" sheetId="8" r:id="rId12"/>
    <sheet name="Timing_Bands" sheetId="9" r:id="rId13"/>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<sst xmlns="http://schemas.openxmlformats.org/spreadsheetml/2006/main" uniqueCount="2870">
  <si>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</si>
  <si>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</si>
  <si>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</si>
  <si>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</si>
  <si>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t>
  </si>
  <si>
    <t>Table 1</t>
  </si>
  <si>
    <t>NeuroPi Grade 8–12 Compact Psychometric Assessment Pack</t>
  </si>
  <si>
    <t>NeuroPi Compact Assessment Dashboard</t>
  </si>
  <si>
    <t>Purpose</t>
  </si>
  <si>
    <t>Ready-to-use 84-question assessment derived from uploaded 500+ question bank: 3 questions per metric/assessment point.</t>
  </si>
  <si>
    <t>Total Items</t>
  </si>
  <si>
    <t>For IT Team</t>
  </si>
  <si>
    <t>Use Ready_84Q_Assessment as the canonical item bank for MVP/adaptive testing. Use Student_Response_Template and Auto_Score_Summary for scoring logic.</t>
  </si>
  <si>
    <t>Metrics Covered</t>
  </si>
  <si>
    <t>For AI Team</t>
  </si>
  <si>
    <t>Use Metric_Scoring_Rules, Permutation_AI_Rules, and AI_Logic_Payloads to set rules and train/validate recommendation algorithms.</t>
  </si>
  <si>
    <t>Average Score</t>
  </si>
  <si>
    <t>Timing Bands</t>
  </si>
  <si>
    <t>Each question has Low/Moderate/High time thresholds in seconds. High time is a review signal, not a penalty.</t>
  </si>
  <si>
    <t>High-Time Review Count</t>
  </si>
  <si>
    <t>Layers Included</t>
  </si>
  <si>
    <t>RIASEC, Big Five, Cognitive, Emotional, Learning Style, Motivation, Study Habits, Career Clarity, Validity/Readiness.</t>
  </si>
  <si>
    <t>Support Needed Metrics</t>
  </si>
  <si>
    <t>Scale</t>
  </si>
  <si>
    <t>Likert items use 1–5. Cognitive MCQs use correct=1 and incorrect=0. Final metric score is normalized to 0–100.</t>
  </si>
  <si>
    <t>Timing Review Metrics</t>
  </si>
  <si>
    <t>Important</t>
  </si>
  <si>
    <t>This is a developmental guidance assessment, not a diagnostic or deterministic tool.</t>
  </si>
  <si>
    <t>Generated On</t>
  </si>
  <si>
    <t>2026-05-05 07:59</t>
  </si>
  <si>
    <t>Layer</t>
  </si>
  <si>
    <t>Band</t>
  </si>
  <si>
    <t>Additional NeuroPi Indicators</t>
  </si>
  <si>
    <t>Big Five Personality</t>
  </si>
  <si>
    <t>Cognitive Ability</t>
  </si>
  <si>
    <t>Emotional Profile</t>
  </si>
  <si>
    <t>Learning Style</t>
  </si>
  <si>
    <t>RIASEC Interest</t>
  </si>
  <si>
    <t>Validity &amp; Readiness</t>
  </si>
  <si>
    <t>Ready_84Q_Assessment</t>
  </si>
  <si>
    <t>Assessment_QID</t>
  </si>
  <si>
    <t>Source_QID</t>
  </si>
  <si>
    <t>Grade_Band</t>
  </si>
  <si>
    <t>Metric</t>
  </si>
  <si>
    <t>Trait_Code</t>
  </si>
  <si>
    <t>Question_Type</t>
  </si>
  <si>
    <t>Question</t>
  </si>
  <si>
    <t>Option_A</t>
  </si>
  <si>
    <t>Option_B</t>
  </si>
  <si>
    <t>Option_C</t>
  </si>
  <si>
    <t>Option_D</t>
  </si>
  <si>
    <t>Correct_Key</t>
  </si>
  <si>
    <t>Scale_Or_Scoring</t>
  </si>
  <si>
    <t>Reverse_Scored</t>
  </si>
  <si>
    <t>Difficulty</t>
  </si>
  <si>
    <t>Time_Low_Max_Sec</t>
  </si>
  <si>
    <t>Time_Moderate_Max_Sec</t>
  </si>
  <si>
    <t>Time_High_Review_Above_Sec</t>
  </si>
  <si>
    <t>Score_Method</t>
  </si>
  <si>
    <t>Report_Tag</t>
  </si>
  <si>
    <t>Counselor_Note</t>
  </si>
  <si>
    <t>AI_Input_Field</t>
  </si>
  <si>
    <t>Use_In_Adaptive_Test</t>
  </si>
  <si>
    <t>AQ001</t>
  </si>
  <si>
    <t>NPI0001</t>
  </si>
  <si>
    <t>8-12</t>
  </si>
  <si>
    <t>Realistic</t>
  </si>
  <si>
    <t>R</t>
  </si>
  <si>
    <t>Likert</t>
  </si>
  <si>
    <t>I enjoy activities involving building or fixing things.</t>
  </si>
  <si>
    <t>1 Strongly Disagree/Dislike</t>
  </si>
  <si>
    <t>2 Disagree/Dislike</t>
  </si>
  <si>
    <t>3 Neutral/Unsure</t>
  </si>
  <si>
    <t>4 Agree/Like</t>
  </si>
  <si>
    <t>1-5 Likert: 1=Strongly Disagree/Dislike, 5=Strongly Agree/Like</t>
  </si>
  <si>
    <t>No</t>
  </si>
  <si>
    <t>Easy</t>
  </si>
  <si>
    <t>Likert 1-5 normalized; reverse if flagged</t>
  </si>
  <si>
    <t>Realistic Interest</t>
  </si>
  <si>
    <t>Higher response increases interest score.</t>
  </si>
  <si>
    <t>RIASEC Interest::Realistic::R</t>
  </si>
  <si>
    <t>Yes</t>
  </si>
  <si>
    <t>AQ002</t>
  </si>
  <si>
    <t>NPI0009</t>
  </si>
  <si>
    <t>I enjoy activities involving practical experiments.</t>
  </si>
  <si>
    <t>Medium</t>
  </si>
  <si>
    <t>AQ003</t>
  </si>
  <si>
    <t>NPI0002</t>
  </si>
  <si>
    <t>I enjoy activities involving using tools or equipment.</t>
  </si>
  <si>
    <t>AQ004</t>
  </si>
  <si>
    <t>NPI0016</t>
  </si>
  <si>
    <t>Investigative</t>
  </si>
  <si>
    <t>I</t>
  </si>
  <si>
    <t>I enjoy activities involving solving puzzles.</t>
  </si>
  <si>
    <t>Investigative Interest</t>
  </si>
  <si>
    <t>RIASEC Interest::Investigative::I</t>
  </si>
  <si>
    <t>AQ005</t>
  </si>
  <si>
    <t>NPI0024</t>
  </si>
  <si>
    <t>I enjoy activities involving evidence-based decisions.</t>
  </si>
  <si>
    <t>AQ006</t>
  </si>
  <si>
    <t>NPI0017</t>
  </si>
  <si>
    <t>I enjoy activities involving asking why things happen.</t>
  </si>
  <si>
    <t>AQ007</t>
  </si>
  <si>
    <t>NPI0031</t>
  </si>
  <si>
    <t>Artistic</t>
  </si>
  <si>
    <t>A</t>
  </si>
  <si>
    <t>I enjoy activities involving drawing or design.</t>
  </si>
  <si>
    <t>Artistic Interest</t>
  </si>
  <si>
    <t>RIASEC Interest::Artistic::A</t>
  </si>
  <si>
    <t>AQ008</t>
  </si>
  <si>
    <t>NPI0039</t>
  </si>
  <si>
    <t>I enjoy activities involving aesthetic choices.</t>
  </si>
  <si>
    <t>AQ009</t>
  </si>
  <si>
    <t>NPI0032</t>
  </si>
  <si>
    <t>I enjoy activities involving music or performance.</t>
  </si>
  <si>
    <t>AQ010</t>
  </si>
  <si>
    <t>NPI0046</t>
  </si>
  <si>
    <t>Social</t>
  </si>
  <si>
    <t>S</t>
  </si>
  <si>
    <t>I enjoy activities involving helping classmates.</t>
  </si>
  <si>
    <t>Social Interest</t>
  </si>
  <si>
    <t>RIASEC Interest::Social::S</t>
  </si>
  <si>
    <t>AQ011</t>
  </si>
  <si>
    <t>NPI0054</t>
  </si>
  <si>
    <t>I enjoy activities involving understanding feelings.</t>
  </si>
  <si>
    <t>AQ012</t>
  </si>
  <si>
    <t>NPI0047</t>
  </si>
  <si>
    <t>I enjoy activities involving listening to others.</t>
  </si>
  <si>
    <t>AQ013</t>
  </si>
  <si>
    <t>NPI0061</t>
  </si>
  <si>
    <t>Enterprising</t>
  </si>
  <si>
    <t>E</t>
  </si>
  <si>
    <t>I enjoy activities involving leading groups.</t>
  </si>
  <si>
    <t>Enterprising Interest</t>
  </si>
  <si>
    <t>RIASEC Interest::Enterprising::E</t>
  </si>
  <si>
    <t>AQ014</t>
  </si>
  <si>
    <t>NPI0069</t>
  </si>
  <si>
    <t>I enjoy activities involving entrepreneurship.</t>
  </si>
  <si>
    <t>AQ015</t>
  </si>
  <si>
    <t>NPI0062</t>
  </si>
  <si>
    <t>I enjoy activities involving presenting ideas.</t>
  </si>
  <si>
    <t>AQ016</t>
  </si>
  <si>
    <t>NPI0076</t>
  </si>
  <si>
    <t>Conventional</t>
  </si>
  <si>
    <t>C</t>
  </si>
  <si>
    <t>I enjoy activities involving organizing information.</t>
  </si>
  <si>
    <t>Conventional Interest</t>
  </si>
  <si>
    <t>RIASEC Interest::Conventional::C</t>
  </si>
  <si>
    <t>AQ017</t>
  </si>
  <si>
    <t>NPI0084</t>
  </si>
  <si>
    <t>I enjoy activities involving structured routines.</t>
  </si>
  <si>
    <t>AQ018</t>
  </si>
  <si>
    <t>NPI0077</t>
  </si>
  <si>
    <t>I enjoy activities involving working with schedules.</t>
  </si>
  <si>
    <t>AQ019</t>
  </si>
  <si>
    <t>NPI0091</t>
  </si>
  <si>
    <t>Openness</t>
  </si>
  <si>
    <t>I enjoy trying new learning methods.</t>
  </si>
  <si>
    <t>Openness Trait</t>
  </si>
  <si>
    <t>Higher response increases trait score.</t>
  </si>
  <si>
    <t>Big Five Personality::Openness::Openness</t>
  </si>
  <si>
    <t>AQ020</t>
  </si>
  <si>
    <t>NPI0092</t>
  </si>
  <si>
    <t>I enjoy exploring unfamiliar ideas.</t>
  </si>
  <si>
    <t>AQ021</t>
  </si>
  <si>
    <t>NPI0093</t>
  </si>
  <si>
    <t>I enjoy creative assignments.</t>
  </si>
  <si>
    <t>AQ022</t>
  </si>
  <si>
    <t>NPI0116</t>
  </si>
  <si>
    <t>Conscientiousness</t>
  </si>
  <si>
    <t>I complete assignments on time.</t>
  </si>
  <si>
    <t>Conscientiousness Trait</t>
  </si>
  <si>
    <t>Big Five Personality::Conscientiousness::Conscientiousness</t>
  </si>
  <si>
    <t>AQ023</t>
  </si>
  <si>
    <t>NPI0117</t>
  </si>
  <si>
    <t>I plan before important tasks.</t>
  </si>
  <si>
    <t>AQ024</t>
  </si>
  <si>
    <t>NPI0118</t>
  </si>
  <si>
    <t>I keep study materials organized.</t>
  </si>
  <si>
    <t>AQ025</t>
  </si>
  <si>
    <t>NPI0141</t>
  </si>
  <si>
    <t>Extraversion</t>
  </si>
  <si>
    <t>I feel energized working with others.</t>
  </si>
  <si>
    <t>Extraversion Trait</t>
  </si>
  <si>
    <t>Big Five Personality::Extraversion::Extraversion</t>
  </si>
  <si>
    <t>AQ026</t>
  </si>
  <si>
    <t>NPI0142</t>
  </si>
  <si>
    <t>I enjoy group discussions.</t>
  </si>
  <si>
    <t>AQ027</t>
  </si>
  <si>
    <t>NPI0143</t>
  </si>
  <si>
    <t>I like meeting new people.</t>
  </si>
  <si>
    <t>AQ028</t>
  </si>
  <si>
    <t>NPI0166</t>
  </si>
  <si>
    <t>Agreeableness</t>
  </si>
  <si>
    <t>I try to understand others’ feelings.</t>
  </si>
  <si>
    <t>Agreeableness Trait</t>
  </si>
  <si>
    <t>Big Five Personality::Agreeableness::Agreeableness</t>
  </si>
  <si>
    <t>AQ029</t>
  </si>
  <si>
    <t>NPI0167</t>
  </si>
  <si>
    <t>I help classmates when I can.</t>
  </si>
  <si>
    <t>AQ030</t>
  </si>
  <si>
    <t>NPI0168</t>
  </si>
  <si>
    <t>I prefer cooperation over conflict.</t>
  </si>
  <si>
    <t>AQ031</t>
  </si>
  <si>
    <t>NPI0191</t>
  </si>
  <si>
    <t>Neuroticism</t>
  </si>
  <si>
    <t>I feel worried before exams.</t>
  </si>
  <si>
    <t>Neuroticism Trait</t>
  </si>
  <si>
    <t>Big Five Personality::Neuroticism::Neuroticism</t>
  </si>
  <si>
    <t>AQ032</t>
  </si>
  <si>
    <t>NPI0192</t>
  </si>
  <si>
    <t>I get upset when I make mistakes.</t>
  </si>
  <si>
    <t>AQ033</t>
  </si>
  <si>
    <t>NPI0193</t>
  </si>
  <si>
    <t>I feel pressure when people expect a lot.</t>
  </si>
  <si>
    <t>AQ034</t>
  </si>
  <si>
    <t>NPI0216</t>
  </si>
  <si>
    <t>Numerical</t>
  </si>
  <si>
    <t>MCQ</t>
  </si>
  <si>
    <t>What comes next: 3, 6, 9, 12, ?</t>
  </si>
  <si>
    <t>13</t>
  </si>
  <si>
    <t>14</t>
  </si>
  <si>
    <t>15</t>
  </si>
  <si>
    <t>18</t>
  </si>
  <si>
    <t>MCQ: correct=1, incorrect=0</t>
  </si>
  <si>
    <t>MCQ correct=1, incorrect=0</t>
  </si>
  <si>
    <t>Numerical Reasoning</t>
  </si>
  <si>
    <t>Use accuracy and response time where platform allows.</t>
  </si>
  <si>
    <t>Cognitive Ability::Numerical::Numerical</t>
  </si>
  <si>
    <t>AQ035</t>
  </si>
  <si>
    <t>NPI0217</t>
  </si>
  <si>
    <t>If 5 notebooks cost ₹150, one costs:</t>
  </si>
  <si>
    <t>₹20</t>
  </si>
  <si>
    <t>₹25</t>
  </si>
  <si>
    <t>₹30</t>
  </si>
  <si>
    <t>₹35</t>
  </si>
  <si>
    <t>AQ036</t>
  </si>
  <si>
    <t>NPI0218</t>
  </si>
  <si>
    <t>What is 20% of 250?</t>
  </si>
  <si>
    <t>25</t>
  </si>
  <si>
    <t>40</t>
  </si>
  <si>
    <t>50</t>
  </si>
  <si>
    <t>60</t>
  </si>
  <si>
    <t>AQ037</t>
  </si>
  <si>
    <t>NPI0236</t>
  </si>
  <si>
    <t>Logic</t>
  </si>
  <si>
    <t>All roses are flowers. Which is definitely true?</t>
  </si>
  <si>
    <t>All roses fade</t>
  </si>
  <si>
    <t>Some roses fade</t>
  </si>
  <si>
    <t>Roses are flowers</t>
  </si>
  <si>
    <t>No flowers are roses</t>
  </si>
  <si>
    <t>Logic Reasoning</t>
  </si>
  <si>
    <t>Cognitive Ability::Logic::Logic</t>
  </si>
  <si>
    <t>AQ038</t>
  </si>
  <si>
    <t>NPI0237</t>
  </si>
  <si>
    <t>Wednesday + 10 days</t>
  </si>
  <si>
    <t>Friday</t>
  </si>
  <si>
    <t>Saturday</t>
  </si>
  <si>
    <t>Sunday</t>
  </si>
  <si>
    <t>Monday</t>
  </si>
  <si>
    <t>B</t>
  </si>
  <si>
    <t>AQ039</t>
  </si>
  <si>
    <t>NPI0238</t>
  </si>
  <si>
    <t>Odd one: Pen, Pencil, Eraser, Mango</t>
  </si>
  <si>
    <t>Pen</t>
  </si>
  <si>
    <t>Pencil</t>
  </si>
  <si>
    <t>Eraser</t>
  </si>
  <si>
    <t>Mango</t>
  </si>
  <si>
    <t>D</t>
  </si>
  <si>
    <t>AQ040</t>
  </si>
  <si>
    <t>NPI0256</t>
  </si>
  <si>
    <t>Verbal</t>
  </si>
  <si>
    <t>Synonym of brave</t>
  </si>
  <si>
    <t>Fearful</t>
  </si>
  <si>
    <t>Courageous</t>
  </si>
  <si>
    <t>Lazy</t>
  </si>
  <si>
    <t>Confused</t>
  </si>
  <si>
    <t>Verbal Reasoning</t>
  </si>
  <si>
    <t>Cognitive Ability::Verbal::Verbal</t>
  </si>
  <si>
    <t>AQ041</t>
  </si>
  <si>
    <t>NPI0257</t>
  </si>
  <si>
    <t>Antonym of expand</t>
  </si>
  <si>
    <t>Grow</t>
  </si>
  <si>
    <t>Increase</t>
  </si>
  <si>
    <t>Shrink</t>
  </si>
  <si>
    <t>Open</t>
  </si>
  <si>
    <t>AQ042</t>
  </si>
  <si>
    <t>NPI0258</t>
  </si>
  <si>
    <t>Library: people ___ books</t>
  </si>
  <si>
    <t>eat</t>
  </si>
  <si>
    <t>borrow</t>
  </si>
  <si>
    <t>sleep</t>
  </si>
  <si>
    <t>throw</t>
  </si>
  <si>
    <t>AQ043</t>
  </si>
  <si>
    <t>NPI0276</t>
  </si>
  <si>
    <t>Abstract</t>
  </si>
  <si>
    <t>▲ ● ▲ ● ?</t>
  </si>
  <si>
    <t>▲</t>
  </si>
  <si>
    <t>●</t>
  </si>
  <si>
    <t>■</t>
  </si>
  <si>
    <t>◆</t>
  </si>
  <si>
    <t>Abstract Reasoning</t>
  </si>
  <si>
    <t>Cognitive Ability::Abstract::Abstract</t>
  </si>
  <si>
    <t>AQ044</t>
  </si>
  <si>
    <t>NPI0277</t>
  </si>
  <si>
    <t>A,C,E,G,?</t>
  </si>
  <si>
    <t>H</t>
  </si>
  <si>
    <t>J</t>
  </si>
  <si>
    <t>K</t>
  </si>
  <si>
    <t>AQ045</t>
  </si>
  <si>
    <t>NPI0278</t>
  </si>
  <si>
    <t>1,2,4,8,?</t>
  </si>
  <si>
    <t>10</t>
  </si>
  <si>
    <t>12</t>
  </si>
  <si>
    <t>16</t>
  </si>
  <si>
    <t>AQ046</t>
  </si>
  <si>
    <t>NPI0296</t>
  </si>
  <si>
    <t>Spatial</t>
  </si>
  <si>
    <t>Cube has 6 faces. One painted, unpainted</t>
  </si>
  <si>
    <t>4</t>
  </si>
  <si>
    <t>5</t>
  </si>
  <si>
    <t>6</t>
  </si>
  <si>
    <t>7</t>
  </si>
  <si>
    <t>Spatial Reasoning</t>
  </si>
  <si>
    <t>Cognitive Ability::Spatial::Spatial</t>
  </si>
  <si>
    <t>AQ047</t>
  </si>
  <si>
    <t>NPI0297</t>
  </si>
  <si>
    <t>Shape with 4 equal sides</t>
  </si>
  <si>
    <t>Rectangle</t>
  </si>
  <si>
    <t>Square</t>
  </si>
  <si>
    <t>Triangle</t>
  </si>
  <si>
    <t>Circle</t>
  </si>
  <si>
    <t>AQ048</t>
  </si>
  <si>
    <t>NPI0298</t>
  </si>
  <si>
    <t>Rotated triangle remains</t>
  </si>
  <si>
    <t>Line</t>
  </si>
  <si>
    <t>AQ049</t>
  </si>
  <si>
    <t>NPI0316</t>
  </si>
  <si>
    <t>Stress</t>
  </si>
  <si>
    <t>I feel tense before exams.</t>
  </si>
  <si>
    <t>Stress Indicator</t>
  </si>
  <si>
    <t>Interpret with student interview and context.</t>
  </si>
  <si>
    <t>Emotional Profile::Stress::Stress</t>
  </si>
  <si>
    <t>AQ050</t>
  </si>
  <si>
    <t>NPI0317</t>
  </si>
  <si>
    <t>I feel overwhelmed by workload.</t>
  </si>
  <si>
    <t>AQ051</t>
  </si>
  <si>
    <t>NPI0318</t>
  </si>
  <si>
    <t>I worry about marks after studying.</t>
  </si>
  <si>
    <t>AQ052</t>
  </si>
  <si>
    <t>NPI0336</t>
  </si>
  <si>
    <t>Confidence</t>
  </si>
  <si>
    <t>I believe I can improve.</t>
  </si>
  <si>
    <t>Confidence Indicator</t>
  </si>
  <si>
    <t>Emotional Profile::Confidence::Confidence</t>
  </si>
  <si>
    <t>AQ053</t>
  </si>
  <si>
    <t>NPI0337</t>
  </si>
  <si>
    <t>I feel confident asking doubts.</t>
  </si>
  <si>
    <t>AQ054</t>
  </si>
  <si>
    <t>NPI0338</t>
  </si>
  <si>
    <t>I trust my ability to learn.</t>
  </si>
  <si>
    <t>AQ055</t>
  </si>
  <si>
    <t>NPI0356</t>
  </si>
  <si>
    <t>Resilience</t>
  </si>
  <si>
    <t>I try again after failure.</t>
  </si>
  <si>
    <t>Resilience Indicator</t>
  </si>
  <si>
    <t>Emotional Profile::Resilience::Resilience</t>
  </si>
  <si>
    <t>AQ056</t>
  </si>
  <si>
    <t>NPI0357</t>
  </si>
  <si>
    <t>I learn from mistakes.</t>
  </si>
  <si>
    <t>AQ057</t>
  </si>
  <si>
    <t>NPI0358</t>
  </si>
  <si>
    <t>I keep going when difficult.</t>
  </si>
  <si>
    <t>AQ058</t>
  </si>
  <si>
    <t>NPI0376</t>
  </si>
  <si>
    <t>Coping</t>
  </si>
  <si>
    <t>I make a plan when stressed.</t>
  </si>
  <si>
    <t>Coping Indicator</t>
  </si>
  <si>
    <t>Emotional Profile::Coping::Coping</t>
  </si>
  <si>
    <t>AQ059</t>
  </si>
  <si>
    <t>NPI0377</t>
  </si>
  <si>
    <t>I talk to someone trusted.</t>
  </si>
  <si>
    <t>AQ060</t>
  </si>
  <si>
    <t>NPI0378</t>
  </si>
  <si>
    <t>I use breaks to refresh.</t>
  </si>
  <si>
    <t>AQ061</t>
  </si>
  <si>
    <t>NPI0396</t>
  </si>
  <si>
    <t>Visual</t>
  </si>
  <si>
    <t>I learn well through diagrams or charts.</t>
  </si>
  <si>
    <t>Visual Learning</t>
  </si>
  <si>
    <t>Preference, not fixed label.</t>
  </si>
  <si>
    <t>Learning Style::Visual::Visual</t>
  </si>
  <si>
    <t>AQ062</t>
  </si>
  <si>
    <t>NPI0397</t>
  </si>
  <si>
    <t>I learn well through mind maps.</t>
  </si>
  <si>
    <t>AQ063</t>
  </si>
  <si>
    <t>NPI0398</t>
  </si>
  <si>
    <t>I learn well through pictures or visual examples.</t>
  </si>
  <si>
    <t>AQ064</t>
  </si>
  <si>
    <t>NPI0411</t>
  </si>
  <si>
    <t>Auditory</t>
  </si>
  <si>
    <t>I learn well through spoken explanations.</t>
  </si>
  <si>
    <t>Auditory Learning</t>
  </si>
  <si>
    <t>Learning Style::Auditory::Auditory</t>
  </si>
  <si>
    <t>AQ065</t>
  </si>
  <si>
    <t>NPI0412</t>
  </si>
  <si>
    <t>I learn well through class discussions.</t>
  </si>
  <si>
    <t>AQ066</t>
  </si>
  <si>
    <t>NPI0413</t>
  </si>
  <si>
    <t>I learn well through lectures or audio.</t>
  </si>
  <si>
    <t>AQ067</t>
  </si>
  <si>
    <t>NPI0426</t>
  </si>
  <si>
    <t>Kinesthetic</t>
  </si>
  <si>
    <t>I learn well through doing activities.</t>
  </si>
  <si>
    <t>Kinesthetic Learning</t>
  </si>
  <si>
    <t>Learning Style::Kinesthetic::Kinesthetic</t>
  </si>
  <si>
    <t>AQ068</t>
  </si>
  <si>
    <t>NPI0427</t>
  </si>
  <si>
    <t>I learn well through experiments.</t>
  </si>
  <si>
    <t>AQ069</t>
  </si>
  <si>
    <t>NPI0428</t>
  </si>
  <si>
    <t>I learn well through physical practice.</t>
  </si>
  <si>
    <t>AQ070</t>
  </si>
  <si>
    <t>NPI0441</t>
  </si>
  <si>
    <t>ReadingWriting</t>
  </si>
  <si>
    <t>I learn well through textbooks and notes.</t>
  </si>
  <si>
    <t>ReadingWriting Learning</t>
  </si>
  <si>
    <t>Learning Style::ReadingWriting::ReadingWriting</t>
  </si>
  <si>
    <t>AQ071</t>
  </si>
  <si>
    <t>NPI0442</t>
  </si>
  <si>
    <t>I learn well through writing summaries.</t>
  </si>
  <si>
    <t>AQ072</t>
  </si>
  <si>
    <t>NPI0443</t>
  </si>
  <si>
    <t>I learn well through reading instructions.</t>
  </si>
  <si>
    <t>AQ073</t>
  </si>
  <si>
    <t>NPI0456</t>
  </si>
  <si>
    <t>Motivation</t>
  </si>
  <si>
    <t>I know why studies matter.</t>
  </si>
  <si>
    <t>Supports action planning.</t>
  </si>
  <si>
    <t>Additional NeuroPi Indicators::Motivation::Motivation</t>
  </si>
  <si>
    <t>AQ074</t>
  </si>
  <si>
    <t>NPI0457</t>
  </si>
  <si>
    <t>I feel motivated by progress.</t>
  </si>
  <si>
    <t>AQ075</t>
  </si>
  <si>
    <t>NPI0458</t>
  </si>
  <si>
    <t>I set goals.</t>
  </si>
  <si>
    <t>AQ076</t>
  </si>
  <si>
    <t>NPI0476</t>
  </si>
  <si>
    <t>StudyHabits</t>
  </si>
  <si>
    <t>I study regularly.</t>
  </si>
  <si>
    <t>Additional NeuroPi Indicators::StudyHabits::StudyHabits</t>
  </si>
  <si>
    <t>AQ077</t>
  </si>
  <si>
    <t>NPI0477</t>
  </si>
  <si>
    <t>I revise after class.</t>
  </si>
  <si>
    <t>AQ078</t>
  </si>
  <si>
    <t>NPI0478</t>
  </si>
  <si>
    <t>I keep a weekly plan.</t>
  </si>
  <si>
    <t>AQ079</t>
  </si>
  <si>
    <t>NPI0496</t>
  </si>
  <si>
    <t>CareerClarity</t>
  </si>
  <si>
    <t>I explored career options.</t>
  </si>
  <si>
    <t>Additional NeuroPi Indicators::CareerClarity::CareerClarity</t>
  </si>
  <si>
    <t>AQ080</t>
  </si>
  <si>
    <t>NPI0497</t>
  </si>
  <si>
    <t>I know subjects linked to goals.</t>
  </si>
  <si>
    <t>AQ081</t>
  </si>
  <si>
    <t>NPI0498</t>
  </si>
  <si>
    <t>I know my strengths and interests.</t>
  </si>
  <si>
    <t>AQ082</t>
  </si>
  <si>
    <t>NPI0516</t>
  </si>
  <si>
    <t>Validity</t>
  </si>
  <si>
    <t>I answered these questions honestly.</t>
  </si>
  <si>
    <t>Quality check only.</t>
  </si>
  <si>
    <t>Validity &amp; Readiness::Validity::Validity</t>
  </si>
  <si>
    <t>AQ083</t>
  </si>
  <si>
    <t>NPI0517</t>
  </si>
  <si>
    <t>I read each question carefully before answering.</t>
  </si>
  <si>
    <t>AQ084</t>
  </si>
  <si>
    <t>NPI0518</t>
  </si>
  <si>
    <t>I selected random answers without reading.</t>
  </si>
  <si>
    <t>Metric_Scoring_Rules</t>
  </si>
  <si>
    <t>Questions_Used</t>
  </si>
  <si>
    <t>Source_QIDs</t>
  </si>
  <si>
    <t>Response_Type</t>
  </si>
  <si>
    <t>Raw_Score_Range</t>
  </si>
  <si>
    <t>Normalized_Score_Formula</t>
  </si>
  <si>
    <t>Low_Band</t>
  </si>
  <si>
    <t>Moderate_Band</t>
  </si>
  <si>
    <t>High_Band</t>
  </si>
  <si>
    <t>Timing_Rule</t>
  </si>
  <si>
    <t>AI_Interpretation</t>
  </si>
  <si>
    <t>I explored career options. | I know subjects linked to goals. | I know my strengths and interests.</t>
  </si>
  <si>
    <t>NPI0496, NPI0497, NPI0498</t>
  </si>
  <si>
    <t>3-15</t>
  </si>
  <si>
    <t>((sum_adjusted_likert - 3) / 12) * 100</t>
  </si>
  <si>
    <t>0-39</t>
  </si>
  <si>
    <t>40-69</t>
  </si>
  <si>
    <t>70-100</t>
  </si>
  <si>
    <t>High time in 2+ questions = review flag</t>
  </si>
  <si>
    <t>Additional NeuroPi indicator for readiness, habits, motivation or validity.</t>
  </si>
  <si>
    <t>I know why studies matter. | I feel motivated by progress. | I set goals.</t>
  </si>
  <si>
    <t>NPI0456, NPI0457, NPI0458</t>
  </si>
  <si>
    <t>I study regularly. | I revise after class. | I keep a weekly plan.</t>
  </si>
  <si>
    <t>NPI0476, NPI0477, NPI0478</t>
  </si>
  <si>
    <t>I try to understand others’ feelings. | I help classmates when I can. | I prefer cooperation over conflict.</t>
  </si>
  <si>
    <t>NPI0166, NPI0167, NPI0168</t>
  </si>
  <si>
    <t>How does the student behave? Measures personality tendency for counseling interpretation.</t>
  </si>
  <si>
    <t>I complete assignments on time. | I plan before important tasks. | I keep study materials organized.</t>
  </si>
  <si>
    <t>NPI0116, NPI0117, NPI0118</t>
  </si>
  <si>
    <t>I feel energized working with others. | I enjoy group discussions. | I like meeting new people.</t>
  </si>
  <si>
    <t>NPI0141, NPI0142, NPI0143</t>
  </si>
  <si>
    <t>I feel worried before exams. | I get upset when I make mistakes. | I feel pressure when people expect a lot.</t>
  </si>
  <si>
    <t>NPI0191, NPI0192, NPI0193</t>
  </si>
  <si>
    <t>I enjoy trying new learning methods. | I enjoy exploring unfamiliar ideas. | I enjoy creative assignments.</t>
  </si>
  <si>
    <t>NPI0091, NPI0092, NPI0093</t>
  </si>
  <si>
    <t>▲ ● ▲ ● ? | A,C,E,G,? | 1,2,4,8,?</t>
  </si>
  <si>
    <t>NPI0276, NPI0277, NPI0278</t>
  </si>
  <si>
    <t>0-3</t>
  </si>
  <si>
    <t>(correct_count / 3) * 100</t>
  </si>
  <si>
    <t>Can the student do it? Measures performance/ability in this cognitive metric.</t>
  </si>
  <si>
    <t>All roses are flowers. Which is definitely true? | Wednesday + 10 days | Odd one: Pen, Pencil, Eraser, Mango</t>
  </si>
  <si>
    <t>NPI0236, NPI0237, NPI0238</t>
  </si>
  <si>
    <t>What comes next: 3, 6, 9, 12, ? | If 5 notebooks cost ₹150, one costs: | What is 20% of 250?</t>
  </si>
  <si>
    <t>NPI0216, NPI0217, NPI0218</t>
  </si>
  <si>
    <t>Cube has 6 faces. One painted, unpainted | Shape with 4 equal sides | Rotated triangle remains</t>
  </si>
  <si>
    <t>NPI0296, NPI0297, NPI0298</t>
  </si>
  <si>
    <t>Synonym of brave | Antonym of expand | Library: people ___ books</t>
  </si>
  <si>
    <t>NPI0256, NPI0257, NPI0258</t>
  </si>
  <si>
    <t>I believe I can improve. | I feel confident asking doubts. | I trust my ability to learn.</t>
  </si>
  <si>
    <t>NPI0336, NPI0337, NPI0338</t>
  </si>
  <si>
    <t>Will the student sustain it? Measures stress, confidence, resilience and coping patterns.</t>
  </si>
  <si>
    <t>I make a plan when stressed. | I talk to someone trusted. | I use breaks to refresh.</t>
  </si>
  <si>
    <t>NPI0376, NPI0377, NPI0378</t>
  </si>
  <si>
    <t>I try again after failure. | I learn from mistakes. | I keep going when difficult.</t>
  </si>
  <si>
    <t>NPI0356, NPI0357, NPI0358</t>
  </si>
  <si>
    <t>I feel tense before exams. | I feel overwhelmed by workload. | I worry about marks after studying.</t>
  </si>
  <si>
    <t>NPI0316, NPI0317, NPI0318</t>
  </si>
  <si>
    <t>I learn well through spoken explanations. | I learn well through class discussions. | I learn well through lectures or audio.</t>
  </si>
  <si>
    <t>NPI0411, NPI0412, NPI0413</t>
  </si>
  <si>
    <t>How does the student learn best? Used for study strategy recommendations.</t>
  </si>
  <si>
    <t>I learn well through doing activities. | I learn well through experiments. | I learn well through physical practice.</t>
  </si>
  <si>
    <t>NPI0426, NPI0427, NPI0428</t>
  </si>
  <si>
    <t>I learn well through textbooks and notes. | I learn well through writing summaries. | I learn well through reading instructions.</t>
  </si>
  <si>
    <t>NPI0441, NPI0442, NPI0443</t>
  </si>
  <si>
    <t>I learn well through diagrams or charts. | I learn well through mind maps. | I learn well through pictures or visual examples.</t>
  </si>
  <si>
    <t>NPI0396, NPI0397, NPI0398</t>
  </si>
  <si>
    <t>I enjoy activities involving drawing or design. | I enjoy activities involving aesthetic choices. | I enjoy activities involving music or performance.</t>
  </si>
  <si>
    <t>NPI0031, NPI0039, NPI0032</t>
  </si>
  <si>
    <t>What does the student like? Measures career-interest pull toward this RIASEC type.</t>
  </si>
  <si>
    <t>I enjoy activities involving organizing information. | I enjoy activities involving structured routines. | I enjoy activities involving working with schedules.</t>
  </si>
  <si>
    <t>NPI0076, NPI0084, NPI0077</t>
  </si>
  <si>
    <t>I enjoy activities involving leading groups. | I enjoy activities involving entrepreneurship. | I enjoy activities involving presenting ideas.</t>
  </si>
  <si>
    <t>NPI0061, NPI0069, NPI0062</t>
  </si>
  <si>
    <t>I enjoy activities involving solving puzzles. | I enjoy activities involving evidence-based decisions. | I enjoy activities involving asking why things happen.</t>
  </si>
  <si>
    <t>NPI0016, NPI0024, NPI0017</t>
  </si>
  <si>
    <t>I enjoy activities involving building or fixing things. | I enjoy activities involving practical experiments. | I enjoy activities involving using tools or equipment.</t>
  </si>
  <si>
    <t>NPI0001, NPI0009, NPI0002</t>
  </si>
  <si>
    <t>I enjoy activities involving helping classmates. | I enjoy activities involving understanding feelings. | I enjoy activities involving listening to others.</t>
  </si>
  <si>
    <t>NPI0046, NPI0054, NPI0047</t>
  </si>
  <si>
    <t>I answered these questions honestly. | I read each question carefully before answering. | I selected random answers without reading.</t>
  </si>
  <si>
    <t>NPI0516, NPI0517, NPI0518</t>
  </si>
  <si>
    <t>Student_Response_Template</t>
  </si>
  <si>
    <t>Student_ID</t>
  </si>
  <si>
    <t>Response</t>
  </si>
  <si>
    <t>Response_Time_Sec</t>
  </si>
  <si>
    <t>Auto_Score_0_100</t>
  </si>
  <si>
    <t>Time_Band</t>
  </si>
  <si>
    <t>Review_Flag</t>
  </si>
  <si>
    <t>Time_Low_Max</t>
  </si>
  <si>
    <t>Time_Moderate_Max</t>
  </si>
  <si>
    <t>Time_High_Above</t>
  </si>
  <si>
    <t>Auto_Score_Summary</t>
  </si>
  <si>
    <t>Average_Score_0_100</t>
  </si>
  <si>
    <t>Avg_Time_Sec</t>
  </si>
  <si>
    <t>High_Time_Count</t>
  </si>
  <si>
    <t>AI_Flag</t>
  </si>
  <si>
    <t>Interpretation</t>
  </si>
  <si>
    <t>Dashboard formulas are in README.</t>
  </si>
  <si>
    <t>CareerClarity developmental support indicator.</t>
  </si>
  <si>
    <t>Motivation developmental support indicator.</t>
  </si>
  <si>
    <t>StudyHabits developmental support indicator.</t>
  </si>
  <si>
    <t>Agreeableness personality tendency.</t>
  </si>
  <si>
    <t>Conscientiousness personality tendency.</t>
  </si>
  <si>
    <t>Extraversion personality tendency.</t>
  </si>
  <si>
    <t>Neuroticism personality tendency.</t>
  </si>
  <si>
    <t>Openness personality tendency.</t>
  </si>
  <si>
    <t>Abstract cognitive performance.</t>
  </si>
  <si>
    <t>Logic cognitive performance.</t>
  </si>
  <si>
    <t>Numerical cognitive performance.</t>
  </si>
  <si>
    <t>Spatial cognitive performance.</t>
  </si>
  <si>
    <t>Verbal cognitive performance.</t>
  </si>
  <si>
    <t>Confidence emotional sustainability indicator.</t>
  </si>
  <si>
    <t>Coping emotional sustainability indicator.</t>
  </si>
  <si>
    <t>Resilience emotional sustainability indicator.</t>
  </si>
  <si>
    <t>Stress emotional sustainability indicator.</t>
  </si>
  <si>
    <t>Auditory developmental support indicator.</t>
  </si>
  <si>
    <t>Kinesthetic developmental support indicator.</t>
  </si>
  <si>
    <t>ReadingWriting developmental support indicator.</t>
  </si>
  <si>
    <t>Visual developmental support indicator.</t>
  </si>
  <si>
    <t>Artistic interest level for career direction.</t>
  </si>
  <si>
    <t>Conventional interest level for career direction.</t>
  </si>
  <si>
    <t>Enterprising interest level for career direction.</t>
  </si>
  <si>
    <t>Investigative interest level for career direction.</t>
  </si>
  <si>
    <t>Realistic interest level for career direction.</t>
  </si>
  <si>
    <t>Social interest level for career direction.</t>
  </si>
  <si>
    <t>Validity developmental support indicator.</t>
  </si>
  <si>
    <t>Permutation_AI_Rules</t>
  </si>
  <si>
    <t>Profile_Code</t>
  </si>
  <si>
    <t>RIASEC_Code</t>
  </si>
  <si>
    <t>RIASEC_Dominant</t>
  </si>
  <si>
    <t>Big5_Dominant</t>
  </si>
  <si>
    <t>Cognitive_Band</t>
  </si>
  <si>
    <t>Emotional_Band</t>
  </si>
  <si>
    <t>Learning_Style</t>
  </si>
  <si>
    <t>Recommended_Action</t>
  </si>
  <si>
    <t>Counselor_Flag</t>
  </si>
  <si>
    <t>Priority</t>
  </si>
  <si>
    <t>NP-P0001</t>
  </si>
  <si>
    <t>Low</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</si>
  <si>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diagrams, flowcharts, mind maps and visual examples.</t>
  </si>
  <si>
    <t>Start with foundation-building and low-pressure exposure before confirming pathways in Engineering, technology, manufacturing, robotics, defence technical roles.</t>
  </si>
  <si>
    <t>Emotional Support, Academic Foundation</t>
  </si>
  <si>
    <t>High</t>
  </si>
  <si>
    <t>NP-P0002</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</si>
  <si>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explanations, discussion, repetition and oral summaries.</t>
  </si>
  <si>
    <t>NP-P0003</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</si>
  <si>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practice, projects, labs and hands-on activities.</t>
  </si>
  <si>
    <t>NP-P0004</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</si>
  <si>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notes, summaries, reading plans and written reflection.</t>
  </si>
  <si>
    <t>NP-P0005</t>
  </si>
  <si>
    <t>Moderate</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</si>
  <si>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diagrams, flowcharts, mind maps and visual examples.</t>
  </si>
  <si>
    <t>Academic Foundation</t>
  </si>
  <si>
    <t>NP-P0006</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</si>
  <si>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explanations, discussion, repetition and oral summaries.</t>
  </si>
  <si>
    <t>NP-P0007</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</si>
  <si>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practice, projects, labs and hands-on activities.</t>
  </si>
  <si>
    <t>NP-P0008</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</si>
  <si>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notes, summaries, reading plans and written reflection.</t>
  </si>
  <si>
    <t>NP-P0009</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</si>
  <si>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diagrams, flowcharts, mind maps and visual examples.</t>
  </si>
  <si>
    <t>Normal</t>
  </si>
  <si>
    <t>NP-P0010</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</si>
  <si>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explanations, discussion, repetition and oral summaries.</t>
  </si>
  <si>
    <t>NP-P0011</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</si>
  <si>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practice, projects, labs and hands-on activities.</t>
  </si>
  <si>
    <t>NP-P0012</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</si>
  <si>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notes, summaries, reading plans and written reflection.</t>
  </si>
  <si>
    <t>NP-P0013</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</si>
  <si>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diagrams, flowcharts, mind maps and visual examples.</t>
  </si>
  <si>
    <t>Use a 90-day exploration plan for Engineering, technology, manufacturing, robotics, defence technical roles and review confidence/clarity.</t>
  </si>
  <si>
    <t>Emotional Support</t>
  </si>
  <si>
    <t>NP-P0014</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</si>
  <si>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explanations, discussion, repetition and oral summaries.</t>
  </si>
  <si>
    <t>NP-P0015</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</si>
  <si>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practice, projects, labs and hands-on activities.</t>
  </si>
  <si>
    <t>NP-P0016</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</si>
  <si>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notes, summaries, reading plans and written reflection.</t>
  </si>
  <si>
    <t>NP-P0017</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</si>
  <si>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Openness; give exploration projects and creative problem-solving choices. Learning strategy: use diagrams, flowcharts, mind maps and visual examples.</t>
  </si>
  <si>
    <t>None</t>
  </si>
  <si>
    <t>NP-P0018</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</si>
  <si>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Openness; give exploration projects and creative problem-solving choices. Learning strategy: use explanations, discussion, repetition and oral summaries.</t>
  </si>
  <si>
    <t>NP-P0019</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</si>
  <si>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Openness; give exploration projects and creative problem-solving choices. Learning strategy: use practice, projects, labs and hands-on activities.</t>
  </si>
  <si>
    <t>NP-P0020</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</si>
  <si>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Openness; give exploration projects and creative problem-solving choices. Learning strategy: use notes, summaries, reading plans and written reflection.</t>
  </si>
  <si>
    <t>NP-P0021</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</si>
  <si>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diagrams, flowcharts, mind maps and visual examples.</t>
  </si>
  <si>
    <t>Explore Engineering, technology, manufacturing, robotics, defence technical roles with skill-building projects and guided exposure.</t>
  </si>
  <si>
    <t>NP-P0022</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</si>
  <si>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explanations, discussion, repetition and oral summaries.</t>
  </si>
  <si>
    <t>NP-P0023</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</si>
  <si>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practice, projects, labs and hands-on activities.</t>
  </si>
  <si>
    <t>NP-P0024</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</si>
  <si>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notes, summaries, reading plans and written reflection.</t>
  </si>
  <si>
    <t>NP-P0025</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</si>
  <si>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diagrams, flowcharts, mind maps and visual examples.</t>
  </si>
  <si>
    <t>Potential is high for Engineering, technology, manufacturing, robotics, defence technical roles, but emotional support and stress plan must come first.</t>
  </si>
  <si>
    <t>NP-P0026</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</si>
  <si>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explanations, discussion, repetition and oral summaries.</t>
  </si>
  <si>
    <t>NP-P0027</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</si>
  <si>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practice, projects, labs and hands-on activities.</t>
  </si>
  <si>
    <t>NP-P0028</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</si>
  <si>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notes, summaries, reading plans and written reflection.</t>
  </si>
  <si>
    <t>NP-P0029</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</si>
  <si>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Openness; give exploration projects and creative problem-solving choices. Learning strategy: use diagrams, flowcharts, mind maps and visual examples.</t>
  </si>
  <si>
    <t>Proceed with strong-fit pathways in Engineering, technology, manufacturing, robotics, defence technical roles; add enrichment and mentorship.</t>
  </si>
  <si>
    <t>NP-P0030</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</si>
  <si>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Openness; give exploration projects and creative problem-solving choices. Learning strategy: use explanations, discussion, repetition and oral summaries.</t>
  </si>
  <si>
    <t>NP-P0031</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</si>
  <si>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Openness; give exploration projects and creative problem-solving choices. Learning strategy: use practice, projects, labs and hands-on activities.</t>
  </si>
  <si>
    <t>NP-P0032</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</si>
  <si>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Openness; give exploration projects and creative problem-solving choices. Learning strategy: use notes, summaries, reading plans and written reflection.</t>
  </si>
  <si>
    <t>NP-P0033</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</si>
  <si>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Openness; give exploration projects and creative problem-solving choices. Learning strategy: use diagrams, flowcharts, mind maps and visual examples.</t>
  </si>
  <si>
    <t>NP-P0034</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</si>
  <si>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Openness; give exploration projects and creative problem-solving choices. Learning strategy: use explanations, discussion, repetition and oral summaries.</t>
  </si>
  <si>
    <t>NP-P0035</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</si>
  <si>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Openness; give exploration projects and creative problem-solving choices. Learning strategy: use practice, projects, labs and hands-on activities.</t>
  </si>
  <si>
    <t>NP-P0036</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</si>
  <si>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Openness; give exploration projects and creative problem-solving choices. Learning strategy: use notes, summaries, reading plans and written reflection.</t>
  </si>
  <si>
    <t>NP-P0037</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</si>
  <si>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diagrams, flowcharts, mind maps and visual examples.</t>
  </si>
  <si>
    <t>NP-P0038</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</si>
  <si>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explanations, discussion, repetition and oral summaries.</t>
  </si>
  <si>
    <t>NP-P0039</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</si>
  <si>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practice, projects, labs and hands-on activities.</t>
  </si>
  <si>
    <t>NP-P0040</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</si>
  <si>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notes, summaries, reading plans and written reflection.</t>
  </si>
  <si>
    <t>NP-P0041</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</si>
  <si>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Conscientiousness; use goal plans, deadlines and accountability. Learning strategy: use diagrams, flowcharts, mind maps and visual examples.</t>
  </si>
  <si>
    <t>NP-P0042</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</si>
  <si>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Conscientiousness; use goal plans, deadlines and accountability. Learning strategy: use explanations, discussion, repetition and oral summaries.</t>
  </si>
  <si>
    <t>NP-P0043</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</si>
  <si>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Conscientiousness; use goal plans, deadlines and accountability. Learning strategy: use practice, projects, labs and hands-on activities.</t>
  </si>
  <si>
    <t>NP-P0044</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</si>
  <si>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Conscientiousness; use goal plans, deadlines and accountability. Learning strategy: use notes, summaries, reading plans and written reflection.</t>
  </si>
  <si>
    <t>NP-P0045</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</si>
  <si>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diagrams, flowcharts, mind maps and visual examples.</t>
  </si>
  <si>
    <t>NP-P0046</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</si>
  <si>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explanations, discussion, repetition and oral summaries.</t>
  </si>
  <si>
    <t>NP-P0047</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</si>
  <si>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practice, projects, labs and hands-on activities.</t>
  </si>
  <si>
    <t>NP-P0048</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</si>
  <si>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notes, summaries, reading plans and written reflection.</t>
  </si>
  <si>
    <t>NP-P0049</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</si>
  <si>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diagrams, flowcharts, mind maps and visual examples.</t>
  </si>
  <si>
    <t>NP-P0050</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</si>
  <si>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explanations, discussion, repetition and oral summaries.</t>
  </si>
  <si>
    <t>NP-P0051</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</si>
  <si>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practice, projects, labs and hands-on activities.</t>
  </si>
  <si>
    <t>NP-P0052</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</si>
  <si>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notes, summaries, reading plans and written reflection.</t>
  </si>
  <si>
    <t>NP-P0053</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</si>
  <si>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Conscientiousness; use goal plans, deadlines and accountability. Learning strategy: use diagrams, flowcharts, mind maps and visual examples.</t>
  </si>
  <si>
    <t>NP-P0054</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</si>
  <si>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Conscientiousness; use goal plans, deadlines and accountability. Learning strategy: use explanations, discussion, repetition and oral summaries.</t>
  </si>
  <si>
    <t>NP-P0055</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</si>
  <si>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Conscientiousness; use goal plans, deadlines and accountability. Learning strategy: use practice, projects, labs and hands-on activities.</t>
  </si>
  <si>
    <t>NP-P0056</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</si>
  <si>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Conscientiousness; use goal plans, deadlines and accountability. Learning strategy: use notes, summaries, reading plans and written reflection.</t>
  </si>
  <si>
    <t>NP-P0057</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</si>
  <si>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Conscientiousness; use goal plans, deadlines and accountability. Learning strategy: use diagrams, flowcharts, mind maps and visual examples.</t>
  </si>
  <si>
    <t>NP-P0058</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</si>
  <si>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Conscientiousness; use goal plans, deadlines and accountability. Learning strategy: use explanations, discussion, repetition and oral summaries.</t>
  </si>
  <si>
    <t>NP-P0059</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</si>
  <si>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Conscientiousness; use goal plans, deadlines and accountability. Learning strategy: use practice, projects, labs and hands-on activities.</t>
  </si>
  <si>
    <t>NP-P0060</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</si>
  <si>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Conscientiousness; use goal plans, deadlines and accountability. Learning strategy: use notes, summaries, reading plans and written reflection.</t>
  </si>
  <si>
    <t>NP-P0061</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</si>
  <si>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Conscientiousness; use goal plans, deadlines and accountability. Learning strategy: use diagrams, flowcharts, mind maps and visual examples.</t>
  </si>
  <si>
    <t>NP-P0062</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</si>
  <si>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Conscientiousness; use goal plans, deadlines and accountability. Learning strategy: use explanations, discussion, repetition and oral summaries.</t>
  </si>
  <si>
    <t>NP-P0063</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</si>
  <si>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Conscientiousness; use goal plans, deadlines and accountability. Learning strategy: use practice, projects, labs and hands-on activities.</t>
  </si>
  <si>
    <t>NP-P0064</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</si>
  <si>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Conscientiousness; use goal plans, deadlines and accountability. Learning strategy: use notes, summaries, reading plans and written reflection.</t>
  </si>
  <si>
    <t>NP-P0065</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</si>
  <si>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Conscientiousness; use goal plans, deadlines and accountability. Learning strategy: use diagrams, flowcharts, mind maps and visual examples.</t>
  </si>
  <si>
    <t>NP-P0066</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</si>
  <si>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Conscientiousness; use goal plans, deadlines and accountability. Learning strategy: use explanations, discussion, repetition and oral summaries.</t>
  </si>
  <si>
    <t>NP-P0067</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</si>
  <si>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Conscientiousness; use goal plans, deadlines and accountability. Learning strategy: use practice, projects, labs and hands-on activities.</t>
  </si>
  <si>
    <t>NP-P0068</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</si>
  <si>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Conscientiousness; use goal plans, deadlines and accountability. Learning strategy: use notes, summaries, reading plans and written reflection.</t>
  </si>
  <si>
    <t>NP-P0069</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</si>
  <si>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Conscientiousness; use goal plans, deadlines and accountability. Learning strategy: use diagrams, flowcharts, mind maps and visual examples.</t>
  </si>
  <si>
    <t>NP-P0070</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</si>
  <si>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Conscientiousness; use goal plans, deadlines and accountability. Learning strategy: use explanations, discussion, repetition and oral summaries.</t>
  </si>
  <si>
    <t>NP-P0071</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</si>
  <si>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Conscientiousness; use goal plans, deadlines and accountability. Learning strategy: use practice, projects, labs and hands-on activities.</t>
  </si>
  <si>
    <t>NP-P0072</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</si>
  <si>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Conscientiousness; use goal plans, deadlines and accountability. Learning strategy: use notes, summaries, reading plans and written reflection.</t>
  </si>
  <si>
    <t>NP-P0073</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</si>
  <si>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diagrams, flowcharts, mind maps and visual examples.</t>
  </si>
  <si>
    <t>NP-P0074</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</si>
  <si>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explanations, discussion, repetition and oral summaries.</t>
  </si>
  <si>
    <t>NP-P0075</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</si>
  <si>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practice, projects, labs and hands-on activities.</t>
  </si>
  <si>
    <t>NP-P0076</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</si>
  <si>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notes, summaries, reading plans and written reflection.</t>
  </si>
  <si>
    <t>NP-P0077</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</si>
  <si>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diagrams, flowcharts, mind maps and visual examples.</t>
  </si>
  <si>
    <t>NP-P0078</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</si>
  <si>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explanations, discussion, repetition and oral summaries.</t>
  </si>
  <si>
    <t>NP-P0079</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</si>
  <si>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practice, projects, labs and hands-on activities.</t>
  </si>
  <si>
    <t>NP-P0080</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</si>
  <si>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notes, summaries, reading plans and written reflection.</t>
  </si>
  <si>
    <t>NP-P0081</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</si>
  <si>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diagrams, flowcharts, mind maps and visual examples.</t>
  </si>
  <si>
    <t>NP-P0082</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</si>
  <si>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explanations, discussion, repetition and oral summaries.</t>
  </si>
  <si>
    <t>NP-P0083</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</si>
  <si>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practice, projects, labs and hands-on activities.</t>
  </si>
  <si>
    <t>NP-P0084</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</si>
  <si>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notes, summaries, reading plans and written reflection.</t>
  </si>
  <si>
    <t>NP-P0085</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</si>
  <si>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diagrams, flowcharts, mind maps and visual examples.</t>
  </si>
  <si>
    <t>NP-P0086</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</si>
  <si>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explanations, discussion, repetition and oral summaries.</t>
  </si>
  <si>
    <t>NP-P0087</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</si>
  <si>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practice, projects, labs and hands-on activities.</t>
  </si>
  <si>
    <t>NP-P0088</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</si>
  <si>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notes, summaries, reading plans and written reflection.</t>
  </si>
  <si>
    <t>NP-P0089</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</si>
  <si>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Extraversion; use discussion, presentations and group-based learning. Learning strategy: use diagrams, flowcharts, mind maps and visual examples.</t>
  </si>
  <si>
    <t>NP-P0090</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</si>
  <si>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Extraversion; use discussion, presentations and group-based learning. Learning strategy: use explanations, discussion, repetition and oral summaries.</t>
  </si>
  <si>
    <t>NP-P0091</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</si>
  <si>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Extraversion; use discussion, presentations and group-based learning. Learning strategy: use practice, projects, labs and hands-on activities.</t>
  </si>
  <si>
    <t>NP-P0092</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</si>
  <si>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Extraversion; use discussion, presentations and group-based learning. Learning strategy: use notes, summaries, reading plans and written reflection.</t>
  </si>
  <si>
    <t>NP-P0093</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</si>
  <si>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Extraversion; use discussion, presentations and group-based learning. Learning strategy: use diagrams, flowcharts, mind maps and visual examples.</t>
  </si>
  <si>
    <t>NP-P0094</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</si>
  <si>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Extraversion; use discussion, presentations and group-based learning. Learning strategy: use explanations, discussion, repetition and oral summaries.</t>
  </si>
  <si>
    <t>NP-P0095</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</si>
  <si>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Extraversion; use discussion, presentations and group-based learning. Learning strategy: use practice, projects, labs and hands-on activities.</t>
  </si>
  <si>
    <t>NP-P0096</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</si>
  <si>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Extraversion; use discussion, presentations and group-based learning. Learning strategy: use notes, summaries, reading plans and written reflection.</t>
  </si>
  <si>
    <t>NP-P0097</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</si>
  <si>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Extraversion; use discussion, presentations and group-based learning. Learning strategy: use diagrams, flowcharts, mind maps and visual examples.</t>
  </si>
  <si>
    <t>NP-P0098</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</si>
  <si>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Extraversion; use discussion, presentations and group-based learning. Learning strategy: use explanations, discussion, repetition and oral summaries.</t>
  </si>
  <si>
    <t>NP-P0099</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</si>
  <si>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Extraversion; use discussion, presentations and group-based learning. Learning strategy: use practice, projects, labs and hands-on activities.</t>
  </si>
  <si>
    <t>NP-P0100</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</si>
  <si>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Extraversion; use discussion, presentations and group-based learning. Learning strategy: use notes, summaries, reading plans and written reflection.</t>
  </si>
  <si>
    <t>NP-P0101</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</si>
  <si>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Extraversion; use discussion, presentations and group-based learning. Learning strategy: use diagrams, flowcharts, mind maps and visual examples.</t>
  </si>
  <si>
    <t>NP-P0102</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</si>
  <si>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Extraversion; use discussion, presentations and group-based learning. Learning strategy: use explanations, discussion, repetition and oral summaries.</t>
  </si>
  <si>
    <t>NP-P0103</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</si>
  <si>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Extraversion; use discussion, presentations and group-based learning. Learning strategy: use practice, projects, labs and hands-on activities.</t>
  </si>
  <si>
    <t>NP-P0104</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</si>
  <si>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Extraversion; use discussion, presentations and group-based learning. Learning strategy: use notes, summaries, reading plans and written reflection.</t>
  </si>
  <si>
    <t>NP-P0105</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</si>
  <si>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Extraversion; use discussion, presentations and group-based learning. Learning strategy: use diagrams, flowcharts, mind maps and visual examples.</t>
  </si>
  <si>
    <t>NP-P0106</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</si>
  <si>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Extraversion; use discussion, presentations and group-based learning. Learning strategy: use explanations, discussion, repetition and oral summaries.</t>
  </si>
  <si>
    <t>NP-P0107</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</si>
  <si>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Extraversion; use discussion, presentations and group-based learning. Learning strategy: use practice, projects, labs and hands-on activities.</t>
  </si>
  <si>
    <t>NP-P0108</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</si>
  <si>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Extraversion; use discussion, presentations and group-based learning. Learning strategy: use notes, summaries, reading plans and written reflection.</t>
  </si>
  <si>
    <t>NP-P0109</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</si>
  <si>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diagrams, flowcharts, mind maps and visual examples.</t>
  </si>
  <si>
    <t>NP-P0110</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</si>
  <si>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explanations, discussion, repetition and oral summaries.</t>
  </si>
  <si>
    <t>NP-P0111</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</si>
  <si>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practice, projects, labs and hands-on activities.</t>
  </si>
  <si>
    <t>NP-P0112</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</si>
  <si>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notes, summaries, reading plans and written reflection.</t>
  </si>
  <si>
    <t>NP-P0113</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</si>
  <si>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diagrams, flowcharts, mind maps and visual examples.</t>
  </si>
  <si>
    <t>NP-P0114</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</si>
  <si>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explanations, discussion, repetition and oral summaries.</t>
  </si>
  <si>
    <t>NP-P0115</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</si>
  <si>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practice, projects, labs and hands-on activities.</t>
  </si>
  <si>
    <t>NP-P0116</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</si>
  <si>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notes, summaries, reading plans and written reflection.</t>
  </si>
  <si>
    <t>NP-P0117</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</si>
  <si>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diagrams, flowcharts, mind maps and visual examples.</t>
  </si>
  <si>
    <t>NP-P0118</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</si>
  <si>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explanations, discussion, repetition and oral summaries.</t>
  </si>
  <si>
    <t>NP-P0119</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</si>
  <si>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practice, projects, labs and hands-on activities.</t>
  </si>
  <si>
    <t>NP-P0120</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</si>
  <si>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notes, summaries, reading plans and written reflection.</t>
  </si>
  <si>
    <t>NP-P0121</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</si>
  <si>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diagrams, flowcharts, mind maps and visual examples.</t>
  </si>
  <si>
    <t>NP-P0122</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</si>
  <si>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explanations, discussion, repetition and oral summaries.</t>
  </si>
  <si>
    <t>NP-P0123</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</si>
  <si>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practice, projects, labs and hands-on activities.</t>
  </si>
  <si>
    <t>NP-P0124</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</si>
  <si>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notes, summaries, reading plans and written reflection.</t>
  </si>
  <si>
    <t>NP-P0125</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</si>
  <si>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Agreeableness; use collaborative roles and service-oriented pathways. Learning strategy: use diagrams, flowcharts, mind maps and visual examples.</t>
  </si>
  <si>
    <t>NP-P0126</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</si>
  <si>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Agreeableness; use collaborative roles and service-oriented pathways. Learning strategy: use explanations, discussion, repetition and oral summaries.</t>
  </si>
  <si>
    <t>NP-P0127</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</si>
  <si>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Agreeableness; use collaborative roles and service-oriented pathways. Learning strategy: use practice, projects, labs and hands-on activities.</t>
  </si>
  <si>
    <t>NP-P0128</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</si>
  <si>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Agreeableness; use collaborative roles and service-oriented pathways. Learning strategy: use notes, summaries, reading plans and written reflection.</t>
  </si>
  <si>
    <t>NP-P0129</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</si>
  <si>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Agreeableness; use collaborative roles and service-oriented pathways. Learning strategy: use diagrams, flowcharts, mind maps and visual examples.</t>
  </si>
  <si>
    <t>NP-P0130</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</si>
  <si>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Agreeableness; use collaborative roles and service-oriented pathways. Learning strategy: use explanations, discussion, repetition and oral summaries.</t>
  </si>
  <si>
    <t>NP-P0131</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</si>
  <si>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Agreeableness; use collaborative roles and service-oriented pathways. Learning strategy: use practice, projects, labs and hands-on activities.</t>
  </si>
  <si>
    <t>NP-P0132</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</si>
  <si>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Agreeableness; use collaborative roles and service-oriented pathways. Learning strategy: use notes, summaries, reading plans and written reflection.</t>
  </si>
  <si>
    <t>NP-P0133</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</si>
  <si>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Agreeableness; use collaborative roles and service-oriented pathways. Learning strategy: use diagrams, flowcharts, mind maps and visual examples.</t>
  </si>
  <si>
    <t>NP-P0134</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</si>
  <si>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Agreeableness; use collaborative roles and service-oriented pathways. Learning strategy: use explanations, discussion, repetition and oral summaries.</t>
  </si>
  <si>
    <t>NP-P0135</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</si>
  <si>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Agreeableness; use collaborative roles and service-oriented pathways. Learning strategy: use practice, projects, labs and hands-on activities.</t>
  </si>
  <si>
    <t>NP-P0136</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</si>
  <si>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Agreeableness; use collaborative roles and service-oriented pathways. Learning strategy: use notes, summaries, reading plans and written reflection.</t>
  </si>
  <si>
    <t>NP-P0137</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</si>
  <si>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Agreeableness; use collaborative roles and service-oriented pathways. Learning strategy: use diagrams, flowcharts, mind maps and visual examples.</t>
  </si>
  <si>
    <t>NP-P0138</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</si>
  <si>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Agreeableness; use collaborative roles and service-oriented pathways. Learning strategy: use explanations, discussion, repetition and oral summaries.</t>
  </si>
  <si>
    <t>NP-P0139</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</si>
  <si>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Agreeableness; use collaborative roles and service-oriented pathways. Learning strategy: use practice, projects, labs and hands-on activities.</t>
  </si>
  <si>
    <t>NP-P0140</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</si>
  <si>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Agreeableness; use collaborative roles and service-oriented pathways. Learning strategy: use notes, summaries, reading plans and written reflection.</t>
  </si>
  <si>
    <t>NP-P0141</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</si>
  <si>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Agreeableness; use collaborative roles and service-oriented pathways. Learning strategy: use diagrams, flowcharts, mind maps and visual examples.</t>
  </si>
  <si>
    <t>NP-P0142</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</si>
  <si>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Agreeableness; use collaborative roles and service-oriented pathways. Learning strategy: use explanations, discussion, repetition and oral summaries.</t>
  </si>
  <si>
    <t>NP-P0143</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</si>
  <si>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Agreeableness; use collaborative roles and service-oriented pathways. Learning strategy: use practice, projects, labs and hands-on activities.</t>
  </si>
  <si>
    <t>NP-P0144</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</si>
  <si>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Agreeableness; use collaborative roles and service-oriented pathways. Learning strategy: use notes, summaries, reading plans and written reflection.</t>
  </si>
  <si>
    <t>NP-P0145</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</si>
  <si>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diagrams, flowcharts, mind maps and visual examples.</t>
  </si>
  <si>
    <t>Emotional Support, Academic Foundation, Stress Sensitivity</t>
  </si>
  <si>
    <t>NP-P0146</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</si>
  <si>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explanations, discussion, repetition and oral summaries.</t>
  </si>
  <si>
    <t>NP-P0147</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</si>
  <si>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practice, projects, labs and hands-on activities.</t>
  </si>
  <si>
    <t>NP-P0148</t>
  </si>
  <si>
    <t>Realistic interest suggests direction toward Engineering, technology, manufacturing, robotics, defence technical roles.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notes, summaries, reading plans and written reflection.</t>
  </si>
  <si>
    <t>NP-P0149</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</si>
  <si>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diagrams, flowcharts, mind maps and visual examples.</t>
  </si>
  <si>
    <t>Academic Foundation, Stress Sensitivity</t>
  </si>
  <si>
    <t>NP-P0150</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</si>
  <si>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explanations, discussion, repetition and oral summaries.</t>
  </si>
  <si>
    <t>NP-P0151</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</si>
  <si>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practice, projects, labs and hands-on activities.</t>
  </si>
  <si>
    <t>NP-P0152</t>
  </si>
  <si>
    <t>Realistic interest suggests direction toward Engineering, technology, manufacturing, robotics, defence technical roles.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notes, summaries, reading plans and written reflection.</t>
  </si>
  <si>
    <t>NP-P0153</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</si>
  <si>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diagrams, flowcharts, mind maps and visual examples.</t>
  </si>
  <si>
    <t>NP-P0154</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</si>
  <si>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explanations, discussion, repetition and oral summaries.</t>
  </si>
  <si>
    <t>NP-P0155</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</si>
  <si>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practice, projects, labs and hands-on activities.</t>
  </si>
  <si>
    <t>NP-P0156</t>
  </si>
  <si>
    <t>Realistic interest suggests direction toward Engineering, technology, manufacturing, robotics, defence technical roles.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notes, summaries, reading plans and written reflection.</t>
  </si>
  <si>
    <t>NP-P0157</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</si>
  <si>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diagrams, flowcharts, mind maps and visual examples.</t>
  </si>
  <si>
    <t>Emotional Support, Stress Sensitivity</t>
  </si>
  <si>
    <t>NP-P0158</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</si>
  <si>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explanations, discussion, repetition and oral summaries.</t>
  </si>
  <si>
    <t>NP-P0159</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</si>
  <si>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practice, projects, labs and hands-on activities.</t>
  </si>
  <si>
    <t>NP-P0160</t>
  </si>
  <si>
    <t>Realistic interest suggests direction toward Engineering, technology, manufacturing, robotics, defence technical roles.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notes, summaries, reading plans and written reflection.</t>
  </si>
  <si>
    <t>NP-P0161</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</si>
  <si>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Neuroticism; prioritize emotional safety, stress reduction and reassurance. Learning strategy: use diagrams, flowcharts, mind maps and visual examples.</t>
  </si>
  <si>
    <t>Stress Sensitivity</t>
  </si>
  <si>
    <t>NP-P0162</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</si>
  <si>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Neuroticism; prioritize emotional safety, stress reduction and reassurance. Learning strategy: use explanations, discussion, repetition and oral summaries.</t>
  </si>
  <si>
    <t>NP-P0163</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</si>
  <si>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Neuroticism; prioritize emotional safety, stress reduction and reassurance. Learning strategy: use practice, projects, labs and hands-on activities.</t>
  </si>
  <si>
    <t>NP-P0164</t>
  </si>
  <si>
    <t>Realistic interest suggests direction toward Engineering, technology, manufacturing, robotics, defence technical roles. Cognitive capacity appears adequate; build concept clarity before specialization. Emotional sustainability is moderate; introduce steady routines and confidence building. Big Five signal: Neuroticism; prioritize emotional safety, stress reduction and reassurance. Learning strategy: use notes, summaries, reading plans and written reflection.</t>
  </si>
  <si>
    <t>NP-P0165</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</si>
  <si>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diagrams, flowcharts, mind maps and visual examples.</t>
  </si>
  <si>
    <t>NP-P0166</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</si>
  <si>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explanations, discussion, repetition and oral summaries.</t>
  </si>
  <si>
    <t>NP-P0167</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</si>
  <si>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practice, projects, labs and hands-on activities.</t>
  </si>
  <si>
    <t>NP-P0168</t>
  </si>
  <si>
    <t>Realistic interest suggests direction toward Engineering, technology, manufacturing, robotics, defence technical roles.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notes, summaries, reading plans and written reflection.</t>
  </si>
  <si>
    <t>NP-P0169</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</si>
  <si>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diagrams, flowcharts, mind maps and visual examples.</t>
  </si>
  <si>
    <t>NP-P0170</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</si>
  <si>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explanations, discussion, repetition and oral summaries.</t>
  </si>
  <si>
    <t>NP-P0171</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</si>
  <si>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practice, projects, labs and hands-on activities.</t>
  </si>
  <si>
    <t>NP-P0172</t>
  </si>
  <si>
    <t>Realistic interest suggests direction toward Engineering, technology, manufacturing, robotics, defence technical roles.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notes, summaries, reading plans and written reflection.</t>
  </si>
  <si>
    <t>NP-P0173</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</si>
  <si>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Neuroticism; prioritize emotional safety, stress reduction and reassurance. Learning strategy: use diagrams, flowcharts, mind maps and visual examples.</t>
  </si>
  <si>
    <t>NP-P0174</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</si>
  <si>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Neuroticism; prioritize emotional safety, stress reduction and reassurance. Learning strategy: use explanations, discussion, repetition and oral summaries.</t>
  </si>
  <si>
    <t>NP-P0175</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</si>
  <si>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Neuroticism; prioritize emotional safety, stress reduction and reassurance. Learning strategy: use practice, projects, labs and hands-on activities.</t>
  </si>
  <si>
    <t>NP-P0176</t>
  </si>
  <si>
    <t>Realistic interest suggests direction toward Engineering, technology, manufacturing, robotics, defence technical roles. Cognitive capacity appears strong; offer advanced exposure and challenge. Emotional sustainability is moderate; introduce steady routines and confidence building. Big Five signal: Neuroticism; prioritize emotional safety, stress reduction and reassurance. Learning strategy: use notes, summaries, reading plans and written reflection.</t>
  </si>
  <si>
    <t>NP-P0177</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</si>
  <si>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Neuroticism; prioritize emotional safety, stress reduction and reassurance. Learning strategy: use diagrams, flowcharts, mind maps and visual examples.</t>
  </si>
  <si>
    <t>NP-P0178</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</si>
  <si>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Neuroticism; prioritize emotional safety, stress reduction and reassurance. Learning strategy: use explanations, discussion, repetition and oral summaries.</t>
  </si>
  <si>
    <t>NP-P0179</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</si>
  <si>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Neuroticism; prioritize emotional safety, stress reduction and reassurance. Learning strategy: use practice, projects, labs and hands-on activities.</t>
  </si>
  <si>
    <t>NP-P0180</t>
  </si>
  <si>
    <t>Realistic interest suggests direction toward Engineering, technology, manufacturing, robotics, defence technical roles. Cognitive capacity appears strong; offer advanced exposure and challenge. Emotional sustainability is strong; student may handle demanding pathways with good support. Big Five signal: Neuroticism; prioritize emotional safety, stress reduction and reassurance. Learning strategy: use notes, summaries, reading plans and written reflection.</t>
  </si>
  <si>
    <t>NP-P0181</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</si>
  <si>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diagrams, flowcharts, mind maps and visual examples.</t>
  </si>
  <si>
    <t>Start with foundation-building and low-pressure exposure before confirming pathways in Science, medicine, research, analytics, data science.</t>
  </si>
  <si>
    <t>NP-P0182</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</si>
  <si>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explanations, discussion, repetition and oral summaries.</t>
  </si>
  <si>
    <t>NP-P0183</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</si>
  <si>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practice, projects, labs and hands-on activities.</t>
  </si>
  <si>
    <t>NP-P0184</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</si>
  <si>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notes, summaries, reading plans and written reflection.</t>
  </si>
  <si>
    <t>NP-P0185</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</si>
  <si>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diagrams, flowcharts, mind maps and visual examples.</t>
  </si>
  <si>
    <t>NP-P0186</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</si>
  <si>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explanations, discussion, repetition and oral summaries.</t>
  </si>
  <si>
    <t>NP-P0187</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</si>
  <si>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practice, projects, labs and hands-on activities.</t>
  </si>
  <si>
    <t>NP-P0188</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</si>
  <si>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notes, summaries, reading plans and written reflection.</t>
  </si>
  <si>
    <t>NP-P0189</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</si>
  <si>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diagrams, flowcharts, mind maps and visual examples.</t>
  </si>
  <si>
    <t>NP-P0190</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</si>
  <si>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explanations, discussion, repetition and oral summaries.</t>
  </si>
  <si>
    <t>NP-P0191</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</si>
  <si>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practice, projects, labs and hands-on activities.</t>
  </si>
  <si>
    <t>NP-P0192</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</si>
  <si>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notes, summaries, reading plans and written reflection.</t>
  </si>
  <si>
    <t>NP-P0193</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</si>
  <si>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diagrams, flowcharts, mind maps and visual examples.</t>
  </si>
  <si>
    <t>Use a 90-day exploration plan for Science, medicine, research, analytics, data science and review confidence/clarity.</t>
  </si>
  <si>
    <t>NP-P0194</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</si>
  <si>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explanations, discussion, repetition and oral summaries.</t>
  </si>
  <si>
    <t>NP-P0195</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</si>
  <si>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practice, projects, labs and hands-on activities.</t>
  </si>
  <si>
    <t>NP-P0196</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</si>
  <si>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notes, summaries, reading plans and written reflection.</t>
  </si>
  <si>
    <t>NP-P0197</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</si>
  <si>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Openness; give exploration projects and creative problem-solving choices. Learning strategy: use diagrams, flowcharts, mind maps and visual examples.</t>
  </si>
  <si>
    <t>NP-P0198</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</si>
  <si>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Openness; give exploration projects and creative problem-solving choices. Learning strategy: use explanations, discussion, repetition and oral summaries.</t>
  </si>
  <si>
    <t>NP-P0199</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</si>
  <si>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Openness; give exploration projects and creative problem-solving choices. Learning strategy: use practice, projects, labs and hands-on activities.</t>
  </si>
  <si>
    <t>NP-P0200</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</si>
  <si>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Openness; give exploration projects and creative problem-solving choices. Learning strategy: use notes, summaries, reading plans and written reflection.</t>
  </si>
  <si>
    <t>NP-P0201</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</si>
  <si>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diagrams, flowcharts, mind maps and visual examples.</t>
  </si>
  <si>
    <t>Explore Science, medicine, research, analytics, data science with skill-building projects and guided exposure.</t>
  </si>
  <si>
    <t>NP-P0202</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</si>
  <si>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explanations, discussion, repetition and oral summaries.</t>
  </si>
  <si>
    <t>NP-P0203</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</si>
  <si>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practice, projects, labs and hands-on activities.</t>
  </si>
  <si>
    <t>NP-P0204</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</si>
  <si>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notes, summaries, reading plans and written reflection.</t>
  </si>
  <si>
    <t>NP-P0205</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</si>
  <si>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diagrams, flowcharts, mind maps and visual examples.</t>
  </si>
  <si>
    <t>Potential is high for Science, medicine, research, analytics, data science, but emotional support and stress plan must come first.</t>
  </si>
  <si>
    <t>NP-P0206</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</si>
  <si>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explanations, discussion, repetition and oral summaries.</t>
  </si>
  <si>
    <t>NP-P0207</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</si>
  <si>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practice, projects, labs and hands-on activities.</t>
  </si>
  <si>
    <t>NP-P0208</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</si>
  <si>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notes, summaries, reading plans and written reflection.</t>
  </si>
  <si>
    <t>NP-P0209</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</si>
  <si>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Openness; give exploration projects and creative problem-solving choices. Learning strategy: use diagrams, flowcharts, mind maps and visual examples.</t>
  </si>
  <si>
    <t>Proceed with strong-fit pathways in Science, medicine, research, analytics, data science; add enrichment and mentorship.</t>
  </si>
  <si>
    <t>NP-P0210</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</si>
  <si>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Openness; give exploration projects and creative problem-solving choices. Learning strategy: use explanations, discussion, repetition and oral summaries.</t>
  </si>
  <si>
    <t>NP-P0211</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</si>
  <si>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Openness; give exploration projects and creative problem-solving choices. Learning strategy: use practice, projects, labs and hands-on activities.</t>
  </si>
  <si>
    <t>NP-P0212</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</si>
  <si>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Openness; give exploration projects and creative problem-solving choices. Learning strategy: use notes, summaries, reading plans and written reflection.</t>
  </si>
  <si>
    <t>NP-P0213</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</si>
  <si>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Openness; give exploration projects and creative problem-solving choices. Learning strategy: use diagrams, flowcharts, mind maps and visual examples.</t>
  </si>
  <si>
    <t>NP-P0214</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</si>
  <si>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Openness; give exploration projects and creative problem-solving choices. Learning strategy: use explanations, discussion, repetition and oral summaries.</t>
  </si>
  <si>
    <t>NP-P0215</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</si>
  <si>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Openness; give exploration projects and creative problem-solving choices. Learning strategy: use practice, projects, labs and hands-on activities.</t>
  </si>
  <si>
    <t>NP-P0216</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</si>
  <si>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Openness; give exploration projects and creative problem-solving choices. Learning strategy: use notes, summaries, reading plans and written reflection.</t>
  </si>
  <si>
    <t>NP-P0217</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</si>
  <si>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diagrams, flowcharts, mind maps and visual examples.</t>
  </si>
  <si>
    <t>NP-P0218</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</si>
  <si>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explanations, discussion, repetition and oral summaries.</t>
  </si>
  <si>
    <t>NP-P0219</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</si>
  <si>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practice, projects, labs and hands-on activities.</t>
  </si>
  <si>
    <t>NP-P0220</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</si>
  <si>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notes, summaries, reading plans and written reflection.</t>
  </si>
  <si>
    <t>NP-P0221</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</si>
  <si>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Conscientiousness; use goal plans, deadlines and accountability. Learning strategy: use diagrams, flowcharts, mind maps and visual examples.</t>
  </si>
  <si>
    <t>NP-P0222</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</si>
  <si>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Conscientiousness; use goal plans, deadlines and accountability. Learning strategy: use explanations, discussion, repetition and oral summaries.</t>
  </si>
  <si>
    <t>NP-P0223</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</si>
  <si>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Conscientiousness; use goal plans, deadlines and accountability. Learning strategy: use practice, projects, labs and hands-on activities.</t>
  </si>
  <si>
    <t>NP-P0224</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</si>
  <si>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Conscientiousness; use goal plans, deadlines and accountability. Learning strategy: use notes, summaries, reading plans and written reflection.</t>
  </si>
  <si>
    <t>NP-P0225</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</si>
  <si>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diagrams, flowcharts, mind maps and visual examples.</t>
  </si>
  <si>
    <t>NP-P0226</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</si>
  <si>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explanations, discussion, repetition and oral summaries.</t>
  </si>
  <si>
    <t>NP-P0227</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</si>
  <si>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practice, projects, labs and hands-on activities.</t>
  </si>
  <si>
    <t>NP-P0228</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</si>
  <si>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notes, summaries, reading plans and written reflection.</t>
  </si>
  <si>
    <t>NP-P0229</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</si>
  <si>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diagrams, flowcharts, mind maps and visual examples.</t>
  </si>
  <si>
    <t>NP-P0230</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</si>
  <si>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explanations, discussion, repetition and oral summaries.</t>
  </si>
  <si>
    <t>NP-P0231</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</si>
  <si>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practice, projects, labs and hands-on activities.</t>
  </si>
  <si>
    <t>NP-P0232</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</si>
  <si>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notes, summaries, reading plans and written reflection.</t>
  </si>
  <si>
    <t>NP-P0233</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</si>
  <si>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Conscientiousness; use goal plans, deadlines and accountability. Learning strategy: use diagrams, flowcharts, mind maps and visual examples.</t>
  </si>
  <si>
    <t>NP-P0234</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</si>
  <si>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Conscientiousness; use goal plans, deadlines and accountability. Learning strategy: use explanations, discussion, repetition and oral summaries.</t>
  </si>
  <si>
    <t>NP-P0235</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</si>
  <si>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Conscientiousness; use goal plans, deadlines and accountability. Learning strategy: use practice, projects, labs and hands-on activities.</t>
  </si>
  <si>
    <t>NP-P0236</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</si>
  <si>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Conscientiousness; use goal plans, deadlines and accountability. Learning strategy: use notes, summaries, reading plans and written reflection.</t>
  </si>
  <si>
    <t>NP-P0237</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</si>
  <si>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Conscientiousness; use goal plans, deadlines and accountability. Learning strategy: use diagrams, flowcharts, mind maps and visual examples.</t>
  </si>
  <si>
    <t>NP-P0238</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</si>
  <si>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Conscientiousness; use goal plans, deadlines and accountability. Learning strategy: use explanations, discussion, repetition and oral summaries.</t>
  </si>
  <si>
    <t>NP-P0239</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</si>
  <si>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Conscientiousness; use goal plans, deadlines and accountability. Learning strategy: use practice, projects, labs and hands-on activities.</t>
  </si>
  <si>
    <t>NP-P0240</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</si>
  <si>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Conscientiousness; use goal plans, deadlines and accountability. Learning strategy: use notes, summaries, reading plans and written reflection.</t>
  </si>
  <si>
    <t>NP-P0241</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</si>
  <si>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Conscientiousness; use goal plans, deadlines and accountability. Learning strategy: use diagrams, flowcharts, mind maps and visual examples.</t>
  </si>
  <si>
    <t>NP-P0242</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</si>
  <si>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Conscientiousness; use goal plans, deadlines and accountability. Learning strategy: use explanations, discussion, repetition and oral summaries.</t>
  </si>
  <si>
    <t>NP-P0243</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</si>
  <si>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Conscientiousness; use goal plans, deadlines and accountability. Learning strategy: use practice, projects, labs and hands-on activities.</t>
  </si>
  <si>
    <t>NP-P0244</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</si>
  <si>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Conscientiousness; use goal plans, deadlines and accountability. Learning strategy: use notes, summaries, reading plans and written reflection.</t>
  </si>
  <si>
    <t>NP-P0245</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</si>
  <si>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Conscientiousness; use goal plans, deadlines and accountability. Learning strategy: use diagrams, flowcharts, mind maps and visual examples.</t>
  </si>
  <si>
    <t>NP-P0246</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</si>
  <si>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Conscientiousness; use goal plans, deadlines and accountability. Learning strategy: use explanations, discussion, repetition and oral summaries.</t>
  </si>
  <si>
    <t>NP-P0247</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</si>
  <si>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Conscientiousness; use goal plans, deadlines and accountability. Learning strategy: use practice, projects, labs and hands-on activities.</t>
  </si>
  <si>
    <t>NP-P0248</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</si>
  <si>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Conscientiousness; use goal plans, deadlines and accountability. Learning strategy: use notes, summaries, reading plans and written reflection.</t>
  </si>
  <si>
    <t>NP-P0249</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</si>
  <si>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Conscientiousness; use goal plans, deadlines and accountability. Learning strategy: use diagrams, flowcharts, mind maps and visual examples.</t>
  </si>
  <si>
    <t>NP-P0250</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</si>
  <si>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Conscientiousness; use goal plans, deadlines and accountability. Learning strategy: use explanations, discussion, repetition and oral summaries.</t>
  </si>
  <si>
    <t>NP-P0251</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</si>
  <si>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Conscientiousness; use goal plans, deadlines and accountability. Learning strategy: use practice, projects, labs and hands-on activities.</t>
  </si>
  <si>
    <t>NP-P0252</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</si>
  <si>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Conscientiousness; use goal plans, deadlines and accountability. Learning strategy: use notes, summaries, reading plans and written reflection.</t>
  </si>
  <si>
    <t>NP-P0253</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</si>
  <si>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diagrams, flowcharts, mind maps and visual examples.</t>
  </si>
  <si>
    <t>NP-P0254</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</si>
  <si>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explanations, discussion, repetition and oral summaries.</t>
  </si>
  <si>
    <t>NP-P0255</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</si>
  <si>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practice, projects, labs and hands-on activities.</t>
  </si>
  <si>
    <t>NP-P0256</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</si>
  <si>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notes, summaries, reading plans and written reflection.</t>
  </si>
  <si>
    <t>NP-P0257</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</si>
  <si>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diagrams, flowcharts, mind maps and visual examples.</t>
  </si>
  <si>
    <t>NP-P0258</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</si>
  <si>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explanations, discussion, repetition and oral summaries.</t>
  </si>
  <si>
    <t>NP-P0259</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</si>
  <si>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practice, projects, labs and hands-on activities.</t>
  </si>
  <si>
    <t>NP-P0260</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</si>
  <si>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notes, summaries, reading plans and written reflection.</t>
  </si>
  <si>
    <t>NP-P0261</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</si>
  <si>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diagrams, flowcharts, mind maps and visual examples.</t>
  </si>
  <si>
    <t>NP-P0262</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</si>
  <si>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explanations, discussion, repetition and oral summaries.</t>
  </si>
  <si>
    <t>NP-P0263</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</si>
  <si>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practice, projects, labs and hands-on activities.</t>
  </si>
  <si>
    <t>NP-P0264</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</si>
  <si>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notes, summaries, reading plans and written reflection.</t>
  </si>
  <si>
    <t>NP-P0265</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</si>
  <si>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diagrams, flowcharts, mind maps and visual examples.</t>
  </si>
  <si>
    <t>NP-P0266</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</si>
  <si>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explanations, discussion, repetition and oral summaries.</t>
  </si>
  <si>
    <t>NP-P0267</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</si>
  <si>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practice, projects, labs and hands-on activities.</t>
  </si>
  <si>
    <t>NP-P0268</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</si>
  <si>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notes, summaries, reading plans and written reflection.</t>
  </si>
  <si>
    <t>NP-P0269</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</si>
  <si>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Extraversion; use discussion, presentations and group-based learning. Learning strategy: use diagrams, flowcharts, mind maps and visual examples.</t>
  </si>
  <si>
    <t>NP-P0270</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</si>
  <si>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Extraversion; use discussion, presentations and group-based learning. Learning strategy: use explanations, discussion, repetition and oral summaries.</t>
  </si>
  <si>
    <t>NP-P0271</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</si>
  <si>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Extraversion; use discussion, presentations and group-based learning. Learning strategy: use practice, projects, labs and hands-on activities.</t>
  </si>
  <si>
    <t>NP-P0272</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</si>
  <si>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Extraversion; use discussion, presentations and group-based learning. Learning strategy: use notes, summaries, reading plans and written reflection.</t>
  </si>
  <si>
    <t>NP-P0273</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</si>
  <si>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Extraversion; use discussion, presentations and group-based learning. Learning strategy: use diagrams, flowcharts, mind maps and visual examples.</t>
  </si>
  <si>
    <t>NP-P0274</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</si>
  <si>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Extraversion; use discussion, presentations and group-based learning. Learning strategy: use explanations, discussion, repetition and oral summaries.</t>
  </si>
  <si>
    <t>NP-P0275</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</si>
  <si>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Extraversion; use discussion, presentations and group-based learning. Learning strategy: use practice, projects, labs and hands-on activities.</t>
  </si>
  <si>
    <t>NP-P0276</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</si>
  <si>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Extraversion; use discussion, presentations and group-based learning. Learning strategy: use notes, summaries, reading plans and written reflection.</t>
  </si>
  <si>
    <t>NP-P0277</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</si>
  <si>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Extraversion; use discussion, presentations and group-based learning. Learning strategy: use diagrams, flowcharts, mind maps and visual examples.</t>
  </si>
  <si>
    <t>NP-P0278</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</si>
  <si>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Extraversion; use discussion, presentations and group-based learning. Learning strategy: use explanations, discussion, repetition and oral summaries.</t>
  </si>
  <si>
    <t>NP-P0279</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</si>
  <si>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Extraversion; use discussion, presentations and group-based learning. Learning strategy: use practice, projects, labs and hands-on activities.</t>
  </si>
  <si>
    <t>NP-P0280</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</si>
  <si>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Extraversion; use discussion, presentations and group-based learning. Learning strategy: use notes, summaries, reading plans and written reflection.</t>
  </si>
  <si>
    <t>NP-P0281</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</si>
  <si>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Extraversion; use discussion, presentations and group-based learning. Learning strategy: use diagrams, flowcharts, mind maps and visual examples.</t>
  </si>
  <si>
    <t>NP-P0282</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</si>
  <si>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Extraversion; use discussion, presentations and group-based learning. Learning strategy: use explanations, discussion, repetition and oral summaries.</t>
  </si>
  <si>
    <t>NP-P0283</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</si>
  <si>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Extraversion; use discussion, presentations and group-based learning. Learning strategy: use practice, projects, labs and hands-on activities.</t>
  </si>
  <si>
    <t>NP-P0284</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</si>
  <si>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Extraversion; use discussion, presentations and group-based learning. Learning strategy: use notes, summaries, reading plans and written reflection.</t>
  </si>
  <si>
    <t>NP-P0285</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</si>
  <si>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Extraversion; use discussion, presentations and group-based learning. Learning strategy: use diagrams, flowcharts, mind maps and visual examples.</t>
  </si>
  <si>
    <t>NP-P0286</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</si>
  <si>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Extraversion; use discussion, presentations and group-based learning. Learning strategy: use explanations, discussion, repetition and oral summaries.</t>
  </si>
  <si>
    <t>NP-P0287</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</si>
  <si>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Extraversion; use discussion, presentations and group-based learning. Learning strategy: use practice, projects, labs and hands-on activities.</t>
  </si>
  <si>
    <t>NP-P0288</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</si>
  <si>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Extraversion; use discussion, presentations and group-based learning. Learning strategy: use notes, summaries, reading plans and written reflection.</t>
  </si>
  <si>
    <t>NP-P0289</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</si>
  <si>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diagrams, flowcharts, mind maps and visual examples.</t>
  </si>
  <si>
    <t>NP-P0290</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</si>
  <si>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explanations, discussion, repetition and oral summaries.</t>
  </si>
  <si>
    <t>NP-P0291</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</si>
  <si>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practice, projects, labs and hands-on activities.</t>
  </si>
  <si>
    <t>NP-P0292</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</si>
  <si>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notes, summaries, reading plans and written reflection.</t>
  </si>
  <si>
    <t>NP-P0293</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</si>
  <si>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diagrams, flowcharts, mind maps and visual examples.</t>
  </si>
  <si>
    <t>NP-P0294</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</si>
  <si>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explanations, discussion, repetition and oral summaries.</t>
  </si>
  <si>
    <t>NP-P0295</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</si>
  <si>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practice, projects, labs and hands-on activities.</t>
  </si>
  <si>
    <t>NP-P0296</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</si>
  <si>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notes, summaries, reading plans and written reflection.</t>
  </si>
  <si>
    <t>NP-P0297</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</si>
  <si>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diagrams, flowcharts, mind maps and visual examples.</t>
  </si>
  <si>
    <t>NP-P0298</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</si>
  <si>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explanations, discussion, repetition and oral summaries.</t>
  </si>
  <si>
    <t>NP-P0299</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</si>
  <si>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practice, projects, labs and hands-on activities.</t>
  </si>
  <si>
    <t>NP-P0300</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</si>
  <si>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notes, summaries, reading plans and written reflection.</t>
  </si>
  <si>
    <t>NP-P0301</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</si>
  <si>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diagrams, flowcharts, mind maps and visual examples.</t>
  </si>
  <si>
    <t>NP-P0302</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</si>
  <si>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explanations, discussion, repetition and oral summaries.</t>
  </si>
  <si>
    <t>NP-P0303</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</si>
  <si>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practice, projects, labs and hands-on activities.</t>
  </si>
  <si>
    <t>NP-P0304</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</si>
  <si>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notes, summaries, reading plans and written reflection.</t>
  </si>
  <si>
    <t>NP-P0305</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</si>
  <si>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Agreeableness; use collaborative roles and service-oriented pathways. Learning strategy: use diagrams, flowcharts, mind maps and visual examples.</t>
  </si>
  <si>
    <t>NP-P0306</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</si>
  <si>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Agreeableness; use collaborative roles and service-oriented pathways. Learning strategy: use explanations, discussion, repetition and oral summaries.</t>
  </si>
  <si>
    <t>NP-P0307</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</si>
  <si>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Agreeableness; use collaborative roles and service-oriented pathways. Learning strategy: use practice, projects, labs and hands-on activities.</t>
  </si>
  <si>
    <t>NP-P0308</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</si>
  <si>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Agreeableness; use collaborative roles and service-oriented pathways. Learning strategy: use notes, summaries, reading plans and written reflection.</t>
  </si>
  <si>
    <t>NP-P0309</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</si>
  <si>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Agreeableness; use collaborative roles and service-oriented pathways. Learning strategy: use diagrams, flowcharts, mind maps and visual examples.</t>
  </si>
  <si>
    <t>NP-P0310</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</si>
  <si>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Agreeableness; use collaborative roles and service-oriented pathways. Learning strategy: use explanations, discussion, repetition and oral summaries.</t>
  </si>
  <si>
    <t>NP-P0311</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</si>
  <si>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Agreeableness; use collaborative roles and service-oriented pathways. Learning strategy: use practice, projects, labs and hands-on activities.</t>
  </si>
  <si>
    <t>NP-P0312</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</si>
  <si>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Agreeableness; use collaborative roles and service-oriented pathways. Learning strategy: use notes, summaries, reading plans and written reflection.</t>
  </si>
  <si>
    <t>NP-P0313</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</si>
  <si>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Agreeableness; use collaborative roles and service-oriented pathways. Learning strategy: use diagrams, flowcharts, mind maps and visual examples.</t>
  </si>
  <si>
    <t>NP-P0314</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</si>
  <si>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Agreeableness; use collaborative roles and service-oriented pathways. Learning strategy: use explanations, discussion, repetition and oral summaries.</t>
  </si>
  <si>
    <t>NP-P0315</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</si>
  <si>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Agreeableness; use collaborative roles and service-oriented pathways. Learning strategy: use practice, projects, labs and hands-on activities.</t>
  </si>
  <si>
    <t>NP-P0316</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</si>
  <si>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Agreeableness; use collaborative roles and service-oriented pathways. Learning strategy: use notes, summaries, reading plans and written reflection.</t>
  </si>
  <si>
    <t>NP-P0317</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</si>
  <si>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Agreeableness; use collaborative roles and service-oriented pathways. Learning strategy: use diagrams, flowcharts, mind maps and visual examples.</t>
  </si>
  <si>
    <t>NP-P0318</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</si>
  <si>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Agreeableness; use collaborative roles and service-oriented pathways. Learning strategy: use explanations, discussion, repetition and oral summaries.</t>
  </si>
  <si>
    <t>NP-P0319</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</si>
  <si>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Agreeableness; use collaborative roles and service-oriented pathways. Learning strategy: use practice, projects, labs and hands-on activities.</t>
  </si>
  <si>
    <t>NP-P0320</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</si>
  <si>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Agreeableness; use collaborative roles and service-oriented pathways. Learning strategy: use notes, summaries, reading plans and written reflection.</t>
  </si>
  <si>
    <t>NP-P0321</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</si>
  <si>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Agreeableness; use collaborative roles and service-oriented pathways. Learning strategy: use diagrams, flowcharts, mind maps and visual examples.</t>
  </si>
  <si>
    <t>NP-P0322</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</si>
  <si>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Agreeableness; use collaborative roles and service-oriented pathways. Learning strategy: use explanations, discussion, repetition and oral summaries.</t>
  </si>
  <si>
    <t>NP-P0323</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</si>
  <si>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Agreeableness; use collaborative roles and service-oriented pathways. Learning strategy: use practice, projects, labs and hands-on activities.</t>
  </si>
  <si>
    <t>NP-P0324</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</si>
  <si>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Agreeableness; use collaborative roles and service-oriented pathways. Learning strategy: use notes, summaries, reading plans and written reflection.</t>
  </si>
  <si>
    <t>NP-P0325</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</si>
  <si>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diagrams, flowcharts, mind maps and visual examples.</t>
  </si>
  <si>
    <t>NP-P0326</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</si>
  <si>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explanations, discussion, repetition and oral summaries.</t>
  </si>
  <si>
    <t>NP-P0327</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</si>
  <si>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practice, projects, labs and hands-on activities.</t>
  </si>
  <si>
    <t>NP-P0328</t>
  </si>
  <si>
    <t>Investigative interest suggests direction toward Science, medicine, research, analytics, data science.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notes, summaries, reading plans and written reflection.</t>
  </si>
  <si>
    <t>NP-P0329</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</si>
  <si>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diagrams, flowcharts, mind maps and visual examples.</t>
  </si>
  <si>
    <t>NP-P0330</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</si>
  <si>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explanations, discussion, repetition and oral summaries.</t>
  </si>
  <si>
    <t>NP-P0331</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</si>
  <si>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practice, projects, labs and hands-on activities.</t>
  </si>
  <si>
    <t>NP-P0332</t>
  </si>
  <si>
    <t>Investigative interest suggests direction toward Science, medicine, research, analytics, data science.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notes, summaries, reading plans and written reflection.</t>
  </si>
  <si>
    <t>NP-P0333</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</si>
  <si>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diagrams, flowcharts, mind maps and visual examples.</t>
  </si>
  <si>
    <t>NP-P0334</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</si>
  <si>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explanations, discussion, repetition and oral summaries.</t>
  </si>
  <si>
    <t>NP-P0335</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</si>
  <si>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practice, projects, labs and hands-on activities.</t>
  </si>
  <si>
    <t>NP-P0336</t>
  </si>
  <si>
    <t>Investigative interest suggests direction toward Science, medicine, research, analytics, data science.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notes, summaries, reading plans and written reflection.</t>
  </si>
  <si>
    <t>NP-P0337</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</si>
  <si>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diagrams, flowcharts, mind maps and visual examples.</t>
  </si>
  <si>
    <t>NP-P0338</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</si>
  <si>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explanations, discussion, repetition and oral summaries.</t>
  </si>
  <si>
    <t>NP-P0339</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</si>
  <si>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practice, projects, labs and hands-on activities.</t>
  </si>
  <si>
    <t>NP-P0340</t>
  </si>
  <si>
    <t>Investigative interest suggests direction toward Science, medicine, research, analytics, data science.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notes, summaries, reading plans and written reflection.</t>
  </si>
  <si>
    <t>NP-P0341</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</si>
  <si>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Neuroticism; prioritize emotional safety, stress reduction and reassurance. Learning strategy: use diagrams, flowcharts, mind maps and visual examples.</t>
  </si>
  <si>
    <t>NP-P0342</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</si>
  <si>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Neuroticism; prioritize emotional safety, stress reduction and reassurance. Learning strategy: use explanations, discussion, repetition and oral summaries.</t>
  </si>
  <si>
    <t>NP-P0343</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</si>
  <si>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Neuroticism; prioritize emotional safety, stress reduction and reassurance. Learning strategy: use practice, projects, labs and hands-on activities.</t>
  </si>
  <si>
    <t>NP-P0344</t>
  </si>
  <si>
    <t>Investigative interest suggests direction toward Science, medicine, research, analytics, data science. Cognitive capacity appears adequate; build concept clarity before specialization. Emotional sustainability is moderate; introduce steady routines and confidence building. Big Five signal: Neuroticism; prioritize emotional safety, stress reduction and reassurance. Learning strategy: use notes, summaries, reading plans and written reflection.</t>
  </si>
  <si>
    <t>NP-P0345</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</si>
  <si>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diagrams, flowcharts, mind maps and visual examples.</t>
  </si>
  <si>
    <t>NP-P0346</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</si>
  <si>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explanations, discussion, repetition and oral summaries.</t>
  </si>
  <si>
    <t>NP-P0347</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</si>
  <si>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practice, projects, labs and hands-on activities.</t>
  </si>
  <si>
    <t>NP-P0348</t>
  </si>
  <si>
    <t>Investigative interest suggests direction toward Science, medicine, research, analytics, data science.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notes, summaries, reading plans and written reflection.</t>
  </si>
  <si>
    <t>NP-P0349</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</si>
  <si>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diagrams, flowcharts, mind maps and visual examples.</t>
  </si>
  <si>
    <t>NP-P0350</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</si>
  <si>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explanations, discussion, repetition and oral summaries.</t>
  </si>
  <si>
    <t>NP-P0351</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</si>
  <si>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practice, projects, labs and hands-on activities.</t>
  </si>
  <si>
    <t>NP-P0352</t>
  </si>
  <si>
    <t>Investigative interest suggests direction toward Science, medicine, research, analytics, data science.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notes, summaries, reading plans and written reflection.</t>
  </si>
  <si>
    <t>NP-P0353</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</si>
  <si>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Neuroticism; prioritize emotional safety, stress reduction and reassurance. Learning strategy: use diagrams, flowcharts, mind maps and visual examples.</t>
  </si>
  <si>
    <t>NP-P0354</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</si>
  <si>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Neuroticism; prioritize emotional safety, stress reduction and reassurance. Learning strategy: use explanations, discussion, repetition and oral summaries.</t>
  </si>
  <si>
    <t>NP-P0355</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</si>
  <si>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Neuroticism; prioritize emotional safety, stress reduction and reassurance. Learning strategy: use practice, projects, labs and hands-on activities.</t>
  </si>
  <si>
    <t>NP-P0356</t>
  </si>
  <si>
    <t>Investigative interest suggests direction toward Science, medicine, research, analytics, data science. Cognitive capacity appears strong; offer advanced exposure and challenge. Emotional sustainability is moderate; introduce steady routines and confidence building. Big Five signal: Neuroticism; prioritize emotional safety, stress reduction and reassurance. Learning strategy: use notes, summaries, reading plans and written reflection.</t>
  </si>
  <si>
    <t>NP-P0357</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</si>
  <si>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Neuroticism; prioritize emotional safety, stress reduction and reassurance. Learning strategy: use diagrams, flowcharts, mind maps and visual examples.</t>
  </si>
  <si>
    <t>NP-P0358</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</si>
  <si>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Neuroticism; prioritize emotional safety, stress reduction and reassurance. Learning strategy: use explanations, discussion, repetition and oral summaries.</t>
  </si>
  <si>
    <t>NP-P0359</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</si>
  <si>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Neuroticism; prioritize emotional safety, stress reduction and reassurance. Learning strategy: use practice, projects, labs and hands-on activities.</t>
  </si>
  <si>
    <t>NP-P0360</t>
  </si>
  <si>
    <t>Investigative interest suggests direction toward Science, medicine, research, analytics, data science. Cognitive capacity appears strong; offer advanced exposure and challenge. Emotional sustainability is strong; student may handle demanding pathways with good support. Big Five signal: Neuroticism; prioritize emotional safety, stress reduction and reassurance. Learning strategy: use notes, summaries, reading plans and written reflection.</t>
  </si>
  <si>
    <t>NP-P0361</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</si>
  <si>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diagrams, flowcharts, mind maps and visual examples.</t>
  </si>
  <si>
    <t>Start with foundation-building and low-pressure exposure before confirming pathways in Design, media, writing, architecture, creative technology.</t>
  </si>
  <si>
    <t>Emotional Support, Academic Foundation, Portfolio First</t>
  </si>
  <si>
    <t>NP-P0362</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</si>
  <si>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explanations, discussion, repetition and oral summaries.</t>
  </si>
  <si>
    <t>NP-P0363</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</si>
  <si>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practice, projects, labs and hands-on activities.</t>
  </si>
  <si>
    <t>NP-P0364</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</si>
  <si>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notes, summaries, reading plans and written reflection.</t>
  </si>
  <si>
    <t>NP-P0365</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</si>
  <si>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diagrams, flowcharts, mind maps and visual examples.</t>
  </si>
  <si>
    <t>Academic Foundation, Portfolio First</t>
  </si>
  <si>
    <t>NP-P0366</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</si>
  <si>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explanations, discussion, repetition and oral summaries.</t>
  </si>
  <si>
    <t>NP-P0367</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</si>
  <si>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practice, projects, labs and hands-on activities.</t>
  </si>
  <si>
    <t>NP-P0368</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</si>
  <si>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notes, summaries, reading plans and written reflection.</t>
  </si>
  <si>
    <t>NP-P0369</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</si>
  <si>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diagrams, flowcharts, mind maps and visual examples.</t>
  </si>
  <si>
    <t>NP-P0370</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</si>
  <si>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explanations, discussion, repetition and oral summaries.</t>
  </si>
  <si>
    <t>NP-P0371</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</si>
  <si>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practice, projects, labs and hands-on activities.</t>
  </si>
  <si>
    <t>NP-P0372</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</si>
  <si>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notes, summaries, reading plans and written reflection.</t>
  </si>
  <si>
    <t>NP-P0373</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</si>
  <si>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diagrams, flowcharts, mind maps and visual examples.</t>
  </si>
  <si>
    <t>Use a 90-day exploration plan for Design, media, writing, architecture, creative technology and review confidence/clarity.</t>
  </si>
  <si>
    <t>NP-P0374</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</si>
  <si>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explanations, discussion, repetition and oral summaries.</t>
  </si>
  <si>
    <t>NP-P0375</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</si>
  <si>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practice, projects, labs and hands-on activities.</t>
  </si>
  <si>
    <t>NP-P0376</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</si>
  <si>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notes, summaries, reading plans and written reflection.</t>
  </si>
  <si>
    <t>NP-P0377</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</si>
  <si>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Openness; give exploration projects and creative problem-solving choices. Learning strategy: use diagrams, flowcharts, mind maps and visual examples.</t>
  </si>
  <si>
    <t>NP-P0378</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</si>
  <si>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Openness; give exploration projects and creative problem-solving choices. Learning strategy: use explanations, discussion, repetition and oral summaries.</t>
  </si>
  <si>
    <t>NP-P0379</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</si>
  <si>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Openness; give exploration projects and creative problem-solving choices. Learning strategy: use practice, projects, labs and hands-on activities.</t>
  </si>
  <si>
    <t>NP-P0380</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</si>
  <si>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Openness; give exploration projects and creative problem-solving choices. Learning strategy: use notes, summaries, reading plans and written reflection.</t>
  </si>
  <si>
    <t>NP-P0381</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</si>
  <si>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diagrams, flowcharts, mind maps and visual examples.</t>
  </si>
  <si>
    <t>Explore Design, media, writing, architecture, creative technology with skill-building projects and guided exposure.</t>
  </si>
  <si>
    <t>NP-P0382</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</si>
  <si>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explanations, discussion, repetition and oral summaries.</t>
  </si>
  <si>
    <t>NP-P0383</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</si>
  <si>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practice, projects, labs and hands-on activities.</t>
  </si>
  <si>
    <t>NP-P0384</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</si>
  <si>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notes, summaries, reading plans and written reflection.</t>
  </si>
  <si>
    <t>NP-P0385</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</si>
  <si>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diagrams, flowcharts, mind maps and visual examples.</t>
  </si>
  <si>
    <t>Potential is high for Design, media, writing, architecture, creative technology, but emotional support and stress plan must come first.</t>
  </si>
  <si>
    <t>NP-P0386</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</si>
  <si>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explanations, discussion, repetition and oral summaries.</t>
  </si>
  <si>
    <t>NP-P0387</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</si>
  <si>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practice, projects, labs and hands-on activities.</t>
  </si>
  <si>
    <t>NP-P0388</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</si>
  <si>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notes, summaries, reading plans and written reflection.</t>
  </si>
  <si>
    <t>NP-P0389</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</si>
  <si>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Openness; give exploration projects and creative problem-solving choices. Learning strategy: use diagrams, flowcharts, mind maps and visual examples.</t>
  </si>
  <si>
    <t>Proceed with strong-fit pathways in Design, media, writing, architecture, creative technology; add enrichment and mentorship.</t>
  </si>
  <si>
    <t>NP-P0390</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</si>
  <si>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Openness; give exploration projects and creative problem-solving choices. Learning strategy: use explanations, discussion, repetition and oral summaries.</t>
  </si>
  <si>
    <t>NP-P0391</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</si>
  <si>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Openness; give exploration projects and creative problem-solving choices. Learning strategy: use practice, projects, labs and hands-on activities.</t>
  </si>
  <si>
    <t>NP-P0392</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</si>
  <si>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Openness; give exploration projects and creative problem-solving choices. Learning strategy: use notes, summaries, reading plans and written reflection.</t>
  </si>
  <si>
    <t>NP-P0393</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</si>
  <si>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Openness; give exploration projects and creative problem-solving choices. Learning strategy: use diagrams, flowcharts, mind maps and visual examples.</t>
  </si>
  <si>
    <t>NP-P0394</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</si>
  <si>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Openness; give exploration projects and creative problem-solving choices. Learning strategy: use explanations, discussion, repetition and oral summaries.</t>
  </si>
  <si>
    <t>NP-P0395</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</si>
  <si>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Openness; give exploration projects and creative problem-solving choices. Learning strategy: use practice, projects, labs and hands-on activities.</t>
  </si>
  <si>
    <t>NP-P0396</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</si>
  <si>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Openness; give exploration projects and creative problem-solving choices. Learning strategy: use notes, summaries, reading plans and written reflection.</t>
  </si>
  <si>
    <t>NP-P0397</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</si>
  <si>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diagrams, flowcharts, mind maps and visual examples.</t>
  </si>
  <si>
    <t>NP-P0398</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</si>
  <si>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explanations, discussion, repetition and oral summaries.</t>
  </si>
  <si>
    <t>NP-P0399</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</si>
  <si>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practice, projects, labs and hands-on activities.</t>
  </si>
  <si>
    <t>NP-P0400</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</si>
  <si>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notes, summaries, reading plans and written reflection.</t>
  </si>
  <si>
    <t>NP-P0401</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</si>
  <si>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Conscientiousness; use goal plans, deadlines and accountability. Learning strategy: use diagrams, flowcharts, mind maps and visual examples.</t>
  </si>
  <si>
    <t>NP-P0402</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</si>
  <si>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Conscientiousness; use goal plans, deadlines and accountability. Learning strategy: use explanations, discussion, repetition and oral summaries.</t>
  </si>
  <si>
    <t>NP-P0403</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</si>
  <si>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Conscientiousness; use goal plans, deadlines and accountability. Learning strategy: use practice, projects, labs and hands-on activities.</t>
  </si>
  <si>
    <t>NP-P0404</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</si>
  <si>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Conscientiousness; use goal plans, deadlines and accountability. Learning strategy: use notes, summaries, reading plans and written reflection.</t>
  </si>
  <si>
    <t>NP-P0405</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</si>
  <si>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diagrams, flowcharts, mind maps and visual examples.</t>
  </si>
  <si>
    <t>NP-P0406</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</si>
  <si>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explanations, discussion, repetition and oral summaries.</t>
  </si>
  <si>
    <t>NP-P0407</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</si>
  <si>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practice, projects, labs and hands-on activities.</t>
  </si>
  <si>
    <t>NP-P0408</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</si>
  <si>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notes, summaries, reading plans and written reflection.</t>
  </si>
  <si>
    <t>NP-P0409</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</si>
  <si>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diagrams, flowcharts, mind maps and visual examples.</t>
  </si>
  <si>
    <t>NP-P0410</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</si>
  <si>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explanations, discussion, repetition and oral summaries.</t>
  </si>
  <si>
    <t>NP-P0411</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</si>
  <si>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practice, projects, labs and hands-on activities.</t>
  </si>
  <si>
    <t>NP-P0412</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</si>
  <si>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notes, summaries, reading plans and written reflection.</t>
  </si>
  <si>
    <t>NP-P0413</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</si>
  <si>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Conscientiousness; use goal plans, deadlines and accountability. Learning strategy: use diagrams, flowcharts, mind maps and visual examples.</t>
  </si>
  <si>
    <t>NP-P0414</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</si>
  <si>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Conscientiousness; use goal plans, deadlines and accountability. Learning strategy: use explanations, discussion, repetition and oral summaries.</t>
  </si>
  <si>
    <t>NP-P0415</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</si>
  <si>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Conscientiousness; use goal plans, deadlines and accountability. Learning strategy: use practice, projects, labs and hands-on activities.</t>
  </si>
  <si>
    <t>NP-P0416</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</si>
  <si>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Conscientiousness; use goal plans, deadlines and accountability. Learning strategy: use notes, summaries, reading plans and written reflection.</t>
  </si>
  <si>
    <t>NP-P0417</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</si>
  <si>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Conscientiousness; use goal plans, deadlines and accountability. Learning strategy: use diagrams, flowcharts, mind maps and visual examples.</t>
  </si>
  <si>
    <t>NP-P0418</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</si>
  <si>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Conscientiousness; use goal plans, deadlines and accountability. Learning strategy: use explanations, discussion, repetition and oral summaries.</t>
  </si>
  <si>
    <t>NP-P0419</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</si>
  <si>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Conscientiousness; use goal plans, deadlines and accountability. Learning strategy: use practice, projects, labs and hands-on activities.</t>
  </si>
  <si>
    <t>NP-P0420</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</si>
  <si>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Conscientiousness; use goal plans, deadlines and accountability. Learning strategy: use notes, summaries, reading plans and written reflection.</t>
  </si>
  <si>
    <t>NP-P0421</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</si>
  <si>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Conscientiousness; use goal plans, deadlines and accountability. Learning strategy: use diagrams, flowcharts, mind maps and visual examples.</t>
  </si>
  <si>
    <t>NP-P0422</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</si>
  <si>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Conscientiousness; use goal plans, deadlines and accountability. Learning strategy: use explanations, discussion, repetition and oral summaries.</t>
  </si>
  <si>
    <t>NP-P0423</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</si>
  <si>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Conscientiousness; use goal plans, deadlines and accountability. Learning strategy: use practice, projects, labs and hands-on activities.</t>
  </si>
  <si>
    <t>NP-P0424</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</si>
  <si>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Conscientiousness; use goal plans, deadlines and accountability. Learning strategy: use notes, summaries, reading plans and written reflection.</t>
  </si>
  <si>
    <t>NP-P0425</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</si>
  <si>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Conscientiousness; use goal plans, deadlines and accountability. Learning strategy: use diagrams, flowcharts, mind maps and visual examples.</t>
  </si>
  <si>
    <t>NP-P0426</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</si>
  <si>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Conscientiousness; use goal plans, deadlines and accountability. Learning strategy: use explanations, discussion, repetition and oral summaries.</t>
  </si>
  <si>
    <t>NP-P0427</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</si>
  <si>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Conscientiousness; use goal plans, deadlines and accountability. Learning strategy: use practice, projects, labs and hands-on activities.</t>
  </si>
  <si>
    <t>NP-P0428</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</si>
  <si>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Conscientiousness; use goal plans, deadlines and accountability. Learning strategy: use notes, summaries, reading plans and written reflection.</t>
  </si>
  <si>
    <t>NP-P0429</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</si>
  <si>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Conscientiousness; use goal plans, deadlines and accountability. Learning strategy: use diagrams, flowcharts, mind maps and visual examples.</t>
  </si>
  <si>
    <t>NP-P0430</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</si>
  <si>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Conscientiousness; use goal plans, deadlines and accountability. Learning strategy: use explanations, discussion, repetition and oral summaries.</t>
  </si>
  <si>
    <t>NP-P0431</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</si>
  <si>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Conscientiousness; use goal plans, deadlines and accountability. Learning strategy: use practice, projects, labs and hands-on activities.</t>
  </si>
  <si>
    <t>NP-P0432</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</si>
  <si>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Conscientiousness; use goal plans, deadlines and accountability. Learning strategy: use notes, summaries, reading plans and written reflection.</t>
  </si>
  <si>
    <t>NP-P0433</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</si>
  <si>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diagrams, flowcharts, mind maps and visual examples.</t>
  </si>
  <si>
    <t>NP-P0434</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</si>
  <si>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explanations, discussion, repetition and oral summaries.</t>
  </si>
  <si>
    <t>NP-P0435</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</si>
  <si>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practice, projects, labs and hands-on activities.</t>
  </si>
  <si>
    <t>NP-P0436</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</si>
  <si>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notes, summaries, reading plans and written reflection.</t>
  </si>
  <si>
    <t>NP-P0437</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</si>
  <si>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diagrams, flowcharts, mind maps and visual examples.</t>
  </si>
  <si>
    <t>NP-P0438</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</si>
  <si>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explanations, discussion, repetition and oral summaries.</t>
  </si>
  <si>
    <t>NP-P0439</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</si>
  <si>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practice, projects, labs and hands-on activities.</t>
  </si>
  <si>
    <t>NP-P0440</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</si>
  <si>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notes, summaries, reading plans and written reflection.</t>
  </si>
  <si>
    <t>NP-P0441</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</si>
  <si>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diagrams, flowcharts, mind maps and visual examples.</t>
  </si>
  <si>
    <t>NP-P0442</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</si>
  <si>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explanations, discussion, repetition and oral summaries.</t>
  </si>
  <si>
    <t>NP-P0443</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</si>
  <si>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practice, projects, labs and hands-on activities.</t>
  </si>
  <si>
    <t>NP-P0444</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</si>
  <si>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notes, summaries, reading plans and written reflection.</t>
  </si>
  <si>
    <t>NP-P0445</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</si>
  <si>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diagrams, flowcharts, mind maps and visual examples.</t>
  </si>
  <si>
    <t>NP-P0446</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</si>
  <si>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explanations, discussion, repetition and oral summaries.</t>
  </si>
  <si>
    <t>NP-P0447</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</si>
  <si>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practice, projects, labs and hands-on activities.</t>
  </si>
  <si>
    <t>NP-P0448</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</si>
  <si>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notes, summaries, reading plans and written reflection.</t>
  </si>
  <si>
    <t>NP-P0449</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</si>
  <si>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Extraversion; use discussion, presentations and group-based learning. Learning strategy: use diagrams, flowcharts, mind maps and visual examples.</t>
  </si>
  <si>
    <t>NP-P0450</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</si>
  <si>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Extraversion; use discussion, presentations and group-based learning. Learning strategy: use explanations, discussion, repetition and oral summaries.</t>
  </si>
  <si>
    <t>NP-P0451</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</si>
  <si>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Extraversion; use discussion, presentations and group-based learning. Learning strategy: use practice, projects, labs and hands-on activities.</t>
  </si>
  <si>
    <t>NP-P0452</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</si>
  <si>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Extraversion; use discussion, presentations and group-based learning. Learning strategy: use notes, summaries, reading plans and written reflection.</t>
  </si>
  <si>
    <t>NP-P0453</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</si>
  <si>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Extraversion; use discussion, presentations and group-based learning. Learning strategy: use diagrams, flowcharts, mind maps and visual examples.</t>
  </si>
  <si>
    <t>NP-P0454</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</si>
  <si>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Extraversion; use discussion, presentations and group-based learning. Learning strategy: use explanations, discussion, repetition and oral summaries.</t>
  </si>
  <si>
    <t>NP-P0455</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</si>
  <si>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Extraversion; use discussion, presentations and group-based learning. Learning strategy: use practice, projects, labs and hands-on activities.</t>
  </si>
  <si>
    <t>NP-P0456</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</si>
  <si>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Extraversion; use discussion, presentations and group-based learning. Learning strategy: use notes, summaries, reading plans and written reflection.</t>
  </si>
  <si>
    <t>NP-P0457</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</si>
  <si>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Extraversion; use discussion, presentations and group-based learning. Learning strategy: use diagrams, flowcharts, mind maps and visual examples.</t>
  </si>
  <si>
    <t>NP-P0458</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</si>
  <si>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Extraversion; use discussion, presentations and group-based learning. Learning strategy: use explanations, discussion, repetition and oral summaries.</t>
  </si>
  <si>
    <t>NP-P0459</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</si>
  <si>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Extraversion; use discussion, presentations and group-based learning. Learning strategy: use practice, projects, labs and hands-on activities.</t>
  </si>
  <si>
    <t>NP-P0460</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</si>
  <si>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Extraversion; use discussion, presentations and group-based learning. Learning strategy: use notes, summaries, reading plans and written reflection.</t>
  </si>
  <si>
    <t>NP-P0461</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</si>
  <si>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Extraversion; use discussion, presentations and group-based learning. Learning strategy: use diagrams, flowcharts, mind maps and visual examples.</t>
  </si>
  <si>
    <t>NP-P0462</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</si>
  <si>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Extraversion; use discussion, presentations and group-based learning. Learning strategy: use explanations, discussion, repetition and oral summaries.</t>
  </si>
  <si>
    <t>NP-P0463</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</si>
  <si>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Extraversion; use discussion, presentations and group-based learning. Learning strategy: use practice, projects, labs and hands-on activities.</t>
  </si>
  <si>
    <t>NP-P0464</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</si>
  <si>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Extraversion; use discussion, presentations and group-based learning. Learning strategy: use notes, summaries, reading plans and written reflection.</t>
  </si>
  <si>
    <t>NP-P0465</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</si>
  <si>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Extraversion; use discussion, presentations and group-based learning. Learning strategy: use diagrams, flowcharts, mind maps and visual examples.</t>
  </si>
  <si>
    <t>NP-P0466</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</si>
  <si>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Extraversion; use discussion, presentations and group-based learning. Learning strategy: use explanations, discussion, repetition and oral summaries.</t>
  </si>
  <si>
    <t>NP-P0467</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</si>
  <si>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Extraversion; use discussion, presentations and group-based learning. Learning strategy: use practice, projects, labs and hands-on activities.</t>
  </si>
  <si>
    <t>NP-P0468</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</si>
  <si>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Extraversion; use discussion, presentations and group-based learning. Learning strategy: use notes, summaries, reading plans and written reflection.</t>
  </si>
  <si>
    <t>NP-P0469</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</si>
  <si>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diagrams, flowcharts, mind maps and visual examples.</t>
  </si>
  <si>
    <t>NP-P0470</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</si>
  <si>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explanations, discussion, repetition and oral summaries.</t>
  </si>
  <si>
    <t>NP-P0471</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</si>
  <si>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practice, projects, labs and hands-on activities.</t>
  </si>
  <si>
    <t>NP-P0472</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</si>
  <si>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notes, summaries, reading plans and written reflection.</t>
  </si>
  <si>
    <t>NP-P0473</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</si>
  <si>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diagrams, flowcharts, mind maps and visual examples.</t>
  </si>
  <si>
    <t>NP-P0474</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</si>
  <si>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explanations, discussion, repetition and oral summaries.</t>
  </si>
  <si>
    <t>NP-P0475</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</si>
  <si>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practice, projects, labs and hands-on activities.</t>
  </si>
  <si>
    <t>NP-P0476</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</si>
  <si>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notes, summaries, reading plans and written reflection.</t>
  </si>
  <si>
    <t>NP-P0477</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</si>
  <si>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diagrams, flowcharts, mind maps and visual examples.</t>
  </si>
  <si>
    <t>NP-P0478</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</si>
  <si>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explanations, discussion, repetition and oral summaries.</t>
  </si>
  <si>
    <t>NP-P0479</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</si>
  <si>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practice, projects, labs and hands-on activities.</t>
  </si>
  <si>
    <t>NP-P0480</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</si>
  <si>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notes, summaries, reading plans and written reflection.</t>
  </si>
  <si>
    <t>NP-P0481</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</si>
  <si>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diagrams, flowcharts, mind maps and visual examples.</t>
  </si>
  <si>
    <t>NP-P0482</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</si>
  <si>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explanations, discussion, repetition and oral summaries.</t>
  </si>
  <si>
    <t>NP-P0483</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</si>
  <si>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practice, projects, labs and hands-on activities.</t>
  </si>
  <si>
    <t>NP-P0484</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</si>
  <si>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notes, summaries, reading plans and written reflection.</t>
  </si>
  <si>
    <t>NP-P0485</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</si>
  <si>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Agreeableness; use collaborative roles and service-oriented pathways. Learning strategy: use diagrams, flowcharts, mind maps and visual examples.</t>
  </si>
  <si>
    <t>NP-P0486</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</si>
  <si>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Agreeableness; use collaborative roles and service-oriented pathways. Learning strategy: use explanations, discussion, repetition and oral summaries.</t>
  </si>
  <si>
    <t>NP-P0487</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</si>
  <si>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Agreeableness; use collaborative roles and service-oriented pathways. Learning strategy: use practice, projects, labs and hands-on activities.</t>
  </si>
  <si>
    <t>NP-P0488</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</si>
  <si>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Agreeableness; use collaborative roles and service-oriented pathways. Learning strategy: use notes, summaries, reading plans and written reflection.</t>
  </si>
  <si>
    <t>NP-P0489</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</si>
  <si>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Agreeableness; use collaborative roles and service-oriented pathways. Learning strategy: use diagrams, flowcharts, mind maps and visual examples.</t>
  </si>
  <si>
    <t>NP-P0490</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</si>
  <si>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Agreeableness; use collaborative roles and service-oriented pathways. Learning strategy: use explanations, discussion, repetition and oral summaries.</t>
  </si>
  <si>
    <t>NP-P0491</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</si>
  <si>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Agreeableness; use collaborative roles and service-oriented pathways. Learning strategy: use practice, projects, labs and hands-on activities.</t>
  </si>
  <si>
    <t>NP-P0492</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</si>
  <si>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Agreeableness; use collaborative roles and service-oriented pathways. Learning strategy: use notes, summaries, reading plans and written reflection.</t>
  </si>
  <si>
    <t>NP-P0493</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</si>
  <si>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Agreeableness; use collaborative roles and service-oriented pathways. Learning strategy: use diagrams, flowcharts, mind maps and visual examples.</t>
  </si>
  <si>
    <t>NP-P0494</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</si>
  <si>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Agreeableness; use collaborative roles and service-oriented pathways. Learning strategy: use explanations, discussion, repetition and oral summaries.</t>
  </si>
  <si>
    <t>NP-P0495</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</si>
  <si>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Agreeableness; use collaborative roles and service-oriented pathways. Learning strategy: use practice, projects, labs and hands-on activities.</t>
  </si>
  <si>
    <t>NP-P0496</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</si>
  <si>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Agreeableness; use collaborative roles and service-oriented pathways. Learning strategy: use notes, summaries, reading plans and written reflection.</t>
  </si>
  <si>
    <t>NP-P0497</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</si>
  <si>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Agreeableness; use collaborative roles and service-oriented pathways. Learning strategy: use diagrams, flowcharts, mind maps and visual examples.</t>
  </si>
  <si>
    <t>NP-P0498</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</si>
  <si>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Agreeableness; use collaborative roles and service-oriented pathways. Learning strategy: use explanations, discussion, repetition and oral summaries.</t>
  </si>
  <si>
    <t>NP-P0499</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</si>
  <si>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Agreeableness; use collaborative roles and service-oriented pathways. Learning strategy: use practice, projects, labs and hands-on activities.</t>
  </si>
  <si>
    <t>NP-P0500</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</si>
  <si>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Agreeableness; use collaborative roles and service-oriented pathways. Learning strategy: use notes, summaries, reading plans and written reflection.</t>
  </si>
  <si>
    <t>NP-P0501</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</si>
  <si>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Agreeableness; use collaborative roles and service-oriented pathways. Learning strategy: use diagrams, flowcharts, mind maps and visual examples.</t>
  </si>
  <si>
    <t>NP-P0502</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</si>
  <si>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Agreeableness; use collaborative roles and service-oriented pathways. Learning strategy: use explanations, discussion, repetition and oral summaries.</t>
  </si>
  <si>
    <t>NP-P0503</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</si>
  <si>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Agreeableness; use collaborative roles and service-oriented pathways. Learning strategy: use practice, projects, labs and hands-on activities.</t>
  </si>
  <si>
    <t>NP-P0504</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</si>
  <si>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Agreeableness; use collaborative roles and service-oriented pathways. Learning strategy: use notes, summaries, reading plans and written reflection.</t>
  </si>
  <si>
    <t>NP-P0505</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</si>
  <si>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diagrams, flowcharts, mind maps and visual examples.</t>
  </si>
  <si>
    <t>Emotional Support, Academic Foundation, Stress Sensitivity, Portfolio First</t>
  </si>
  <si>
    <t>NP-P0506</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</si>
  <si>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explanations, discussion, repetition and oral summaries.</t>
  </si>
  <si>
    <t>NP-P0507</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</si>
  <si>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practice, projects, labs and hands-on activities.</t>
  </si>
  <si>
    <t>NP-P0508</t>
  </si>
  <si>
    <t>Artistic interest suggests direction toward Design, media, writing, architecture, creative technology.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notes, summaries, reading plans and written reflection.</t>
  </si>
  <si>
    <t>NP-P0509</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</si>
  <si>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diagrams, flowcharts, mind maps and visual examples.</t>
  </si>
  <si>
    <t>Academic Foundation, Stress Sensitivity, Portfolio First</t>
  </si>
  <si>
    <t>NP-P0510</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</si>
  <si>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explanations, discussion, repetition and oral summaries.</t>
  </si>
  <si>
    <t>NP-P0511</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</si>
  <si>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practice, projects, labs and hands-on activities.</t>
  </si>
  <si>
    <t>NP-P0512</t>
  </si>
  <si>
    <t>Artistic interest suggests direction toward Design, media, writing, architecture, creative technology.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notes, summaries, reading plans and written reflection.</t>
  </si>
  <si>
    <t>NP-P0513</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</si>
  <si>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diagrams, flowcharts, mind maps and visual examples.</t>
  </si>
  <si>
    <t>NP-P0514</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</si>
  <si>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explanations, discussion, repetition and oral summaries.</t>
  </si>
  <si>
    <t>NP-P0515</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</si>
  <si>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practice, projects, labs and hands-on activities.</t>
  </si>
  <si>
    <t>NP-P0516</t>
  </si>
  <si>
    <t>Artistic interest suggests direction toward Design, media, writing, architecture, creative technology.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notes, summaries, reading plans and written reflection.</t>
  </si>
  <si>
    <t>NP-P0517</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</si>
  <si>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diagrams, flowcharts, mind maps and visual examples.</t>
  </si>
  <si>
    <t>NP-P0518</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</si>
  <si>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explanations, discussion, repetition and oral summaries.</t>
  </si>
  <si>
    <t>NP-P0519</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</si>
  <si>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practice, projects, labs and hands-on activities.</t>
  </si>
  <si>
    <t>NP-P0520</t>
  </si>
  <si>
    <t>Artistic interest suggests direction toward Design, media, writing, architecture, creative technology.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notes, summaries, reading plans and written reflection.</t>
  </si>
  <si>
    <t>NP-P0521</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</si>
  <si>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Neuroticism; prioritize emotional safety, stress reduction and reassurance. Learning strategy: use diagrams, flowcharts, mind maps and visual examples.</t>
  </si>
  <si>
    <t>NP-P0522</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</si>
  <si>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Neuroticism; prioritize emotional safety, stress reduction and reassurance. Learning strategy: use explanations, discussion, repetition and oral summaries.</t>
  </si>
  <si>
    <t>NP-P0523</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</si>
  <si>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Neuroticism; prioritize emotional safety, stress reduction and reassurance. Learning strategy: use practice, projects, labs and hands-on activities.</t>
  </si>
  <si>
    <t>NP-P0524</t>
  </si>
  <si>
    <t>Artistic interest suggests direction toward Design, media, writing, architecture, creative technology. Cognitive capacity appears adequate; build concept clarity before specialization. Emotional sustainability is moderate; introduce steady routines and confidence building. Big Five signal: Neuroticism; prioritize emotional safety, stress reduction and reassurance. Learning strategy: use notes, summaries, reading plans and written reflection.</t>
  </si>
  <si>
    <t>NP-P0525</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</si>
  <si>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diagrams, flowcharts, mind maps and visual examples.</t>
  </si>
  <si>
    <t>NP-P0526</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</si>
  <si>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explanations, discussion, repetition and oral summaries.</t>
  </si>
  <si>
    <t>NP-P0527</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</si>
  <si>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practice, projects, labs and hands-on activities.</t>
  </si>
  <si>
    <t>NP-P0528</t>
  </si>
  <si>
    <t>Artistic interest suggests direction toward Design, media, writing, architecture, creative technology.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notes, summaries, reading plans and written reflection.</t>
  </si>
  <si>
    <t>NP-P0529</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</si>
  <si>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diagrams, flowcharts, mind maps and visual examples.</t>
  </si>
  <si>
    <t>NP-P0530</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</si>
  <si>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explanations, discussion, repetition and oral summaries.</t>
  </si>
  <si>
    <t>NP-P0531</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</si>
  <si>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practice, projects, labs and hands-on activities.</t>
  </si>
  <si>
    <t>NP-P0532</t>
  </si>
  <si>
    <t>Artistic interest suggests direction toward Design, media, writing, architecture, creative technology.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notes, summaries, reading plans and written reflection.</t>
  </si>
  <si>
    <t>NP-P0533</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</si>
  <si>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Neuroticism; prioritize emotional safety, stress reduction and reassurance. Learning strategy: use diagrams, flowcharts, mind maps and visual examples.</t>
  </si>
  <si>
    <t>NP-P0534</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</si>
  <si>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Neuroticism; prioritize emotional safety, stress reduction and reassurance. Learning strategy: use explanations, discussion, repetition and oral summaries.</t>
  </si>
  <si>
    <t>NP-P0535</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</si>
  <si>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Neuroticism; prioritize emotional safety, stress reduction and reassurance. Learning strategy: use practice, projects, labs and hands-on activities.</t>
  </si>
  <si>
    <t>NP-P0536</t>
  </si>
  <si>
    <t>Artistic interest suggests direction toward Design, media, writing, architecture, creative technology. Cognitive capacity appears strong; offer advanced exposure and challenge. Emotional sustainability is moderate; introduce steady routines and confidence building. Big Five signal: Neuroticism; prioritize emotional safety, stress reduction and reassurance. Learning strategy: use notes, summaries, reading plans and written reflection.</t>
  </si>
  <si>
    <t>NP-P0537</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</si>
  <si>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Neuroticism; prioritize emotional safety, stress reduction and reassurance. Learning strategy: use diagrams, flowcharts, mind maps and visual examples.</t>
  </si>
  <si>
    <t>NP-P0538</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</si>
  <si>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Neuroticism; prioritize emotional safety, stress reduction and reassurance. Learning strategy: use explanations, discussion, repetition and oral summaries.</t>
  </si>
  <si>
    <t>NP-P0539</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</si>
  <si>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Neuroticism; prioritize emotional safety, stress reduction and reassurance. Learning strategy: use practice, projects, labs and hands-on activities.</t>
  </si>
  <si>
    <t>NP-P0540</t>
  </si>
  <si>
    <t>Artistic interest suggests direction toward Design, media, writing, architecture, creative technology. Cognitive capacity appears strong; offer advanced exposure and challenge. Emotional sustainability is strong; student may handle demanding pathways with good support. Big Five signal: Neuroticism; prioritize emotional safety, stress reduction and reassurance. Learning strategy: use notes, summaries, reading plans and written reflection.</t>
  </si>
  <si>
    <t>NP-P0541</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</si>
  <si>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diagrams, flowcharts, mind maps and visual examples.</t>
  </si>
  <si>
    <t>Start with foundation-building and low-pressure exposure before confirming pathways in Psychology, teaching, healthcare, counseling, social impact.</t>
  </si>
  <si>
    <t>NP-P0542</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</si>
  <si>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explanations, discussion, repetition and oral summaries.</t>
  </si>
  <si>
    <t>NP-P0543</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</si>
  <si>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practice, projects, labs and hands-on activities.</t>
  </si>
  <si>
    <t>NP-P0544</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</si>
  <si>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notes, summaries, reading plans and written reflection.</t>
  </si>
  <si>
    <t>NP-P0545</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</si>
  <si>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diagrams, flowcharts, mind maps and visual examples.</t>
  </si>
  <si>
    <t>NP-P0546</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</si>
  <si>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explanations, discussion, repetition and oral summaries.</t>
  </si>
  <si>
    <t>NP-P0547</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</si>
  <si>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practice, projects, labs and hands-on activities.</t>
  </si>
  <si>
    <t>NP-P0548</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</si>
  <si>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notes, summaries, reading plans and written reflection.</t>
  </si>
  <si>
    <t>NP-P0549</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</si>
  <si>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diagrams, flowcharts, mind maps and visual examples.</t>
  </si>
  <si>
    <t>NP-P0550</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</si>
  <si>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explanations, discussion, repetition and oral summaries.</t>
  </si>
  <si>
    <t>NP-P0551</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</si>
  <si>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practice, projects, labs and hands-on activities.</t>
  </si>
  <si>
    <t>NP-P0552</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</si>
  <si>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notes, summaries, reading plans and written reflection.</t>
  </si>
  <si>
    <t>NP-P0553</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</si>
  <si>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diagrams, flowcharts, mind maps and visual examples.</t>
  </si>
  <si>
    <t>Use a 90-day exploration plan for Psychology, teaching, healthcare, counseling, social impact and review confidence/clarity.</t>
  </si>
  <si>
    <t>NP-P0554</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</si>
  <si>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explanations, discussion, repetition and oral summaries.</t>
  </si>
  <si>
    <t>NP-P0555</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</si>
  <si>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practice, projects, labs and hands-on activities.</t>
  </si>
  <si>
    <t>NP-P0556</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</si>
  <si>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notes, summaries, reading plans and written reflection.</t>
  </si>
  <si>
    <t>NP-P0557</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</si>
  <si>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Openness; give exploration projects and creative problem-solving choices. Learning strategy: use diagrams, flowcharts, mind maps and visual examples.</t>
  </si>
  <si>
    <t>NP-P0558</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</si>
  <si>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Openness; give exploration projects and creative problem-solving choices. Learning strategy: use explanations, discussion, repetition and oral summaries.</t>
  </si>
  <si>
    <t>NP-P0559</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</si>
  <si>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Openness; give exploration projects and creative problem-solving choices. Learning strategy: use practice, projects, labs and hands-on activities.</t>
  </si>
  <si>
    <t>NP-P0560</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</si>
  <si>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Openness; give exploration projects and creative problem-solving choices. Learning strategy: use notes, summaries, reading plans and written reflection.</t>
  </si>
  <si>
    <t>NP-P0561</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</si>
  <si>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diagrams, flowcharts, mind maps and visual examples.</t>
  </si>
  <si>
    <t>Explore Psychology, teaching, healthcare, counseling, social impact with skill-building projects and guided exposure.</t>
  </si>
  <si>
    <t>NP-P0562</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</si>
  <si>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explanations, discussion, repetition and oral summaries.</t>
  </si>
  <si>
    <t>NP-P0563</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</si>
  <si>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practice, projects, labs and hands-on activities.</t>
  </si>
  <si>
    <t>NP-P0564</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</si>
  <si>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notes, summaries, reading plans and written reflection.</t>
  </si>
  <si>
    <t>NP-P0565</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</si>
  <si>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diagrams, flowcharts, mind maps and visual examples.</t>
  </si>
  <si>
    <t>Potential is high for Psychology, teaching, healthcare, counseling, social impact, but emotional support and stress plan must come first.</t>
  </si>
  <si>
    <t>NP-P0566</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</si>
  <si>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explanations, discussion, repetition and oral summaries.</t>
  </si>
  <si>
    <t>NP-P0567</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</si>
  <si>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practice, projects, labs and hands-on activities.</t>
  </si>
  <si>
    <t>NP-P0568</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</si>
  <si>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notes, summaries, reading plans and written reflection.</t>
  </si>
  <si>
    <t>NP-P0569</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</si>
  <si>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Openness; give exploration projects and creative problem-solving choices. Learning strategy: use diagrams, flowcharts, mind maps and visual examples.</t>
  </si>
  <si>
    <t>Proceed with strong-fit pathways in Psychology, teaching, healthcare, counseling, social impact; add enrichment and mentorship.</t>
  </si>
  <si>
    <t>NP-P0570</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</si>
  <si>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Openness; give exploration projects and creative problem-solving choices. Learning strategy: use explanations, discussion, repetition and oral summaries.</t>
  </si>
  <si>
    <t>NP-P0571</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</si>
  <si>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Openness; give exploration projects and creative problem-solving choices. Learning strategy: use practice, projects, labs and hands-on activities.</t>
  </si>
  <si>
    <t>NP-P0572</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</si>
  <si>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Openness; give exploration projects and creative problem-solving choices. Learning strategy: use notes, summaries, reading plans and written reflection.</t>
  </si>
  <si>
    <t>NP-P0573</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</si>
  <si>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Openness; give exploration projects and creative problem-solving choices. Learning strategy: use diagrams, flowcharts, mind maps and visual examples.</t>
  </si>
  <si>
    <t>NP-P0574</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</si>
  <si>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Openness; give exploration projects and creative problem-solving choices. Learning strategy: use explanations, discussion, repetition and oral summaries.</t>
  </si>
  <si>
    <t>NP-P0575</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</si>
  <si>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Openness; give exploration projects and creative problem-solving choices. Learning strategy: use practice, projects, labs and hands-on activities.</t>
  </si>
  <si>
    <t>NP-P0576</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</si>
  <si>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Openness; give exploration projects and creative problem-solving choices. Learning strategy: use notes, summaries, reading plans and written reflection.</t>
  </si>
  <si>
    <t>NP-P0577</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</si>
  <si>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diagrams, flowcharts, mind maps and visual examples.</t>
  </si>
  <si>
    <t>NP-P0578</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</si>
  <si>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explanations, discussion, repetition and oral summaries.</t>
  </si>
  <si>
    <t>NP-P0579</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</si>
  <si>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practice, projects, labs and hands-on activities.</t>
  </si>
  <si>
    <t>NP-P0580</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</si>
  <si>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notes, summaries, reading plans and written reflection.</t>
  </si>
  <si>
    <t>NP-P0581</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</si>
  <si>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Conscientiousness; use goal plans, deadlines and accountability. Learning strategy: use diagrams, flowcharts, mind maps and visual examples.</t>
  </si>
  <si>
    <t>NP-P0582</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</si>
  <si>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Conscientiousness; use goal plans, deadlines and accountability. Learning strategy: use explanations, discussion, repetition and oral summaries.</t>
  </si>
  <si>
    <t>NP-P0583</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</si>
  <si>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Conscientiousness; use goal plans, deadlines and accountability. Learning strategy: use practice, projects, labs and hands-on activities.</t>
  </si>
  <si>
    <t>NP-P0584</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</si>
  <si>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Conscientiousness; use goal plans, deadlines and accountability. Learning strategy: use notes, summaries, reading plans and written reflection.</t>
  </si>
  <si>
    <t>NP-P0585</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</si>
  <si>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diagrams, flowcharts, mind maps and visual examples.</t>
  </si>
  <si>
    <t>NP-P0586</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</si>
  <si>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explanations, discussion, repetition and oral summaries.</t>
  </si>
  <si>
    <t>NP-P0587</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</si>
  <si>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practice, projects, labs and hands-on activities.</t>
  </si>
  <si>
    <t>NP-P0588</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</si>
  <si>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notes, summaries, reading plans and written reflection.</t>
  </si>
  <si>
    <t>NP-P0589</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</si>
  <si>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diagrams, flowcharts, mind maps and visual examples.</t>
  </si>
  <si>
    <t>NP-P0590</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</si>
  <si>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explanations, discussion, repetition and oral summaries.</t>
  </si>
  <si>
    <t>NP-P0591</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</si>
  <si>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practice, projects, labs and hands-on activities.</t>
  </si>
  <si>
    <t>NP-P0592</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</si>
  <si>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notes, summaries, reading plans and written reflection.</t>
  </si>
  <si>
    <t>NP-P0593</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</si>
  <si>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Conscientiousness; use goal plans, deadlines and accountability. Learning strategy: use diagrams, flowcharts, mind maps and visual examples.</t>
  </si>
  <si>
    <t>NP-P0594</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</si>
  <si>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Conscientiousness; use goal plans, deadlines and accountability. Learning strategy: use explanations, discussion, repetition and oral summaries.</t>
  </si>
  <si>
    <t>NP-P0595</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</si>
  <si>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Conscientiousness; use goal plans, deadlines and accountability. Learning strategy: use practice, projects, labs and hands-on activities.</t>
  </si>
  <si>
    <t>NP-P0596</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</si>
  <si>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Conscientiousness; use goal plans, deadlines and accountability. Learning strategy: use notes, summaries, reading plans and written reflection.</t>
  </si>
  <si>
    <t>NP-P0597</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</si>
  <si>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Conscientiousness; use goal plans, deadlines and accountability. Learning strategy: use diagrams, flowcharts, mind maps and visual examples.</t>
  </si>
  <si>
    <t>NP-P0598</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</si>
  <si>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Conscientiousness; use goal plans, deadlines and accountability. Learning strategy: use explanations, discussion, repetition and oral summaries.</t>
  </si>
  <si>
    <t>NP-P0599</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</si>
  <si>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Conscientiousness; use goal plans, deadlines and accountability. Learning strategy: use practice, projects, labs and hands-on activities.</t>
  </si>
  <si>
    <t>NP-P0600</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</si>
  <si>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Conscientiousness; use goal plans, deadlines and accountability. Learning strategy: use notes, summaries, reading plans and written reflection.</t>
  </si>
  <si>
    <t>NP-P0601</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</si>
  <si>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Conscientiousness; use goal plans, deadlines and accountability. Learning strategy: use diagrams, flowcharts, mind maps and visual examples.</t>
  </si>
  <si>
    <t>NP-P0602</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</si>
  <si>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Conscientiousness; use goal plans, deadlines and accountability. Learning strategy: use explanations, discussion, repetition and oral summaries.</t>
  </si>
  <si>
    <t>NP-P0603</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</si>
  <si>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Conscientiousness; use goal plans, deadlines and accountability. Learning strategy: use practice, projects, labs and hands-on activities.</t>
  </si>
  <si>
    <t>NP-P0604</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</si>
  <si>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Conscientiousness; use goal plans, deadlines and accountability. Learning strategy: use notes, summaries, reading plans and written reflection.</t>
  </si>
  <si>
    <t>NP-P0605</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</si>
  <si>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Conscientiousness; use goal plans, deadlines and accountability. Learning strategy: use diagrams, flowcharts, mind maps and visual examples.</t>
  </si>
  <si>
    <t>NP-P0606</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</si>
  <si>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Conscientiousness; use goal plans, deadlines and accountability. Learning strategy: use explanations, discussion, repetition and oral summaries.</t>
  </si>
  <si>
    <t>NP-P0607</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</si>
  <si>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Conscientiousness; use goal plans, deadlines and accountability. Learning strategy: use practice, projects, labs and hands-on activities.</t>
  </si>
  <si>
    <t>NP-P0608</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</si>
  <si>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Conscientiousness; use goal plans, deadlines and accountability. Learning strategy: use notes, summaries, reading plans and written reflection.</t>
  </si>
  <si>
    <t>NP-P0609</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</si>
  <si>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Conscientiousness; use goal plans, deadlines and accountability. Learning strategy: use diagrams, flowcharts, mind maps and visual examples.</t>
  </si>
  <si>
    <t>NP-P0610</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</si>
  <si>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Conscientiousness; use goal plans, deadlines and accountability. Learning strategy: use explanations, discussion, repetition and oral summaries.</t>
  </si>
  <si>
    <t>NP-P0611</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</si>
  <si>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Conscientiousness; use goal plans, deadlines and accountability. Learning strategy: use practice, projects, labs and hands-on activities.</t>
  </si>
  <si>
    <t>NP-P0612</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</si>
  <si>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Conscientiousness; use goal plans, deadlines and accountability. Learning strategy: use notes, summaries, reading plans and written reflection.</t>
  </si>
  <si>
    <t>NP-P0613</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</si>
  <si>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diagrams, flowcharts, mind maps and visual examples.</t>
  </si>
  <si>
    <t>NP-P0614</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</si>
  <si>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explanations, discussion, repetition and oral summaries.</t>
  </si>
  <si>
    <t>NP-P0615</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</si>
  <si>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practice, projects, labs and hands-on activities.</t>
  </si>
  <si>
    <t>NP-P0616</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</si>
  <si>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notes, summaries, reading plans and written reflection.</t>
  </si>
  <si>
    <t>NP-P0617</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</si>
  <si>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diagrams, flowcharts, mind maps and visual examples.</t>
  </si>
  <si>
    <t>NP-P0618</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</si>
  <si>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explanations, discussion, repetition and oral summaries.</t>
  </si>
  <si>
    <t>NP-P0619</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</si>
  <si>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practice, projects, labs and hands-on activities.</t>
  </si>
  <si>
    <t>NP-P0620</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</si>
  <si>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notes, summaries, reading plans and written reflection.</t>
  </si>
  <si>
    <t>NP-P0621</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</si>
  <si>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diagrams, flowcharts, mind maps and visual examples.</t>
  </si>
  <si>
    <t>NP-P0622</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</si>
  <si>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explanations, discussion, repetition and oral summaries.</t>
  </si>
  <si>
    <t>NP-P0623</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</si>
  <si>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practice, projects, labs and hands-on activities.</t>
  </si>
  <si>
    <t>NP-P0624</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</si>
  <si>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notes, summaries, reading plans and written reflection.</t>
  </si>
  <si>
    <t>NP-P0625</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</si>
  <si>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diagrams, flowcharts, mind maps and visual examples.</t>
  </si>
  <si>
    <t>NP-P0626</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</si>
  <si>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explanations, discussion, repetition and oral summaries.</t>
  </si>
  <si>
    <t>NP-P0627</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</si>
  <si>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practice, projects, labs and hands-on activities.</t>
  </si>
  <si>
    <t>NP-P0628</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</si>
  <si>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notes, summaries, reading plans and written reflection.</t>
  </si>
  <si>
    <t>NP-P0629</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</si>
  <si>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Extraversion; use discussion, presentations and group-based learning. Learning strategy: use diagrams, flowcharts, mind maps and visual examples.</t>
  </si>
  <si>
    <t>NP-P0630</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</si>
  <si>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Extraversion; use discussion, presentations and group-based learning. Learning strategy: use explanations, discussion, repetition and oral summaries.</t>
  </si>
  <si>
    <t>NP-P0631</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</si>
  <si>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Extraversion; use discussion, presentations and group-based learning. Learning strategy: use practice, projects, labs and hands-on activities.</t>
  </si>
  <si>
    <t>NP-P0632</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</si>
  <si>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Extraversion; use discussion, presentations and group-based learning. Learning strategy: use notes, summaries, reading plans and written reflection.</t>
  </si>
  <si>
    <t>NP-P0633</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</si>
  <si>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Extraversion; use discussion, presentations and group-based learning. Learning strategy: use diagrams, flowcharts, mind maps and visual examples.</t>
  </si>
  <si>
    <t>NP-P0634</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</si>
  <si>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Extraversion; use discussion, presentations and group-based learning. Learning strategy: use explanations, discussion, repetition and oral summaries.</t>
  </si>
  <si>
    <t>NP-P0635</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</si>
  <si>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Extraversion; use discussion, presentations and group-based learning. Learning strategy: use practice, projects, labs and hands-on activities.</t>
  </si>
  <si>
    <t>NP-P0636</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</si>
  <si>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Extraversion; use discussion, presentations and group-based learning. Learning strategy: use notes, summaries, reading plans and written reflection.</t>
  </si>
  <si>
    <t>NP-P0637</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</si>
  <si>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Extraversion; use discussion, presentations and group-based learning. Learning strategy: use diagrams, flowcharts, mind maps and visual examples.</t>
  </si>
  <si>
    <t>NP-P0638</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</si>
  <si>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Extraversion; use discussion, presentations and group-based learning. Learning strategy: use explanations, discussion, repetition and oral summaries.</t>
  </si>
  <si>
    <t>NP-P0639</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</si>
  <si>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Extraversion; use discussion, presentations and group-based learning. Learning strategy: use practice, projects, labs and hands-on activities.</t>
  </si>
  <si>
    <t>NP-P0640</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</si>
  <si>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Extraversion; use discussion, presentations and group-based learning. Learning strategy: use notes, summaries, reading plans and written reflection.</t>
  </si>
  <si>
    <t>NP-P0641</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</si>
  <si>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Extraversion; use discussion, presentations and group-based learning. Learning strategy: use diagrams, flowcharts, mind maps and visual examples.</t>
  </si>
  <si>
    <t>NP-P0642</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</si>
  <si>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Extraversion; use discussion, presentations and group-based learning. Learning strategy: use explanations, discussion, repetition and oral summaries.</t>
  </si>
  <si>
    <t>NP-P0643</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</si>
  <si>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Extraversion; use discussion, presentations and group-based learning. Learning strategy: use practice, projects, labs and hands-on activities.</t>
  </si>
  <si>
    <t>NP-P0644</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</si>
  <si>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Extraversion; use discussion, presentations and group-based learning. Learning strategy: use notes, summaries, reading plans and written reflection.</t>
  </si>
  <si>
    <t>NP-P0645</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</si>
  <si>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Extraversion; use discussion, presentations and group-based learning. Learning strategy: use diagrams, flowcharts, mind maps and visual examples.</t>
  </si>
  <si>
    <t>NP-P0646</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</si>
  <si>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Extraversion; use discussion, presentations and group-based learning. Learning strategy: use explanations, discussion, repetition and oral summaries.</t>
  </si>
  <si>
    <t>NP-P0647</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</si>
  <si>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Extraversion; use discussion, presentations and group-based learning. Learning strategy: use practice, projects, labs and hands-on activities.</t>
  </si>
  <si>
    <t>NP-P0648</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</si>
  <si>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Extraversion; use discussion, presentations and group-based learning. Learning strategy: use notes, summaries, reading plans and written reflection.</t>
  </si>
  <si>
    <t>NP-P0649</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</si>
  <si>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diagrams, flowcharts, mind maps and visual examples.</t>
  </si>
  <si>
    <t>NP-P0650</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</si>
  <si>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explanations, discussion, repetition and oral summaries.</t>
  </si>
  <si>
    <t>NP-P0651</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</si>
  <si>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practice, projects, labs and hands-on activities.</t>
  </si>
  <si>
    <t>NP-P0652</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</si>
  <si>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notes, summaries, reading plans and written reflection.</t>
  </si>
  <si>
    <t>NP-P0653</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</si>
  <si>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diagrams, flowcharts, mind maps and visual examples.</t>
  </si>
  <si>
    <t>NP-P0654</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</si>
  <si>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explanations, discussion, repetition and oral summaries.</t>
  </si>
  <si>
    <t>NP-P0655</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</si>
  <si>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practice, projects, labs and hands-on activities.</t>
  </si>
  <si>
    <t>NP-P0656</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</si>
  <si>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notes, summaries, reading plans and written reflection.</t>
  </si>
  <si>
    <t>NP-P0657</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</si>
  <si>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diagrams, flowcharts, mind maps and visual examples.</t>
  </si>
  <si>
    <t>NP-P0658</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</si>
  <si>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explanations, discussion, repetition and oral summaries.</t>
  </si>
  <si>
    <t>NP-P0659</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</si>
  <si>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practice, projects, labs and hands-on activities.</t>
  </si>
  <si>
    <t>NP-P0660</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</si>
  <si>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notes, summaries, reading plans and written reflection.</t>
  </si>
  <si>
    <t>NP-P0661</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</si>
  <si>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diagrams, flowcharts, mind maps and visual examples.</t>
  </si>
  <si>
    <t>NP-P0662</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</si>
  <si>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explanations, discussion, repetition and oral summaries.</t>
  </si>
  <si>
    <t>NP-P0663</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</si>
  <si>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practice, projects, labs and hands-on activities.</t>
  </si>
  <si>
    <t>NP-P0664</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</si>
  <si>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notes, summaries, reading plans and written reflection.</t>
  </si>
  <si>
    <t>NP-P0665</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</si>
  <si>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Agreeableness; use collaborative roles and service-oriented pathways. Learning strategy: use diagrams, flowcharts, mind maps and visual examples.</t>
  </si>
  <si>
    <t>NP-P0666</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</si>
  <si>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Agreeableness; use collaborative roles and service-oriented pathways. Learning strategy: use explanations, discussion, repetition and oral summaries.</t>
  </si>
  <si>
    <t>NP-P0667</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</si>
  <si>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Agreeableness; use collaborative roles and service-oriented pathways. Learning strategy: use practice, projects, labs and hands-on activities.</t>
  </si>
  <si>
    <t>NP-P0668</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</si>
  <si>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Agreeableness; use collaborative roles and service-oriented pathways. Learning strategy: use notes, summaries, reading plans and written reflection.</t>
  </si>
  <si>
    <t>NP-P0669</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</si>
  <si>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Agreeableness; use collaborative roles and service-oriented pathways. Learning strategy: use diagrams, flowcharts, mind maps and visual examples.</t>
  </si>
  <si>
    <t>NP-P0670</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</si>
  <si>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Agreeableness; use collaborative roles and service-oriented pathways. Learning strategy: use explanations, discussion, repetition and oral summaries.</t>
  </si>
  <si>
    <t>NP-P0671</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</si>
  <si>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Agreeableness; use collaborative roles and service-oriented pathways. Learning strategy: use practice, projects, labs and hands-on activities.</t>
  </si>
  <si>
    <t>NP-P0672</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</si>
  <si>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Agreeableness; use collaborative roles and service-oriented pathways. Learning strategy: use notes, summaries, reading plans and written reflection.</t>
  </si>
  <si>
    <t>NP-P0673</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</si>
  <si>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Agreeableness; use collaborative roles and service-oriented pathways. Learning strategy: use diagrams, flowcharts, mind maps and visual examples.</t>
  </si>
  <si>
    <t>NP-P0674</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</si>
  <si>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Agreeableness; use collaborative roles and service-oriented pathways. Learning strategy: use explanations, discussion, repetition and oral summaries.</t>
  </si>
  <si>
    <t>NP-P0675</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</si>
  <si>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Agreeableness; use collaborative roles and service-oriented pathways. Learning strategy: use practice, projects, labs and hands-on activities.</t>
  </si>
  <si>
    <t>NP-P0676</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</si>
  <si>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Agreeableness; use collaborative roles and service-oriented pathways. Learning strategy: use notes, summaries, reading plans and written reflection.</t>
  </si>
  <si>
    <t>NP-P0677</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</si>
  <si>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Agreeableness; use collaborative roles and service-oriented pathways. Learning strategy: use diagrams, flowcharts, mind maps and visual examples.</t>
  </si>
  <si>
    <t>NP-P0678</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</si>
  <si>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Agreeableness; use collaborative roles and service-oriented pathways. Learning strategy: use explanations, discussion, repetition and oral summaries.</t>
  </si>
  <si>
    <t>NP-P0679</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</si>
  <si>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Agreeableness; use collaborative roles and service-oriented pathways. Learning strategy: use practice, projects, labs and hands-on activities.</t>
  </si>
  <si>
    <t>NP-P0680</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</si>
  <si>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Agreeableness; use collaborative roles and service-oriented pathways. Learning strategy: use notes, summaries, reading plans and written reflection.</t>
  </si>
  <si>
    <t>NP-P0681</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</si>
  <si>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Agreeableness; use collaborative roles and service-oriented pathways. Learning strategy: use diagrams, flowcharts, mind maps and visual examples.</t>
  </si>
  <si>
    <t>NP-P0682</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</si>
  <si>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Agreeableness; use collaborative roles and service-oriented pathways. Learning strategy: use explanations, discussion, repetition and oral summaries.</t>
  </si>
  <si>
    <t>NP-P0683</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</si>
  <si>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Agreeableness; use collaborative roles and service-oriented pathways. Learning strategy: use practice, projects, labs and hands-on activities.</t>
  </si>
  <si>
    <t>NP-P0684</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</si>
  <si>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Agreeableness; use collaborative roles and service-oriented pathways. Learning strategy: use notes, summaries, reading plans and written reflection.</t>
  </si>
  <si>
    <t>NP-P0685</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</si>
  <si>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diagrams, flowcharts, mind maps and visual examples.</t>
  </si>
  <si>
    <t>NP-P0686</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</si>
  <si>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explanations, discussion, repetition and oral summaries.</t>
  </si>
  <si>
    <t>NP-P0687</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</si>
  <si>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practice, projects, labs and hands-on activities.</t>
  </si>
  <si>
    <t>NP-P0688</t>
  </si>
  <si>
    <t>Social interest suggests direction toward Psychology, teaching, healthcare, counseling, social impact.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notes, summaries, reading plans and written reflection.</t>
  </si>
  <si>
    <t>NP-P0689</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</si>
  <si>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diagrams, flowcharts, mind maps and visual examples.</t>
  </si>
  <si>
    <t>NP-P0690</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</si>
  <si>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explanations, discussion, repetition and oral summaries.</t>
  </si>
  <si>
    <t>NP-P0691</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</si>
  <si>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practice, projects, labs and hands-on activities.</t>
  </si>
  <si>
    <t>NP-P0692</t>
  </si>
  <si>
    <t>Social interest suggests direction toward Psychology, teaching, healthcare, counseling, social impact.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notes, summaries, reading plans and written reflection.</t>
  </si>
  <si>
    <t>NP-P0693</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</si>
  <si>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diagrams, flowcharts, mind maps and visual examples.</t>
  </si>
  <si>
    <t>NP-P0694</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</si>
  <si>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explanations, discussion, repetition and oral summaries.</t>
  </si>
  <si>
    <t>NP-P0695</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</si>
  <si>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practice, projects, labs and hands-on activities.</t>
  </si>
  <si>
    <t>NP-P0696</t>
  </si>
  <si>
    <t>Social interest suggests direction toward Psychology, teaching, healthcare, counseling, social impact.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notes, summaries, reading plans and written reflection.</t>
  </si>
  <si>
    <t>NP-P0697</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</si>
  <si>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diagrams, flowcharts, mind maps and visual examples.</t>
  </si>
  <si>
    <t>NP-P0698</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</si>
  <si>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explanations, discussion, repetition and oral summaries.</t>
  </si>
  <si>
    <t>NP-P0699</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</si>
  <si>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practice, projects, labs and hands-on activities.</t>
  </si>
  <si>
    <t>NP-P0700</t>
  </si>
  <si>
    <t>Social interest suggests direction toward Psychology, teaching, healthcare, counseling, social impact.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notes, summaries, reading plans and written reflection.</t>
  </si>
  <si>
    <t>NP-P0701</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</si>
  <si>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Neuroticism; prioritize emotional safety, stress reduction and reassurance. Learning strategy: use diagrams, flowcharts, mind maps and visual examples.</t>
  </si>
  <si>
    <t>NP-P0702</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</si>
  <si>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Neuroticism; prioritize emotional safety, stress reduction and reassurance. Learning strategy: use explanations, discussion, repetition and oral summaries.</t>
  </si>
  <si>
    <t>NP-P0703</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</si>
  <si>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Neuroticism; prioritize emotional safety, stress reduction and reassurance. Learning strategy: use practice, projects, labs and hands-on activities.</t>
  </si>
  <si>
    <t>NP-P0704</t>
  </si>
  <si>
    <t>Social interest suggests direction toward Psychology, teaching, healthcare, counseling, social impact. Cognitive capacity appears adequate; build concept clarity before specialization. Emotional sustainability is moderate; introduce steady routines and confidence building. Big Five signal: Neuroticism; prioritize emotional safety, stress reduction and reassurance. Learning strategy: use notes, summaries, reading plans and written reflection.</t>
  </si>
  <si>
    <t>NP-P0705</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</si>
  <si>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diagrams, flowcharts, mind maps and visual examples.</t>
  </si>
  <si>
    <t>NP-P0706</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</si>
  <si>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explanations, discussion, repetition and oral summaries.</t>
  </si>
  <si>
    <t>NP-P0707</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</si>
  <si>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practice, projects, labs and hands-on activities.</t>
  </si>
  <si>
    <t>NP-P0708</t>
  </si>
  <si>
    <t>Social interest suggests direction toward Psychology, teaching, healthcare, counseling, social impact.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notes, summaries, reading plans and written reflection.</t>
  </si>
  <si>
    <t>NP-P0709</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</si>
  <si>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diagrams, flowcharts, mind maps and visual examples.</t>
  </si>
  <si>
    <t>NP-P0710</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</si>
  <si>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explanations, discussion, repetition and oral summaries.</t>
  </si>
  <si>
    <t>NP-P0711</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</si>
  <si>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practice, projects, labs and hands-on activities.</t>
  </si>
  <si>
    <t>NP-P0712</t>
  </si>
  <si>
    <t>Social interest suggests direction toward Psychology, teaching, healthcare, counseling, social impact.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notes, summaries, reading plans and written reflection.</t>
  </si>
  <si>
    <t>NP-P0713</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</si>
  <si>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Neuroticism; prioritize emotional safety, stress reduction and reassurance. Learning strategy: use diagrams, flowcharts, mind maps and visual examples.</t>
  </si>
  <si>
    <t>NP-P0714</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</si>
  <si>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Neuroticism; prioritize emotional safety, stress reduction and reassurance. Learning strategy: use explanations, discussion, repetition and oral summaries.</t>
  </si>
  <si>
    <t>NP-P0715</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</si>
  <si>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Neuroticism; prioritize emotional safety, stress reduction and reassurance. Learning strategy: use practice, projects, labs and hands-on activities.</t>
  </si>
  <si>
    <t>NP-P0716</t>
  </si>
  <si>
    <t>Social interest suggests direction toward Psychology, teaching, healthcare, counseling, social impact. Cognitive capacity appears strong; offer advanced exposure and challenge. Emotional sustainability is moderate; introduce steady routines and confidence building. Big Five signal: Neuroticism; prioritize emotional safety, stress reduction and reassurance. Learning strategy: use notes, summaries, reading plans and written reflection.</t>
  </si>
  <si>
    <t>NP-P0717</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</si>
  <si>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Neuroticism; prioritize emotional safety, stress reduction and reassurance. Learning strategy: use diagrams, flowcharts, mind maps and visual examples.</t>
  </si>
  <si>
    <t>NP-P0718</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</si>
  <si>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Neuroticism; prioritize emotional safety, stress reduction and reassurance. Learning strategy: use explanations, discussion, repetition and oral summaries.</t>
  </si>
  <si>
    <t>NP-P0719</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</si>
  <si>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Neuroticism; prioritize emotional safety, stress reduction and reassurance. Learning strategy: use practice, projects, labs and hands-on activities.</t>
  </si>
  <si>
    <t>NP-P0720</t>
  </si>
  <si>
    <t>Social interest suggests direction toward Psychology, teaching, healthcare, counseling, social impact. Cognitive capacity appears strong; offer advanced exposure and challenge. Emotional sustainability is strong; student may handle demanding pathways with good support. Big Five signal: Neuroticism; prioritize emotional safety, stress reduction and reassurance. Learning strategy: use notes, summaries, reading plans and written reflection.</t>
  </si>
  <si>
    <t>NP-P0721</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</si>
  <si>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diagrams, flowcharts, mind maps and visual examples.</t>
  </si>
  <si>
    <t>Start with foundation-building and low-pressure exposure before confirming pathways in Business, entrepreneurship, law, management, public leadership.</t>
  </si>
  <si>
    <t>NP-P0722</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</si>
  <si>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explanations, discussion, repetition and oral summaries.</t>
  </si>
  <si>
    <t>NP-P0723</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</si>
  <si>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practice, projects, labs and hands-on activities.</t>
  </si>
  <si>
    <t>NP-P0724</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</si>
  <si>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notes, summaries, reading plans and written reflection.</t>
  </si>
  <si>
    <t>NP-P0725</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</si>
  <si>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diagrams, flowcharts, mind maps and visual examples.</t>
  </si>
  <si>
    <t>NP-P0726</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</si>
  <si>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explanations, discussion, repetition and oral summaries.</t>
  </si>
  <si>
    <t>NP-P0727</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</si>
  <si>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practice, projects, labs and hands-on activities.</t>
  </si>
  <si>
    <t>NP-P0728</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</si>
  <si>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notes, summaries, reading plans and written reflection.</t>
  </si>
  <si>
    <t>NP-P0729</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</si>
  <si>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diagrams, flowcharts, mind maps and visual examples.</t>
  </si>
  <si>
    <t>NP-P0730</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</si>
  <si>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explanations, discussion, repetition and oral summaries.</t>
  </si>
  <si>
    <t>NP-P0731</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</si>
  <si>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practice, projects, labs and hands-on activities.</t>
  </si>
  <si>
    <t>NP-P0732</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</si>
  <si>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notes, summaries, reading plans and written reflection.</t>
  </si>
  <si>
    <t>NP-P0733</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</si>
  <si>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diagrams, flowcharts, mind maps and visual examples.</t>
  </si>
  <si>
    <t>Use a 90-day exploration plan for Business, entrepreneurship, law, management, public leadership and review confidence/clarity.</t>
  </si>
  <si>
    <t>NP-P0734</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</si>
  <si>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explanations, discussion, repetition and oral summaries.</t>
  </si>
  <si>
    <t>NP-P0735</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</si>
  <si>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practice, projects, labs and hands-on activities.</t>
  </si>
  <si>
    <t>NP-P0736</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</si>
  <si>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notes, summaries, reading plans and written reflection.</t>
  </si>
  <si>
    <t>NP-P0737</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</si>
  <si>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Openness; give exploration projects and creative problem-solving choices. Learning strategy: use diagrams, flowcharts, mind maps and visual examples.</t>
  </si>
  <si>
    <t>NP-P0738</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</si>
  <si>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Openness; give exploration projects and creative problem-solving choices. Learning strategy: use explanations, discussion, repetition and oral summaries.</t>
  </si>
  <si>
    <t>NP-P0739</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</si>
  <si>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Openness; give exploration projects and creative problem-solving choices. Learning strategy: use practice, projects, labs and hands-on activities.</t>
  </si>
  <si>
    <t>NP-P0740</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</si>
  <si>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Openness; give exploration projects and creative problem-solving choices. Learning strategy: use notes, summaries, reading plans and written reflection.</t>
  </si>
  <si>
    <t>NP-P0741</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</si>
  <si>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diagrams, flowcharts, mind maps and visual examples.</t>
  </si>
  <si>
    <t>Explore Business, entrepreneurship, law, management, public leadership with skill-building projects and guided exposure.</t>
  </si>
  <si>
    <t>NP-P0742</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</si>
  <si>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explanations, discussion, repetition and oral summaries.</t>
  </si>
  <si>
    <t>NP-P0743</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</si>
  <si>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practice, projects, labs and hands-on activities.</t>
  </si>
  <si>
    <t>NP-P0744</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</si>
  <si>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notes, summaries, reading plans and written reflection.</t>
  </si>
  <si>
    <t>NP-P0745</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</si>
  <si>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diagrams, flowcharts, mind maps and visual examples.</t>
  </si>
  <si>
    <t>Potential is high for Business, entrepreneurship, law, management, public leadership, but emotional support and stress plan must come first.</t>
  </si>
  <si>
    <t>NP-P0746</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</si>
  <si>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explanations, discussion, repetition and oral summaries.</t>
  </si>
  <si>
    <t>NP-P0747</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</si>
  <si>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practice, projects, labs and hands-on activities.</t>
  </si>
  <si>
    <t>NP-P0748</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</si>
  <si>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notes, summaries, reading plans and written reflection.</t>
  </si>
  <si>
    <t>NP-P0749</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</si>
  <si>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Openness; give exploration projects and creative problem-solving choices. Learning strategy: use diagrams, flowcharts, mind maps and visual examples.</t>
  </si>
  <si>
    <t>Proceed with strong-fit pathways in Business, entrepreneurship, law, management, public leadership; add enrichment and mentorship.</t>
  </si>
  <si>
    <t>NP-P0750</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</si>
  <si>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Openness; give exploration projects and creative problem-solving choices. Learning strategy: use explanations, discussion, repetition and oral summaries.</t>
  </si>
  <si>
    <t>NP-P0751</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</si>
  <si>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Openness; give exploration projects and creative problem-solving choices. Learning strategy: use practice, projects, labs and hands-on activities.</t>
  </si>
  <si>
    <t>NP-P0752</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</si>
  <si>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Openness; give exploration projects and creative problem-solving choices. Learning strategy: use notes, summaries, reading plans and written reflection.</t>
  </si>
  <si>
    <t>NP-P0753</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</si>
  <si>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Openness; give exploration projects and creative problem-solving choices. Learning strategy: use diagrams, flowcharts, mind maps and visual examples.</t>
  </si>
  <si>
    <t>NP-P0754</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</si>
  <si>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Openness; give exploration projects and creative problem-solving choices. Learning strategy: use explanations, discussion, repetition and oral summaries.</t>
  </si>
  <si>
    <t>NP-P0755</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</si>
  <si>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Openness; give exploration projects and creative problem-solving choices. Learning strategy: use practice, projects, labs and hands-on activities.</t>
  </si>
  <si>
    <t>NP-P0756</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</si>
  <si>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Openness; give exploration projects and creative problem-solving choices. Learning strategy: use notes, summaries, reading plans and written reflection.</t>
  </si>
  <si>
    <t>NP-P0757</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</si>
  <si>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diagrams, flowcharts, mind maps and visual examples.</t>
  </si>
  <si>
    <t>NP-P0758</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</si>
  <si>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explanations, discussion, repetition and oral summaries.</t>
  </si>
  <si>
    <t>NP-P0759</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</si>
  <si>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practice, projects, labs and hands-on activities.</t>
  </si>
  <si>
    <t>NP-P0760</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</si>
  <si>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notes, summaries, reading plans and written reflection.</t>
  </si>
  <si>
    <t>NP-P0761</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</si>
  <si>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Conscientiousness; use goal plans, deadlines and accountability. Learning strategy: use diagrams, flowcharts, mind maps and visual examples.</t>
  </si>
  <si>
    <t>NP-P0762</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</si>
  <si>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Conscientiousness; use goal plans, deadlines and accountability. Learning strategy: use explanations, discussion, repetition and oral summaries.</t>
  </si>
  <si>
    <t>NP-P0763</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</si>
  <si>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Conscientiousness; use goal plans, deadlines and accountability. Learning strategy: use practice, projects, labs and hands-on activities.</t>
  </si>
  <si>
    <t>NP-P0764</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</si>
  <si>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Conscientiousness; use goal plans, deadlines and accountability. Learning strategy: use notes, summaries, reading plans and written reflection.</t>
  </si>
  <si>
    <t>NP-P0765</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</si>
  <si>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diagrams, flowcharts, mind maps and visual examples.</t>
  </si>
  <si>
    <t>NP-P0766</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</si>
  <si>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explanations, discussion, repetition and oral summaries.</t>
  </si>
  <si>
    <t>NP-P0767</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</si>
  <si>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practice, projects, labs and hands-on activities.</t>
  </si>
  <si>
    <t>NP-P0768</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</si>
  <si>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notes, summaries, reading plans and written reflection.</t>
  </si>
  <si>
    <t>NP-P0769</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</si>
  <si>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diagrams, flowcharts, mind maps and visual examples.</t>
  </si>
  <si>
    <t>NP-P0770</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</si>
  <si>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explanations, discussion, repetition and oral summaries.</t>
  </si>
  <si>
    <t>NP-P0771</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</si>
  <si>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practice, projects, labs and hands-on activities.</t>
  </si>
  <si>
    <t>NP-P0772</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</si>
  <si>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notes, summaries, reading plans and written reflection.</t>
  </si>
  <si>
    <t>NP-P0773</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</si>
  <si>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Conscientiousness; use goal plans, deadlines and accountability. Learning strategy: use diagrams, flowcharts, mind maps and visual examples.</t>
  </si>
  <si>
    <t>NP-P0774</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</si>
  <si>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Conscientiousness; use goal plans, deadlines and accountability. Learning strategy: use explanations, discussion, repetition and oral summaries.</t>
  </si>
  <si>
    <t>NP-P0775</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</si>
  <si>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Conscientiousness; use goal plans, deadlines and accountability. Learning strategy: use practice, projects, labs and hands-on activities.</t>
  </si>
  <si>
    <t>NP-P0776</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</si>
  <si>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Conscientiousness; use goal plans, deadlines and accountability. Learning strategy: use notes, summaries, reading plans and written reflection.</t>
  </si>
  <si>
    <t>NP-P0777</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</si>
  <si>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Conscientiousness; use goal plans, deadlines and accountability. Learning strategy: use diagrams, flowcharts, mind maps and visual examples.</t>
  </si>
  <si>
    <t>NP-P0778</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</si>
  <si>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Conscientiousness; use goal plans, deadlines and accountability. Learning strategy: use explanations, discussion, repetition and oral summaries.</t>
  </si>
  <si>
    <t>NP-P0779</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</si>
  <si>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Conscientiousness; use goal plans, deadlines and accountability. Learning strategy: use practice, projects, labs and hands-on activities.</t>
  </si>
  <si>
    <t>NP-P0780</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</si>
  <si>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Conscientiousness; use goal plans, deadlines and accountability. Learning strategy: use notes, summaries, reading plans and written reflection.</t>
  </si>
  <si>
    <t>NP-P0781</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</si>
  <si>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Conscientiousness; use goal plans, deadlines and accountability. Learning strategy: use diagrams, flowcharts, mind maps and visual examples.</t>
  </si>
  <si>
    <t>NP-P0782</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</si>
  <si>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Conscientiousness; use goal plans, deadlines and accountability. Learning strategy: use explanations, discussion, repetition and oral summaries.</t>
  </si>
  <si>
    <t>NP-P0783</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</si>
  <si>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Conscientiousness; use goal plans, deadlines and accountability. Learning strategy: use practice, projects, labs and hands-on activities.</t>
  </si>
  <si>
    <t>NP-P0784</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</si>
  <si>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Conscientiousness; use goal plans, deadlines and accountability. Learning strategy: use notes, summaries, reading plans and written reflection.</t>
  </si>
  <si>
    <t>NP-P0785</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</si>
  <si>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Conscientiousness; use goal plans, deadlines and accountability. Learning strategy: use diagrams, flowcharts, mind maps and visual examples.</t>
  </si>
  <si>
    <t>NP-P0786</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</si>
  <si>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Conscientiousness; use goal plans, deadlines and accountability. Learning strategy: use explanations, discussion, repetition and oral summaries.</t>
  </si>
  <si>
    <t>NP-P0787</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</si>
  <si>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Conscientiousness; use goal plans, deadlines and accountability. Learning strategy: use practice, projects, labs and hands-on activities.</t>
  </si>
  <si>
    <t>NP-P0788</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</si>
  <si>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Conscientiousness; use goal plans, deadlines and accountability. Learning strategy: use notes, summaries, reading plans and written reflection.</t>
  </si>
  <si>
    <t>NP-P0789</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</si>
  <si>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Conscientiousness; use goal plans, deadlines and accountability. Learning strategy: use diagrams, flowcharts, mind maps and visual examples.</t>
  </si>
  <si>
    <t>NP-P0790</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</si>
  <si>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Conscientiousness; use goal plans, deadlines and accountability. Learning strategy: use explanations, discussion, repetition and oral summaries.</t>
  </si>
  <si>
    <t>NP-P0791</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</si>
  <si>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Conscientiousness; use goal plans, deadlines and accountability. Learning strategy: use practice, projects, labs and hands-on activities.</t>
  </si>
  <si>
    <t>NP-P0792</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</si>
  <si>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Conscientiousness; use goal plans, deadlines and accountability. Learning strategy: use notes, summaries, reading plans and written reflection.</t>
  </si>
  <si>
    <t>NP-P0793</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</si>
  <si>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diagrams, flowcharts, mind maps and visual examples.</t>
  </si>
  <si>
    <t>NP-P0794</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</si>
  <si>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explanations, discussion, repetition and oral summaries.</t>
  </si>
  <si>
    <t>NP-P0795</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</si>
  <si>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practice, projects, labs and hands-on activities.</t>
  </si>
  <si>
    <t>NP-P0796</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</si>
  <si>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notes, summaries, reading plans and written reflection.</t>
  </si>
  <si>
    <t>NP-P0797</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</si>
  <si>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diagrams, flowcharts, mind maps and visual examples.</t>
  </si>
  <si>
    <t>NP-P0798</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</si>
  <si>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explanations, discussion, repetition and oral summaries.</t>
  </si>
  <si>
    <t>NP-P0799</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</si>
  <si>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practice, projects, labs and hands-on activities.</t>
  </si>
  <si>
    <t>NP-P0800</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</si>
  <si>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notes, summaries, reading plans and written reflection.</t>
  </si>
  <si>
    <t>NP-P0801</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</si>
  <si>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diagrams, flowcharts, mind maps and visual examples.</t>
  </si>
  <si>
    <t>NP-P0802</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</si>
  <si>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explanations, discussion, repetition and oral summaries.</t>
  </si>
  <si>
    <t>NP-P0803</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</si>
  <si>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practice, projects, labs and hands-on activities.</t>
  </si>
  <si>
    <t>NP-P0804</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</si>
  <si>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notes, summaries, reading plans and written reflection.</t>
  </si>
  <si>
    <t>NP-P0805</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</si>
  <si>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diagrams, flowcharts, mind maps and visual examples.</t>
  </si>
  <si>
    <t>NP-P0806</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</si>
  <si>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explanations, discussion, repetition and oral summaries.</t>
  </si>
  <si>
    <t>NP-P0807</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</si>
  <si>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practice, projects, labs and hands-on activities.</t>
  </si>
  <si>
    <t>NP-P0808</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</si>
  <si>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notes, summaries, reading plans and written reflection.</t>
  </si>
  <si>
    <t>NP-P0809</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</si>
  <si>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Extraversion; use discussion, presentations and group-based learning. Learning strategy: use diagrams, flowcharts, mind maps and visual examples.</t>
  </si>
  <si>
    <t>NP-P0810</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</si>
  <si>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Extraversion; use discussion, presentations and group-based learning. Learning strategy: use explanations, discussion, repetition and oral summaries.</t>
  </si>
  <si>
    <t>NP-P0811</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</si>
  <si>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Extraversion; use discussion, presentations and group-based learning. Learning strategy: use practice, projects, labs and hands-on activities.</t>
  </si>
  <si>
    <t>NP-P0812</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</si>
  <si>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Extraversion; use discussion, presentations and group-based learning. Learning strategy: use notes, summaries, reading plans and written reflection.</t>
  </si>
  <si>
    <t>NP-P0813</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</si>
  <si>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Extraversion; use discussion, presentations and group-based learning. Learning strategy: use diagrams, flowcharts, mind maps and visual examples.</t>
  </si>
  <si>
    <t>NP-P0814</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</si>
  <si>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Extraversion; use discussion, presentations and group-based learning. Learning strategy: use explanations, discussion, repetition and oral summaries.</t>
  </si>
  <si>
    <t>NP-P0815</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</si>
  <si>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Extraversion; use discussion, presentations and group-based learning. Learning strategy: use practice, projects, labs and hands-on activities.</t>
  </si>
  <si>
    <t>NP-P0816</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</si>
  <si>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Extraversion; use discussion, presentations and group-based learning. Learning strategy: use notes, summaries, reading plans and written reflection.</t>
  </si>
  <si>
    <t>NP-P0817</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</si>
  <si>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Extraversion; use discussion, presentations and group-based learning. Learning strategy: use diagrams, flowcharts, mind maps and visual examples.</t>
  </si>
  <si>
    <t>NP-P0818</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</si>
  <si>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Extraversion; use discussion, presentations and group-based learning. Learning strategy: use explanations, discussion, repetition and oral summaries.</t>
  </si>
  <si>
    <t>NP-P0819</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</si>
  <si>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Extraversion; use discussion, presentations and group-based learning. Learning strategy: use practice, projects, labs and hands-on activities.</t>
  </si>
  <si>
    <t>NP-P0820</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</si>
  <si>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Extraversion; use discussion, presentations and group-based learning. Learning strategy: use notes, summaries, reading plans and written reflection.</t>
  </si>
  <si>
    <t>NP-P0821</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</si>
  <si>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Extraversion; use discussion, presentations and group-based learning. Learning strategy: use diagrams, flowcharts, mind maps and visual examples.</t>
  </si>
  <si>
    <t>NP-P0822</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</si>
  <si>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Extraversion; use discussion, presentations and group-based learning. Learning strategy: use explanations, discussion, repetition and oral summaries.</t>
  </si>
  <si>
    <t>NP-P0823</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</si>
  <si>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Extraversion; use discussion, presentations and group-based learning. Learning strategy: use practice, projects, labs and hands-on activities.</t>
  </si>
  <si>
    <t>NP-P0824</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</si>
  <si>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Extraversion; use discussion, presentations and group-based learning. Learning strategy: use notes, summaries, reading plans and written reflection.</t>
  </si>
  <si>
    <t>NP-P0825</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</si>
  <si>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Extraversion; use discussion, presentations and group-based learning. Learning strategy: use diagrams, flowcharts, mind maps and visual examples.</t>
  </si>
  <si>
    <t>NP-P0826</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</si>
  <si>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Extraversion; use discussion, presentations and group-based learning. Learning strategy: use explanations, discussion, repetition and oral summaries.</t>
  </si>
  <si>
    <t>NP-P0827</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</si>
  <si>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Extraversion; use discussion, presentations and group-based learning. Learning strategy: use practice, projects, labs and hands-on activities.</t>
  </si>
  <si>
    <t>NP-P0828</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</si>
  <si>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Extraversion; use discussion, presentations and group-based learning. Learning strategy: use notes, summaries, reading plans and written reflection.</t>
  </si>
  <si>
    <t>NP-P0829</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</si>
  <si>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diagrams, flowcharts, mind maps and visual examples.</t>
  </si>
  <si>
    <t>NP-P0830</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</si>
  <si>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explanations, discussion, repetition and oral summaries.</t>
  </si>
  <si>
    <t>NP-P0831</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</si>
  <si>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practice, projects, labs and hands-on activities.</t>
  </si>
  <si>
    <t>NP-P0832</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</si>
  <si>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notes, summaries, reading plans and written reflection.</t>
  </si>
  <si>
    <t>NP-P0833</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</si>
  <si>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diagrams, flowcharts, mind maps and visual examples.</t>
  </si>
  <si>
    <t>NP-P0834</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</si>
  <si>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explanations, discussion, repetition and oral summaries.</t>
  </si>
  <si>
    <t>NP-P0835</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</si>
  <si>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practice, projects, labs and hands-on activities.</t>
  </si>
  <si>
    <t>NP-P0836</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</si>
  <si>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notes, summaries, reading plans and written reflection.</t>
  </si>
  <si>
    <t>NP-P0837</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</si>
  <si>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diagrams, flowcharts, mind maps and visual examples.</t>
  </si>
  <si>
    <t>NP-P0838</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</si>
  <si>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explanations, discussion, repetition and oral summaries.</t>
  </si>
  <si>
    <t>NP-P0839</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</si>
  <si>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practice, projects, labs and hands-on activities.</t>
  </si>
  <si>
    <t>NP-P0840</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</si>
  <si>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notes, summaries, reading plans and written reflection.</t>
  </si>
  <si>
    <t>NP-P0841</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</si>
  <si>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diagrams, flowcharts, mind maps and visual examples.</t>
  </si>
  <si>
    <t>NP-P0842</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</si>
  <si>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explanations, discussion, repetition and oral summaries.</t>
  </si>
  <si>
    <t>NP-P0843</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</si>
  <si>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practice, projects, labs and hands-on activities.</t>
  </si>
  <si>
    <t>NP-P0844</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</si>
  <si>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notes, summaries, reading plans and written reflection.</t>
  </si>
  <si>
    <t>NP-P0845</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</si>
  <si>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Agreeableness; use collaborative roles and service-oriented pathways. Learning strategy: use diagrams, flowcharts, mind maps and visual examples.</t>
  </si>
  <si>
    <t>NP-P0846</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</si>
  <si>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Agreeableness; use collaborative roles and service-oriented pathways. Learning strategy: use explanations, discussion, repetition and oral summaries.</t>
  </si>
  <si>
    <t>NP-P0847</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</si>
  <si>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Agreeableness; use collaborative roles and service-oriented pathways. Learning strategy: use practice, projects, labs and hands-on activities.</t>
  </si>
  <si>
    <t>NP-P0848</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</si>
  <si>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Agreeableness; use collaborative roles and service-oriented pathways. Learning strategy: use notes, summaries, reading plans and written reflection.</t>
  </si>
  <si>
    <t>NP-P0849</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</si>
  <si>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Agreeableness; use collaborative roles and service-oriented pathways. Learning strategy: use diagrams, flowcharts, mind maps and visual examples.</t>
  </si>
  <si>
    <t>NP-P0850</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</si>
  <si>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Agreeableness; use collaborative roles and service-oriented pathways. Learning strategy: use explanations, discussion, repetition and oral summaries.</t>
  </si>
  <si>
    <t>NP-P0851</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</si>
  <si>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Agreeableness; use collaborative roles and service-oriented pathways. Learning strategy: use practice, projects, labs and hands-on activities.</t>
  </si>
  <si>
    <t>NP-P0852</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</si>
  <si>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Agreeableness; use collaborative roles and service-oriented pathways. Learning strategy: use notes, summaries, reading plans and written reflection.</t>
  </si>
  <si>
    <t>NP-P0853</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</si>
  <si>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Agreeableness; use collaborative roles and service-oriented pathways. Learning strategy: use diagrams, flowcharts, mind maps and visual examples.</t>
  </si>
  <si>
    <t>NP-P0854</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</si>
  <si>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Agreeableness; use collaborative roles and service-oriented pathways. Learning strategy: use explanations, discussion, repetition and oral summaries.</t>
  </si>
  <si>
    <t>NP-P0855</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</si>
  <si>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Agreeableness; use collaborative roles and service-oriented pathways. Learning strategy: use practice, projects, labs and hands-on activities.</t>
  </si>
  <si>
    <t>NP-P0856</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</si>
  <si>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Agreeableness; use collaborative roles and service-oriented pathways. Learning strategy: use notes, summaries, reading plans and written reflection.</t>
  </si>
  <si>
    <t>NP-P0857</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</si>
  <si>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Agreeableness; use collaborative roles and service-oriented pathways. Learning strategy: use diagrams, flowcharts, mind maps and visual examples.</t>
  </si>
  <si>
    <t>NP-P0858</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</si>
  <si>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Agreeableness; use collaborative roles and service-oriented pathways. Learning strategy: use explanations, discussion, repetition and oral summaries.</t>
  </si>
  <si>
    <t>NP-P0859</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</si>
  <si>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Agreeableness; use collaborative roles and service-oriented pathways. Learning strategy: use practice, projects, labs and hands-on activities.</t>
  </si>
  <si>
    <t>NP-P0860</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</si>
  <si>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Agreeableness; use collaborative roles and service-oriented pathways. Learning strategy: use notes, summaries, reading plans and written reflection.</t>
  </si>
  <si>
    <t>NP-P0861</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</si>
  <si>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Agreeableness; use collaborative roles and service-oriented pathways. Learning strategy: use diagrams, flowcharts, mind maps and visual examples.</t>
  </si>
  <si>
    <t>NP-P0862</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</si>
  <si>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Agreeableness; use collaborative roles and service-oriented pathways. Learning strategy: use explanations, discussion, repetition and oral summaries.</t>
  </si>
  <si>
    <t>NP-P0863</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</si>
  <si>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Agreeableness; use collaborative roles and service-oriented pathways. Learning strategy: use practice, projects, labs and hands-on activities.</t>
  </si>
  <si>
    <t>NP-P0864</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</si>
  <si>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Agreeableness; use collaborative roles and service-oriented pathways. Learning strategy: use notes, summaries, reading plans and written reflection.</t>
  </si>
  <si>
    <t>NP-P0865</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</si>
  <si>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diagrams, flowcharts, mind maps and visual examples.</t>
  </si>
  <si>
    <t>NP-P0866</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</si>
  <si>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explanations, discussion, repetition and oral summaries.</t>
  </si>
  <si>
    <t>NP-P0867</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</si>
  <si>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practice, projects, labs and hands-on activities.</t>
  </si>
  <si>
    <t>NP-P0868</t>
  </si>
  <si>
    <t>Enterprising interest suggests direction toward Business, entrepreneurship, law, management, public leadership.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notes, summaries, reading plans and written reflection.</t>
  </si>
  <si>
    <t>NP-P0869</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</si>
  <si>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diagrams, flowcharts, mind maps and visual examples.</t>
  </si>
  <si>
    <t>NP-P0870</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</si>
  <si>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explanations, discussion, repetition and oral summaries.</t>
  </si>
  <si>
    <t>NP-P0871</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</si>
  <si>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practice, projects, labs and hands-on activities.</t>
  </si>
  <si>
    <t>NP-P0872</t>
  </si>
  <si>
    <t>Enterprising interest suggests direction toward Business, entrepreneurship, law, management, public leadership.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notes, summaries, reading plans and written reflection.</t>
  </si>
  <si>
    <t>NP-P0873</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</si>
  <si>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diagrams, flowcharts, mind maps and visual examples.</t>
  </si>
  <si>
    <t>NP-P0874</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</si>
  <si>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explanations, discussion, repetition and oral summaries.</t>
  </si>
  <si>
    <t>NP-P0875</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</si>
  <si>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practice, projects, labs and hands-on activities.</t>
  </si>
  <si>
    <t>NP-P0876</t>
  </si>
  <si>
    <t>Enterprising interest suggests direction toward Business, entrepreneurship, law, management, public leadership.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notes, summaries, reading plans and written reflection.</t>
  </si>
  <si>
    <t>NP-P0877</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</si>
  <si>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diagrams, flowcharts, mind maps and visual examples.</t>
  </si>
  <si>
    <t>NP-P0878</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</si>
  <si>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explanations, discussion, repetition and oral summaries.</t>
  </si>
  <si>
    <t>NP-P0879</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</si>
  <si>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practice, projects, labs and hands-on activities.</t>
  </si>
  <si>
    <t>NP-P0880</t>
  </si>
  <si>
    <t>Enterprising interest suggests direction toward Business, entrepreneurship, law, management, public leadership.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notes, summaries, reading plans and written reflection.</t>
  </si>
  <si>
    <t>NP-P0881</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</si>
  <si>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Neuroticism; prioritize emotional safety, stress reduction and reassurance. Learning strategy: use diagrams, flowcharts, mind maps and visual examples.</t>
  </si>
  <si>
    <t>NP-P0882</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</si>
  <si>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Neuroticism; prioritize emotional safety, stress reduction and reassurance. Learning strategy: use explanations, discussion, repetition and oral summaries.</t>
  </si>
  <si>
    <t>NP-P0883</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</si>
  <si>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Neuroticism; prioritize emotional safety, stress reduction and reassurance. Learning strategy: use practice, projects, labs and hands-on activities.</t>
  </si>
  <si>
    <t>NP-P0884</t>
  </si>
  <si>
    <t>Enterprising interest suggests direction toward Business, entrepreneurship, law, management, public leadership. Cognitive capacity appears adequate; build concept clarity before specialization. Emotional sustainability is moderate; introduce steady routines and confidence building. Big Five signal: Neuroticism; prioritize emotional safety, stress reduction and reassurance. Learning strategy: use notes, summaries, reading plans and written reflection.</t>
  </si>
  <si>
    <t>NP-P0885</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</si>
  <si>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diagrams, flowcharts, mind maps and visual examples.</t>
  </si>
  <si>
    <t>NP-P0886</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</si>
  <si>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explanations, discussion, repetition and oral summaries.</t>
  </si>
  <si>
    <t>NP-P0887</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</si>
  <si>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practice, projects, labs and hands-on activities.</t>
  </si>
  <si>
    <t>NP-P0888</t>
  </si>
  <si>
    <t>Enterprising interest suggests direction toward Business, entrepreneurship, law, management, public leadership.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notes, summaries, reading plans and written reflection.</t>
  </si>
  <si>
    <t>NP-P0889</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</si>
  <si>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diagrams, flowcharts, mind maps and visual examples.</t>
  </si>
  <si>
    <t>NP-P0890</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</si>
  <si>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explanations, discussion, repetition and oral summaries.</t>
  </si>
  <si>
    <t>NP-P0891</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</si>
  <si>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practice, projects, labs and hands-on activities.</t>
  </si>
  <si>
    <t>NP-P0892</t>
  </si>
  <si>
    <t>Enterprising interest suggests direction toward Business, entrepreneurship, law, management, public leadership.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notes, summaries, reading plans and written reflection.</t>
  </si>
  <si>
    <t>NP-P0893</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</si>
  <si>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Neuroticism; prioritize emotional safety, stress reduction and reassurance. Learning strategy: use diagrams, flowcharts, mind maps and visual examples.</t>
  </si>
  <si>
    <t>NP-P0894</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</si>
  <si>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Neuroticism; prioritize emotional safety, stress reduction and reassurance. Learning strategy: use explanations, discussion, repetition and oral summaries.</t>
  </si>
  <si>
    <t>NP-P0895</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</si>
  <si>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Neuroticism; prioritize emotional safety, stress reduction and reassurance. Learning strategy: use practice, projects, labs and hands-on activities.</t>
  </si>
  <si>
    <t>NP-P0896</t>
  </si>
  <si>
    <t>Enterprising interest suggests direction toward Business, entrepreneurship, law, management, public leadership. Cognitive capacity appears strong; offer advanced exposure and challenge. Emotional sustainability is moderate; introduce steady routines and confidence building. Big Five signal: Neuroticism; prioritize emotional safety, stress reduction and reassurance. Learning strategy: use notes, summaries, reading plans and written reflection.</t>
  </si>
  <si>
    <t>NP-P0897</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</si>
  <si>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Neuroticism; prioritize emotional safety, stress reduction and reassurance. Learning strategy: use diagrams, flowcharts, mind maps and visual examples.</t>
  </si>
  <si>
    <t>NP-P0898</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</si>
  <si>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Neuroticism; prioritize emotional safety, stress reduction and reassurance. Learning strategy: use explanations, discussion, repetition and oral summaries.</t>
  </si>
  <si>
    <t>NP-P0899</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</si>
  <si>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Neuroticism; prioritize emotional safety, stress reduction and reassurance. Learning strategy: use practice, projects, labs and hands-on activities.</t>
  </si>
  <si>
    <t>NP-P0900</t>
  </si>
  <si>
    <t>Enterprising interest suggests direction toward Business, entrepreneurship, law, management, public leadership. Cognitive capacity appears strong; offer advanced exposure and challenge. Emotional sustainability is strong; student may handle demanding pathways with good support. Big Five signal: Neuroticism; prioritize emotional safety, stress reduction and reassurance. Learning strategy: use notes, summaries, reading plans and written reflection.</t>
  </si>
  <si>
    <t>NP-P0901</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</si>
  <si>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diagrams, flowcharts, mind maps and visual examples.</t>
  </si>
  <si>
    <t>Start with foundation-building and low-pressure exposure before confirming pathways in Finance, accounting, operations, administration, data management.</t>
  </si>
  <si>
    <t>NP-P0902</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</si>
  <si>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explanations, discussion, repetition and oral summaries.</t>
  </si>
  <si>
    <t>NP-P0903</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</si>
  <si>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practice, projects, labs and hands-on activities.</t>
  </si>
  <si>
    <t>NP-P0904</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</si>
  <si>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Openness; give exploration projects and creative problem-solving choices. Learning strategy: use notes, summaries, reading plans and written reflection.</t>
  </si>
  <si>
    <t>NP-P0905</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</si>
  <si>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diagrams, flowcharts, mind maps and visual examples.</t>
  </si>
  <si>
    <t>NP-P0906</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</si>
  <si>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explanations, discussion, repetition and oral summaries.</t>
  </si>
  <si>
    <t>NP-P0907</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</si>
  <si>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practice, projects, labs and hands-on activities.</t>
  </si>
  <si>
    <t>NP-P0908</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</si>
  <si>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Openness; give exploration projects and creative problem-solving choices. Learning strategy: use notes, summaries, reading plans and written reflection.</t>
  </si>
  <si>
    <t>NP-P0909</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</si>
  <si>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diagrams, flowcharts, mind maps and visual examples.</t>
  </si>
  <si>
    <t>NP-P0910</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</si>
  <si>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explanations, discussion, repetition and oral summaries.</t>
  </si>
  <si>
    <t>NP-P0911</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</si>
  <si>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practice, projects, labs and hands-on activities.</t>
  </si>
  <si>
    <t>NP-P0912</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</si>
  <si>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Openness; give exploration projects and creative problem-solving choices. Learning strategy: use notes, summaries, reading plans and written reflection.</t>
  </si>
  <si>
    <t>NP-P0913</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</si>
  <si>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diagrams, flowcharts, mind maps and visual examples.</t>
  </si>
  <si>
    <t>Use a 90-day exploration plan for Finance, accounting, operations, administration, data management and review confidence/clarity.</t>
  </si>
  <si>
    <t>NP-P0914</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</si>
  <si>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explanations, discussion, repetition and oral summaries.</t>
  </si>
  <si>
    <t>NP-P0915</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</si>
  <si>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practice, projects, labs and hands-on activities.</t>
  </si>
  <si>
    <t>NP-P0916</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</si>
  <si>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Openness; give exploration projects and creative problem-solving choices. Learning strategy: use notes, summaries, reading plans and written reflection.</t>
  </si>
  <si>
    <t>NP-P0917</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</si>
  <si>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Openness; give exploration projects and creative problem-solving choices. Learning strategy: use diagrams, flowcharts, mind maps and visual examples.</t>
  </si>
  <si>
    <t>NP-P0918</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</si>
  <si>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Openness; give exploration projects and creative problem-solving choices. Learning strategy: use explanations, discussion, repetition and oral summaries.</t>
  </si>
  <si>
    <t>NP-P0919</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</si>
  <si>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Openness; give exploration projects and creative problem-solving choices. Learning strategy: use practice, projects, labs and hands-on activities.</t>
  </si>
  <si>
    <t>NP-P0920</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</si>
  <si>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Openness; give exploration projects and creative problem-solving choices. Learning strategy: use notes, summaries, reading plans and written reflection.</t>
  </si>
  <si>
    <t>NP-P0921</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</si>
  <si>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diagrams, flowcharts, mind maps and visual examples.</t>
  </si>
  <si>
    <t>Explore Finance, accounting, operations, administration, data management with skill-building projects and guided exposure.</t>
  </si>
  <si>
    <t>NP-P0922</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</si>
  <si>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explanations, discussion, repetition and oral summaries.</t>
  </si>
  <si>
    <t>NP-P0923</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</si>
  <si>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practice, projects, labs and hands-on activities.</t>
  </si>
  <si>
    <t>NP-P0924</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</si>
  <si>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Openness; give exploration projects and creative problem-solving choices. Learning strategy: use notes, summaries, reading plans and written reflection.</t>
  </si>
  <si>
    <t>NP-P0925</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</si>
  <si>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diagrams, flowcharts, mind maps and visual examples.</t>
  </si>
  <si>
    <t>Potential is high for Finance, accounting, operations, administration, data management, but emotional support and stress plan must come first.</t>
  </si>
  <si>
    <t>NP-P0926</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</si>
  <si>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explanations, discussion, repetition and oral summaries.</t>
  </si>
  <si>
    <t>NP-P0927</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</si>
  <si>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practice, projects, labs and hands-on activities.</t>
  </si>
  <si>
    <t>NP-P0928</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</si>
  <si>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Openness; give exploration projects and creative problem-solving choices. Learning strategy: use notes, summaries, reading plans and written reflection.</t>
  </si>
  <si>
    <t>NP-P0929</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</si>
  <si>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Openness; give exploration projects and creative problem-solving choices. Learning strategy: use diagrams, flowcharts, mind maps and visual examples.</t>
  </si>
  <si>
    <t>Proceed with strong-fit pathways in Finance, accounting, operations, administration, data management; add enrichment and mentorship.</t>
  </si>
  <si>
    <t>NP-P0930</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</si>
  <si>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Openness; give exploration projects and creative problem-solving choices. Learning strategy: use explanations, discussion, repetition and oral summaries.</t>
  </si>
  <si>
    <t>NP-P0931</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</si>
  <si>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Openness; give exploration projects and creative problem-solving choices. Learning strategy: use practice, projects, labs and hands-on activities.</t>
  </si>
  <si>
    <t>NP-P0932</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</si>
  <si>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Openness; give exploration projects and creative problem-solving choices. Learning strategy: use notes, summaries, reading plans and written reflection.</t>
  </si>
  <si>
    <t>NP-P0933</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</si>
  <si>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Openness; give exploration projects and creative problem-solving choices. Learning strategy: use diagrams, flowcharts, mind maps and visual examples.</t>
  </si>
  <si>
    <t>NP-P0934</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</si>
  <si>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Openness; give exploration projects and creative problem-solving choices. Learning strategy: use explanations, discussion, repetition and oral summaries.</t>
  </si>
  <si>
    <t>NP-P0935</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</si>
  <si>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Openness; give exploration projects and creative problem-solving choices. Learning strategy: use practice, projects, labs and hands-on activities.</t>
  </si>
  <si>
    <t>NP-P0936</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</si>
  <si>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Openness; give exploration projects and creative problem-solving choices. Learning strategy: use notes, summaries, reading plans and written reflection.</t>
  </si>
  <si>
    <t>NP-P0937</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</si>
  <si>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diagrams, flowcharts, mind maps and visual examples.</t>
  </si>
  <si>
    <t>NP-P0938</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</si>
  <si>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explanations, discussion, repetition and oral summaries.</t>
  </si>
  <si>
    <t>NP-P0939</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</si>
  <si>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practice, projects, labs and hands-on activities.</t>
  </si>
  <si>
    <t>NP-P0940</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</si>
  <si>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Conscientiousness; use goal plans, deadlines and accountability. Learning strategy: use notes, summaries, reading plans and written reflection.</t>
  </si>
  <si>
    <t>NP-P0941</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</si>
  <si>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Conscientiousness; use goal plans, deadlines and accountability. Learning strategy: use diagrams, flowcharts, mind maps and visual examples.</t>
  </si>
  <si>
    <t>NP-P0942</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</si>
  <si>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Conscientiousness; use goal plans, deadlines and accountability. Learning strategy: use explanations, discussion, repetition and oral summaries.</t>
  </si>
  <si>
    <t>NP-P0943</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</si>
  <si>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Conscientiousness; use goal plans, deadlines and accountability. Learning strategy: use practice, projects, labs and hands-on activities.</t>
  </si>
  <si>
    <t>NP-P0944</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</si>
  <si>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Conscientiousness; use goal plans, deadlines and accountability. Learning strategy: use notes, summaries, reading plans and written reflection.</t>
  </si>
  <si>
    <t>NP-P0945</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</si>
  <si>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diagrams, flowcharts, mind maps and visual examples.</t>
  </si>
  <si>
    <t>NP-P0946</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</si>
  <si>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explanations, discussion, repetition and oral summaries.</t>
  </si>
  <si>
    <t>NP-P0947</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</si>
  <si>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practice, projects, labs and hands-on activities.</t>
  </si>
  <si>
    <t>NP-P0948</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</si>
  <si>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Conscientiousness; use goal plans, deadlines and accountability. Learning strategy: use notes, summaries, reading plans and written reflection.</t>
  </si>
  <si>
    <t>NP-P0949</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</si>
  <si>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diagrams, flowcharts, mind maps and visual examples.</t>
  </si>
  <si>
    <t>NP-P0950</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</si>
  <si>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explanations, discussion, repetition and oral summaries.</t>
  </si>
  <si>
    <t>NP-P0951</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</si>
  <si>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practice, projects, labs and hands-on activities.</t>
  </si>
  <si>
    <t>NP-P0952</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</si>
  <si>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Conscientiousness; use goal plans, deadlines and accountability. Learning strategy: use notes, summaries, reading plans and written reflection.</t>
  </si>
  <si>
    <t>NP-P0953</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</si>
  <si>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Conscientiousness; use goal plans, deadlines and accountability. Learning strategy: use diagrams, flowcharts, mind maps and visual examples.</t>
  </si>
  <si>
    <t>NP-P0954</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</si>
  <si>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Conscientiousness; use goal plans, deadlines and accountability. Learning strategy: use explanations, discussion, repetition and oral summaries.</t>
  </si>
  <si>
    <t>NP-P0955</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</si>
  <si>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Conscientiousness; use goal plans, deadlines and accountability. Learning strategy: use practice, projects, labs and hands-on activities.</t>
  </si>
  <si>
    <t>NP-P0956</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</si>
  <si>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Conscientiousness; use goal plans, deadlines and accountability. Learning strategy: use notes, summaries, reading plans and written reflection.</t>
  </si>
  <si>
    <t>NP-P0957</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</si>
  <si>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Conscientiousness; use goal plans, deadlines and accountability. Learning strategy: use diagrams, flowcharts, mind maps and visual examples.</t>
  </si>
  <si>
    <t>NP-P0958</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</si>
  <si>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Conscientiousness; use goal plans, deadlines and accountability. Learning strategy: use explanations, discussion, repetition and oral summaries.</t>
  </si>
  <si>
    <t>NP-P0959</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</si>
  <si>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Conscientiousness; use goal plans, deadlines and accountability. Learning strategy: use practice, projects, labs and hands-on activities.</t>
  </si>
  <si>
    <t>NP-P0960</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</si>
  <si>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Conscientiousness; use goal plans, deadlines and accountability. Learning strategy: use notes, summaries, reading plans and written reflection.</t>
  </si>
  <si>
    <t>NP-P0961</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</si>
  <si>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Conscientiousness; use goal plans, deadlines and accountability. Learning strategy: use diagrams, flowcharts, mind maps and visual examples.</t>
  </si>
  <si>
    <t>NP-P0962</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</si>
  <si>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Conscientiousness; use goal plans, deadlines and accountability. Learning strategy: use explanations, discussion, repetition and oral summaries.</t>
  </si>
  <si>
    <t>NP-P0963</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</si>
  <si>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Conscientiousness; use goal plans, deadlines and accountability. Learning strategy: use practice, projects, labs and hands-on activities.</t>
  </si>
  <si>
    <t>NP-P0964</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</si>
  <si>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Conscientiousness; use goal plans, deadlines and accountability. Learning strategy: use notes, summaries, reading plans and written reflection.</t>
  </si>
  <si>
    <t>NP-P0965</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</si>
  <si>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Conscientiousness; use goal plans, deadlines and accountability. Learning strategy: use diagrams, flowcharts, mind maps and visual examples.</t>
  </si>
  <si>
    <t>NP-P0966</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</si>
  <si>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Conscientiousness; use goal plans, deadlines and accountability. Learning strategy: use explanations, discussion, repetition and oral summaries.</t>
  </si>
  <si>
    <t>NP-P0967</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</si>
  <si>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Conscientiousness; use goal plans, deadlines and accountability. Learning strategy: use practice, projects, labs and hands-on activities.</t>
  </si>
  <si>
    <t>NP-P0968</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</si>
  <si>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Conscientiousness; use goal plans, deadlines and accountability. Learning strategy: use notes, summaries, reading plans and written reflection.</t>
  </si>
  <si>
    <t>NP-P0969</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</si>
  <si>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Conscientiousness; use goal plans, deadlines and accountability. Learning strategy: use diagrams, flowcharts, mind maps and visual examples.</t>
  </si>
  <si>
    <t>NP-P0970</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</si>
  <si>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Conscientiousness; use goal plans, deadlines and accountability. Learning strategy: use explanations, discussion, repetition and oral summaries.</t>
  </si>
  <si>
    <t>NP-P0971</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</si>
  <si>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Conscientiousness; use goal plans, deadlines and accountability. Learning strategy: use practice, projects, labs and hands-on activities.</t>
  </si>
  <si>
    <t>NP-P0972</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</si>
  <si>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Conscientiousness; use goal plans, deadlines and accountability. Learning strategy: use notes, summaries, reading plans and written reflection.</t>
  </si>
  <si>
    <t>NP-P0973</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</si>
  <si>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diagrams, flowcharts, mind maps and visual examples.</t>
  </si>
  <si>
    <t>NP-P0974</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</si>
  <si>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explanations, discussion, repetition and oral summaries.</t>
  </si>
  <si>
    <t>NP-P0975</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</si>
  <si>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practice, projects, labs and hands-on activities.</t>
  </si>
  <si>
    <t>NP-P0976</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</si>
  <si>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Extraversion; use discussion, presentations and group-based learning. Learning strategy: use notes, summaries, reading plans and written reflection.</t>
  </si>
  <si>
    <t>NP-P0977</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</si>
  <si>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diagrams, flowcharts, mind maps and visual examples.</t>
  </si>
  <si>
    <t>NP-P0978</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</si>
  <si>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explanations, discussion, repetition and oral summaries.</t>
  </si>
  <si>
    <t>NP-P0979</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</si>
  <si>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practice, projects, labs and hands-on activities.</t>
  </si>
  <si>
    <t>NP-P0980</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</si>
  <si>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Extraversion; use discussion, presentations and group-based learning. Learning strategy: use notes, summaries, reading plans and written reflection.</t>
  </si>
  <si>
    <t>NP-P0981</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</si>
  <si>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diagrams, flowcharts, mind maps and visual examples.</t>
  </si>
  <si>
    <t>NP-P0982</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</si>
  <si>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explanations, discussion, repetition and oral summaries.</t>
  </si>
  <si>
    <t>NP-P0983</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</si>
  <si>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practice, projects, labs and hands-on activities.</t>
  </si>
  <si>
    <t>NP-P0984</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</si>
  <si>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Extraversion; use discussion, presentations and group-based learning. Learning strategy: use notes, summaries, reading plans and written reflection.</t>
  </si>
  <si>
    <t>NP-P0985</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</si>
  <si>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diagrams, flowcharts, mind maps and visual examples.</t>
  </si>
  <si>
    <t>NP-P0986</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</si>
  <si>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explanations, discussion, repetition and oral summaries.</t>
  </si>
  <si>
    <t>NP-P0987</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</si>
  <si>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practice, projects, labs and hands-on activities.</t>
  </si>
  <si>
    <t>NP-P0988</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</si>
  <si>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Extraversion; use discussion, presentations and group-based learning. Learning strategy: use notes, summaries, reading plans and written reflection.</t>
  </si>
  <si>
    <t>NP-P0989</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</si>
  <si>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Extraversion; use discussion, presentations and group-based learning. Learning strategy: use diagrams, flowcharts, mind maps and visual examples.</t>
  </si>
  <si>
    <t>NP-P0990</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</si>
  <si>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Extraversion; use discussion, presentations and group-based learning. Learning strategy: use explanations, discussion, repetition and oral summaries.</t>
  </si>
  <si>
    <t>NP-P0991</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</si>
  <si>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Extraversion; use discussion, presentations and group-based learning. Learning strategy: use practice, projects, labs and hands-on activities.</t>
  </si>
  <si>
    <t>NP-P0992</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</si>
  <si>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Extraversion; use discussion, presentations and group-based learning. Learning strategy: use notes, summaries, reading plans and written reflection.</t>
  </si>
  <si>
    <t>NP-P0993</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</si>
  <si>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Extraversion; use discussion, presentations and group-based learning. Learning strategy: use diagrams, flowcharts, mind maps and visual examples.</t>
  </si>
  <si>
    <t>NP-P0994</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</si>
  <si>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Extraversion; use discussion, presentations and group-based learning. Learning strategy: use explanations, discussion, repetition and oral summaries.</t>
  </si>
  <si>
    <t>NP-P0995</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</si>
  <si>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Extraversion; use discussion, presentations and group-based learning. Learning strategy: use practice, projects, labs and hands-on activities.</t>
  </si>
  <si>
    <t>NP-P0996</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</si>
  <si>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Extraversion; use discussion, presentations and group-based learning. Learning strategy: use notes, summaries, reading plans and written reflection.</t>
  </si>
  <si>
    <t>NP-P0997</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</si>
  <si>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Extraversion; use discussion, presentations and group-based learning. Learning strategy: use diagrams, flowcharts, mind maps and visual examples.</t>
  </si>
  <si>
    <t>NP-P0998</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</si>
  <si>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Extraversion; use discussion, presentations and group-based learning. Learning strategy: use explanations, discussion, repetition and oral summaries.</t>
  </si>
  <si>
    <t>NP-P0999</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</si>
  <si>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Extraversion; use discussion, presentations and group-based learning. Learning strategy: use practice, projects, labs and hands-on activities.</t>
  </si>
  <si>
    <t>NP-P1000</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</si>
  <si>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Extraversion; use discussion, presentations and group-based learning. Learning strategy: use notes, summaries, reading plans and written reflection.</t>
  </si>
  <si>
    <t>NP-P1001</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</si>
  <si>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Extraversion; use discussion, presentations and group-based learning. Learning strategy: use diagrams, flowcharts, mind maps and visual examples.</t>
  </si>
  <si>
    <t>NP-P1002</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</si>
  <si>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Extraversion; use discussion, presentations and group-based learning. Learning strategy: use explanations, discussion, repetition and oral summaries.</t>
  </si>
  <si>
    <t>NP-P1003</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</si>
  <si>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Extraversion; use discussion, presentations and group-based learning. Learning strategy: use practice, projects, labs and hands-on activities.</t>
  </si>
  <si>
    <t>NP-P1004</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</si>
  <si>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Extraversion; use discussion, presentations and group-based learning. Learning strategy: use notes, summaries, reading plans and written reflection.</t>
  </si>
  <si>
    <t>NP-P1005</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</si>
  <si>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Extraversion; use discussion, presentations and group-based learning. Learning strategy: use diagrams, flowcharts, mind maps and visual examples.</t>
  </si>
  <si>
    <t>NP-P1006</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</si>
  <si>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Extraversion; use discussion, presentations and group-based learning. Learning strategy: use explanations, discussion, repetition and oral summaries.</t>
  </si>
  <si>
    <t>NP-P1007</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</si>
  <si>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Extraversion; use discussion, presentations and group-based learning. Learning strategy: use practice, projects, labs and hands-on activities.</t>
  </si>
  <si>
    <t>NP-P1008</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</si>
  <si>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Extraversion; use discussion, presentations and group-based learning. Learning strategy: use notes, summaries, reading plans and written reflection.</t>
  </si>
  <si>
    <t>NP-P1009</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</si>
  <si>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diagrams, flowcharts, mind maps and visual examples.</t>
  </si>
  <si>
    <t>NP-P1010</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</si>
  <si>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explanations, discussion, repetition and oral summaries.</t>
  </si>
  <si>
    <t>NP-P1011</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</si>
  <si>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practice, projects, labs and hands-on activities.</t>
  </si>
  <si>
    <t>NP-P1012</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</si>
  <si>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Agreeableness; use collaborative roles and service-oriented pathways. Learning strategy: use notes, summaries, reading plans and written reflection.</t>
  </si>
  <si>
    <t>NP-P1013</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</si>
  <si>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diagrams, flowcharts, mind maps and visual examples.</t>
  </si>
  <si>
    <t>NP-P1014</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</si>
  <si>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explanations, discussion, repetition and oral summaries.</t>
  </si>
  <si>
    <t>NP-P1015</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</si>
  <si>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practice, projects, labs and hands-on activities.</t>
  </si>
  <si>
    <t>NP-P1016</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</si>
  <si>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Agreeableness; use collaborative roles and service-oriented pathways. Learning strategy: use notes, summaries, reading plans and written reflection.</t>
  </si>
  <si>
    <t>NP-P1017</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</si>
  <si>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diagrams, flowcharts, mind maps and visual examples.</t>
  </si>
  <si>
    <t>NP-P1018</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</si>
  <si>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explanations, discussion, repetition and oral summaries.</t>
  </si>
  <si>
    <t>NP-P1019</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</si>
  <si>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practice, projects, labs and hands-on activities.</t>
  </si>
  <si>
    <t>NP-P1020</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</si>
  <si>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Agreeableness; use collaborative roles and service-oriented pathways. Learning strategy: use notes, summaries, reading plans and written reflection.</t>
  </si>
  <si>
    <t>NP-P1021</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</si>
  <si>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diagrams, flowcharts, mind maps and visual examples.</t>
  </si>
  <si>
    <t>NP-P1022</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</si>
  <si>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explanations, discussion, repetition and oral summaries.</t>
  </si>
  <si>
    <t>NP-P1023</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</si>
  <si>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practice, projects, labs and hands-on activities.</t>
  </si>
  <si>
    <t>NP-P1024</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</si>
  <si>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Agreeableness; use collaborative roles and service-oriented pathways. Learning strategy: use notes, summaries, reading plans and written reflection.</t>
  </si>
  <si>
    <t>NP-P1025</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</si>
  <si>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Agreeableness; use collaborative roles and service-oriented pathways. Learning strategy: use diagrams, flowcharts, mind maps and visual examples.</t>
  </si>
  <si>
    <t>NP-P1026</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</si>
  <si>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Agreeableness; use collaborative roles and service-oriented pathways. Learning strategy: use explanations, discussion, repetition and oral summaries.</t>
  </si>
  <si>
    <t>NP-P1027</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</si>
  <si>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Agreeableness; use collaborative roles and service-oriented pathways. Learning strategy: use practice, projects, labs and hands-on activities.</t>
  </si>
  <si>
    <t>NP-P1028</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</si>
  <si>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Agreeableness; use collaborative roles and service-oriented pathways. Learning strategy: use notes, summaries, reading plans and written reflection.</t>
  </si>
  <si>
    <t>NP-P1029</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</si>
  <si>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Agreeableness; use collaborative roles and service-oriented pathways. Learning strategy: use diagrams, flowcharts, mind maps and visual examples.</t>
  </si>
  <si>
    <t>NP-P1030</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</si>
  <si>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Agreeableness; use collaborative roles and service-oriented pathways. Learning strategy: use explanations, discussion, repetition and oral summaries.</t>
  </si>
  <si>
    <t>NP-P1031</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</si>
  <si>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Agreeableness; use collaborative roles and service-oriented pathways. Learning strategy: use practice, projects, labs and hands-on activities.</t>
  </si>
  <si>
    <t>NP-P1032</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</si>
  <si>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Agreeableness; use collaborative roles and service-oriented pathways. Learning strategy: use notes, summaries, reading plans and written reflection.</t>
  </si>
  <si>
    <t>NP-P1033</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</si>
  <si>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Agreeableness; use collaborative roles and service-oriented pathways. Learning strategy: use diagrams, flowcharts, mind maps and visual examples.</t>
  </si>
  <si>
    <t>NP-P1034</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</si>
  <si>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Agreeableness; use collaborative roles and service-oriented pathways. Learning strategy: use explanations, discussion, repetition and oral summaries.</t>
  </si>
  <si>
    <t>NP-P1035</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</si>
  <si>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Agreeableness; use collaborative roles and service-oriented pathways. Learning strategy: use practice, projects, labs and hands-on activities.</t>
  </si>
  <si>
    <t>NP-P1036</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</si>
  <si>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Agreeableness; use collaborative roles and service-oriented pathways. Learning strategy: use notes, summaries, reading plans and written reflection.</t>
  </si>
  <si>
    <t>NP-P1037</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</si>
  <si>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Agreeableness; use collaborative roles and service-oriented pathways. Learning strategy: use diagrams, flowcharts, mind maps and visual examples.</t>
  </si>
  <si>
    <t>NP-P1038</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</si>
  <si>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Agreeableness; use collaborative roles and service-oriented pathways. Learning strategy: use explanations, discussion, repetition and oral summaries.</t>
  </si>
  <si>
    <t>NP-P1039</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</si>
  <si>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Agreeableness; use collaborative roles and service-oriented pathways. Learning strategy: use practice, projects, labs and hands-on activities.</t>
  </si>
  <si>
    <t>NP-P1040</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</si>
  <si>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Agreeableness; use collaborative roles and service-oriented pathways. Learning strategy: use notes, summaries, reading plans and written reflection.</t>
  </si>
  <si>
    <t>NP-P1041</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</si>
  <si>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Agreeableness; use collaborative roles and service-oriented pathways. Learning strategy: use diagrams, flowcharts, mind maps and visual examples.</t>
  </si>
  <si>
    <t>NP-P1042</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</si>
  <si>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Agreeableness; use collaborative roles and service-oriented pathways. Learning strategy: use explanations, discussion, repetition and oral summaries.</t>
  </si>
  <si>
    <t>NP-P1043</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</si>
  <si>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Agreeableness; use collaborative roles and service-oriented pathways. Learning strategy: use practice, projects, labs and hands-on activities.</t>
  </si>
  <si>
    <t>NP-P1044</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</si>
  <si>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Agreeableness; use collaborative roles and service-oriented pathways. Learning strategy: use notes, summaries, reading plans and written reflection.</t>
  </si>
  <si>
    <t>NP-P1045</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</si>
  <si>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diagrams, flowcharts, mind maps and visual examples.</t>
  </si>
  <si>
    <t>NP-P1046</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</si>
  <si>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explanations, discussion, repetition and oral summaries.</t>
  </si>
  <si>
    <t>NP-P1047</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</si>
  <si>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practice, projects, labs and hands-on activities.</t>
  </si>
  <si>
    <t>NP-P1048</t>
  </si>
  <si>
    <t>Conventional interest suggests direction toward Finance, accounting, operations, administration, data management. Cognitive performance is developing; avoid premature narrowing and strengthen fundamentals. Emotional sustainability is low; reduce pressure and prioritize support before high-stakes decisions. Big Five signal: Neuroticism; prioritize emotional safety, stress reduction and reassurance. Learning strategy: use notes, summaries, reading plans and written reflection.</t>
  </si>
  <si>
    <t>NP-P1049</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</si>
  <si>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diagrams, flowcharts, mind maps and visual examples.</t>
  </si>
  <si>
    <t>NP-P1050</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</si>
  <si>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explanations, discussion, repetition and oral summaries.</t>
  </si>
  <si>
    <t>NP-P1051</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</si>
  <si>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practice, projects, labs and hands-on activities.</t>
  </si>
  <si>
    <t>NP-P1052</t>
  </si>
  <si>
    <t>Conventional interest suggests direction toward Finance, accounting, operations, administration, data management. Cognitive performance is developing; avoid premature narrowing and strengthen fundamentals. Emotional sustainability is moderate; introduce steady routines and confidence building. Big Five signal: Neuroticism; prioritize emotional safety, stress reduction and reassurance. Learning strategy: use notes, summaries, reading plans and written reflection.</t>
  </si>
  <si>
    <t>NP-P1053</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</si>
  <si>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diagrams, flowcharts, mind maps and visual examples.</t>
  </si>
  <si>
    <t>NP-P1054</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</si>
  <si>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explanations, discussion, repetition and oral summaries.</t>
  </si>
  <si>
    <t>NP-P1055</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</si>
  <si>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practice, projects, labs and hands-on activities.</t>
  </si>
  <si>
    <t>NP-P1056</t>
  </si>
  <si>
    <t>Conventional interest suggests direction toward Finance, accounting, operations, administration, data management. Cognitive performance is developing; avoid premature narrowing and strengthen fundamentals. Emotional sustainability is strong; student may handle demanding pathways with good support. Big Five signal: Neuroticism; prioritize emotional safety, stress reduction and reassurance. Learning strategy: use notes, summaries, reading plans and written reflection.</t>
  </si>
  <si>
    <t>NP-P1057</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</si>
  <si>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diagrams, flowcharts, mind maps and visual examples.</t>
  </si>
  <si>
    <t>NP-P1058</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</si>
  <si>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explanations, discussion, repetition and oral summaries.</t>
  </si>
  <si>
    <t>NP-P1059</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</si>
  <si>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practice, projects, labs and hands-on activities.</t>
  </si>
  <si>
    <t>NP-P1060</t>
  </si>
  <si>
    <t>Conventional interest suggests direction toward Finance, accounting, operations, administration, data management. Cognitive capacity appears adequate; build concept clarity before specialization. Emotional sustainability is low; reduce pressure and prioritize support before high-stakes decisions. Big Five signal: Neuroticism; prioritize emotional safety, stress reduction and reassurance. Learning strategy: use notes, summaries, reading plans and written reflection.</t>
  </si>
  <si>
    <t>NP-P1061</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</si>
  <si>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Neuroticism; prioritize emotional safety, stress reduction and reassurance. Learning strategy: use diagrams, flowcharts, mind maps and visual examples.</t>
  </si>
  <si>
    <t>NP-P1062</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</si>
  <si>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Neuroticism; prioritize emotional safety, stress reduction and reassurance. Learning strategy: use explanations, discussion, repetition and oral summaries.</t>
  </si>
  <si>
    <t>NP-P1063</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</si>
  <si>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Neuroticism; prioritize emotional safety, stress reduction and reassurance. Learning strategy: use practice, projects, labs and hands-on activities.</t>
  </si>
  <si>
    <t>NP-P1064</t>
  </si>
  <si>
    <t>Conventional interest suggests direction toward Finance, accounting, operations, administration, data management. Cognitive capacity appears adequate; build concept clarity before specialization. Emotional sustainability is moderate; introduce steady routines and confidence building. Big Five signal: Neuroticism; prioritize emotional safety, stress reduction and reassurance. Learning strategy: use notes, summaries, reading plans and written reflection.</t>
  </si>
  <si>
    <t>NP-P1065</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</si>
  <si>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diagrams, flowcharts, mind maps and visual examples.</t>
  </si>
  <si>
    <t>NP-P1066</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</si>
  <si>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explanations, discussion, repetition and oral summaries.</t>
  </si>
  <si>
    <t>NP-P1067</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</si>
  <si>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practice, projects, labs and hands-on activities.</t>
  </si>
  <si>
    <t>NP-P1068</t>
  </si>
  <si>
    <t>Conventional interest suggests direction toward Finance, accounting, operations, administration, data management. Cognitive capacity appears adequate; build concept clarity before specialization. Emotional sustainability is strong; student may handle demanding pathways with good support. Big Five signal: Neuroticism; prioritize emotional safety, stress reduction and reassurance. Learning strategy: use notes, summaries, reading plans and written reflection.</t>
  </si>
  <si>
    <t>NP-P1069</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</si>
  <si>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diagrams, flowcharts, mind maps and visual examples.</t>
  </si>
  <si>
    <t>NP-P1070</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</si>
  <si>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explanations, discussion, repetition and oral summaries.</t>
  </si>
  <si>
    <t>NP-P1071</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</si>
  <si>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practice, projects, labs and hands-on activities.</t>
  </si>
  <si>
    <t>NP-P1072</t>
  </si>
  <si>
    <t>Conventional interest suggests direction toward Finance, accounting, operations, administration, data management. Cognitive capacity appears strong; offer advanced exposure and challenge. Emotional sustainability is low; reduce pressure and prioritize support before high-stakes decisions. Big Five signal: Neuroticism; prioritize emotional safety, stress reduction and reassurance. Learning strategy: use notes, summaries, reading plans and written reflection.</t>
  </si>
  <si>
    <t>NP-P1073</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</si>
  <si>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Neuroticism; prioritize emotional safety, stress reduction and reassurance. Learning strategy: use diagrams, flowcharts, mind maps and visual examples.</t>
  </si>
  <si>
    <t>NP-P1074</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</si>
  <si>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Neuroticism; prioritize emotional safety, stress reduction and reassurance. Learning strategy: use explanations, discussion, repetition and oral summaries.</t>
  </si>
  <si>
    <t>NP-P1075</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</si>
  <si>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Neuroticism; prioritize emotional safety, stress reduction and reassurance. Learning strategy: use practice, projects, labs and hands-on activities.</t>
  </si>
  <si>
    <t>NP-P1076</t>
  </si>
  <si>
    <t>Conventional interest suggests direction toward Finance, accounting, operations, administration, data management. Cognitive capacity appears strong; offer advanced exposure and challenge. Emotional sustainability is moderate; introduce steady routines and confidence building. Big Five signal: Neuroticism; prioritize emotional safety, stress reduction and reassurance. Learning strategy: use notes, summaries, reading plans and written reflection.</t>
  </si>
  <si>
    <t>NP-P1077</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</si>
  <si>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Neuroticism; prioritize emotional safety, stress reduction and reassurance. Learning strategy: use diagrams, flowcharts, mind maps and visual examples.</t>
  </si>
  <si>
    <t>NP-P1078</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</si>
  <si>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Neuroticism; prioritize emotional safety, stress reduction and reassurance. Learning strategy: use explanations, discussion, repetition and oral summaries.</t>
  </si>
  <si>
    <t>NP-P1079</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</si>
  <si>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Neuroticism; prioritize emotional safety, stress reduction and reassurance. Learning strategy: use practice, projects, labs and hands-on activities.</t>
  </si>
  <si>
    <t>NP-P1080</t>
  </si>
  <si>
    <t>Conventional interest suggests direction toward Finance, accounting, operations, administration, data management. Cognitive capacity appears strong; offer advanced exposure and challenge. Emotional sustainability is strong; student may handle demanding pathways with good support. Big Five signal: Neuroticism; prioritize emotional safety, stress reduction and reassurance. Learning strategy: use notes, summaries, reading plans and written reflection.</t>
  </si>
  <si>
    <t>AI_Logic_Payloads</t>
  </si>
  <si>
    <t>Object</t>
  </si>
  <si>
    <t>JSON/Pseudocode</t>
  </si>
  <si>
    <t>Developer Notes</t>
  </si>
  <si>
    <t>response_item_schema</t>
  </si>
  <si>
    <t>{"student_id":"string","assessment_qid":"AQ001","response":"1-5 or A-D","response_time_sec":12,"timestamp":"ISO8601"}</t>
  </si>
  <si>
    <t>Store one row per answer.</t>
  </si>
  <si>
    <t>score_normalization_likert</t>
  </si>
  <si>
    <t>{"score_0_100":"((adjusted_likert - 1) / 4) * 100","reverse_scored":"adjusted_likert = 6 - response"}</t>
  </si>
  <si>
    <t>Use for RIASEC, Big5, Emotional, Learning and indicators.</t>
  </si>
  <si>
    <t>score_normalization_mcq</t>
  </si>
  <si>
    <t>{"score_0_100":"correct ? 100 : 0"}</t>
  </si>
  <si>
    <t>Use for cognitive MCQ items.</t>
  </si>
  <si>
    <t>metric_score</t>
  </si>
  <si>
    <t>{"metric_score":"average(score_0_100 for 3 questions in metric)"}</t>
  </si>
  <si>
    <t>Each assessment point has 3 questions.</t>
  </si>
  <si>
    <t>banding</t>
  </si>
  <si>
    <t>{"low":"0-39","moderate":"40-69","high":"70-100"}</t>
  </si>
  <si>
    <t>Initial bands; calibrate with pilot norms.</t>
  </si>
  <si>
    <t>time_band</t>
  </si>
  <si>
    <t>{"low":"&lt;=low_max","moderate":"&lt;=moderate_max","high":"&gt;moderate_max"}</t>
  </si>
  <si>
    <t>High time is a review signal, not a negative score.</t>
  </si>
  <si>
    <t>dominant_RIASEC</t>
  </si>
  <si>
    <t>{"dominant":"max(R,I,A,S,E,C)","secondary":"second_highest","tertiary":"third_highest"}</t>
  </si>
  <si>
    <t>Use top 3 to avoid over-narrow recommendations.</t>
  </si>
  <si>
    <t>dominant_learning_style</t>
  </si>
  <si>
    <t>{"dominant":"max(Visual,Auditory,Kinesthetic,ReadingWriting)"}</t>
  </si>
  <si>
    <t>Report as preferred learning mode.</t>
  </si>
  <si>
    <t>career_fit</t>
  </si>
  <si>
    <t>{"career_fit":"RIASEC_weight*0.35 + Cognitive_weight*0.25 + Big5_fit*0.20 + Emotional_weight*0.20"}</t>
  </si>
  <si>
    <t>Career fit should never be deterministic.</t>
  </si>
  <si>
    <t>risk_flags</t>
  </si>
  <si>
    <t>{"stress_alert":"Emotional.Stress &gt; 70 or Emotional_Composite &lt; 40","timing_review":"High time in &gt;=2 questions in same metric","misalignment":"dominant_RIASEC conflicts with selected stream"}</t>
  </si>
  <si>
    <t>Use to trigger counselor review.</t>
  </si>
  <si>
    <t>recommendation_join</t>
  </si>
  <si>
    <t>{"profile_code":"RIASEC + Big5Dominant + CognitiveBand + EmotionalBand + LearningStyle"}</t>
  </si>
  <si>
    <t>Join to Permutation_AI_Rules for interpretation.</t>
  </si>
  <si>
    <t>validity_check</t>
  </si>
  <si>
    <t>{"low_validity":"straight_lining OR inconsistent_pairs OR completion_time_too_fast"}</t>
  </si>
  <si>
    <t>Validity items should not appear as student-facing judgment.</t>
  </si>
  <si>
    <t>Timing_Bands</t>
  </si>
  <si>
    <t>Low_Time_Max_Sec</t>
  </si>
  <si>
    <t>Moderate_Time_Max_Sec</t>
  </si>
  <si>
    <t>High_Time_Review_Above_Sec</t>
  </si>
  <si>
    <t>High time suggests hesitation, fatigue, confusion or need for review. Do not treat as negative score automatically.</t>
  </si>
  <si>
    <t>Hard</t>
  </si>
  <si>
    <t>Cognitive MCQ</t>
  </si>
</sst>
</file>

<file path=xl/styles.xml><?xml version="1.0" encoding="utf-8"?>
<styleSheet xmlns="http://schemas.openxmlformats.org/spreadsheetml/2006/main">
  <numFmts count="1">
    <numFmt numFmtId="0" formatCode="General"/>
  </numFmts>
  <fonts count="15">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2"/>
      <color indexed="12"/>
      <name val="Times New Roman"/>
    </font>
    <font>
      <b val="1"/>
      <sz val="16"/>
      <color indexed="12"/>
      <name val="Carlito"/>
    </font>
    <font>
      <sz val="12"/>
      <color indexed="8"/>
      <name val="Times New Roman"/>
    </font>
    <font>
      <b val="1"/>
      <sz val="14"/>
      <color indexed="12"/>
      <name val="Carlito"/>
    </font>
    <font>
      <b val="1"/>
      <sz val="12"/>
      <color indexed="15"/>
      <name val="Times New Roman"/>
    </font>
    <font>
      <b val="1"/>
      <sz val="12"/>
      <color indexed="8"/>
      <name val="Times New Roman"/>
    </font>
    <font>
      <b val="1"/>
      <sz val="11"/>
      <color indexed="12"/>
      <name val="Times New Roman"/>
    </font>
    <font>
      <sz val="11"/>
      <color indexed="8"/>
      <name val="Times New Roman"/>
    </font>
    <font>
      <b val="1"/>
      <sz val="11"/>
      <color indexed="12"/>
      <name val="Carlito"/>
    </font>
  </fonts>
  <fills count="9">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7"/>
        <bgColor auto="1"/>
      </patternFill>
    </fill>
    <fill>
      <patternFill patternType="solid">
        <fgColor indexed="19"/>
        <bgColor auto="1"/>
      </patternFill>
    </fill>
  </fills>
  <borders count="22">
    <border>
      <left/>
      <right/>
      <top/>
      <bottom/>
      <diagonal/>
    </border>
    <border>
      <left style="thin">
        <color indexed="14"/>
      </left>
      <right/>
      <top style="thin">
        <color indexed="14"/>
      </top>
      <bottom/>
      <diagonal/>
    </border>
    <border>
      <left/>
      <right/>
      <top style="thin">
        <color indexed="14"/>
      </top>
      <bottom/>
      <diagonal/>
    </border>
    <border>
      <left/>
      <right/>
      <top style="thin">
        <color indexed="14"/>
      </top>
      <bottom style="thin">
        <color indexed="14"/>
      </bottom>
      <diagonal/>
    </border>
    <border>
      <left/>
      <right style="thin">
        <color indexed="14"/>
      </right>
      <top style="thin">
        <color indexed="14"/>
      </top>
      <bottom/>
      <diagonal/>
    </border>
    <border>
      <left style="thin">
        <color indexed="14"/>
      </left>
      <right/>
      <top/>
      <bottom/>
      <diagonal/>
    </border>
    <border>
      <left/>
      <right style="thin">
        <color indexed="14"/>
      </right>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diagonal/>
    </border>
    <border>
      <left style="thin">
        <color indexed="14"/>
      </left>
      <right/>
      <top style="thin">
        <color indexed="14"/>
      </top>
      <bottom style="thin">
        <color indexed="14"/>
      </bottom>
      <diagonal/>
    </border>
    <border>
      <left/>
      <right/>
      <top/>
      <bottom/>
      <diagonal/>
    </border>
    <border>
      <left/>
      <right style="thin">
        <color indexed="14"/>
      </right>
      <top/>
      <bottom/>
      <diagonal/>
    </border>
    <border>
      <left style="thin">
        <color indexed="18"/>
      </left>
      <right/>
      <top style="thin">
        <color indexed="18"/>
      </top>
      <bottom style="thin">
        <color indexed="18"/>
      </bottom>
      <diagonal/>
    </border>
    <border>
      <left/>
      <right/>
      <top style="thin">
        <color indexed="18"/>
      </top>
      <bottom style="thin">
        <color indexed="18"/>
      </bottom>
      <diagonal/>
    </border>
    <border>
      <left/>
      <right style="thin">
        <color indexed="18"/>
      </right>
      <top style="thin">
        <color indexed="18"/>
      </top>
      <bottom style="thin">
        <color indexed="18"/>
      </bottom>
      <diagonal/>
    </border>
    <border>
      <left style="thin">
        <color indexed="18"/>
      </left>
      <right style="thin">
        <color indexed="14"/>
      </right>
      <top style="thin">
        <color indexed="14"/>
      </top>
      <bottom style="thin">
        <color indexed="14"/>
      </bottom>
      <diagonal/>
    </border>
    <border>
      <left style="thin">
        <color indexed="18"/>
      </left>
      <right style="thin">
        <color indexed="14"/>
      </right>
      <top style="thin">
        <color indexed="18"/>
      </top>
      <bottom style="thin">
        <color indexed="18"/>
      </bottom>
      <diagonal/>
    </border>
    <border>
      <left style="thin">
        <color indexed="14"/>
      </left>
      <right style="thin">
        <color indexed="14"/>
      </right>
      <top style="thin">
        <color indexed="18"/>
      </top>
      <bottom style="thin">
        <color indexed="18"/>
      </bottom>
      <diagonal/>
    </border>
    <border>
      <left style="thin">
        <color indexed="14"/>
      </left>
      <right style="thin">
        <color indexed="18"/>
      </right>
      <top style="thin">
        <color indexed="18"/>
      </top>
      <bottom style="thin">
        <color indexed="18"/>
      </bottom>
      <diagonal/>
    </border>
    <border>
      <left style="thin">
        <color indexed="14"/>
      </left>
      <right style="thin">
        <color indexed="14"/>
      </right>
      <top style="thin">
        <color indexed="18"/>
      </top>
      <bottom style="thin">
        <color indexed="14"/>
      </bottom>
      <diagonal/>
    </border>
  </borders>
  <cellStyleXfs count="1">
    <xf numFmtId="0" fontId="0" applyNumberFormat="0" applyFont="1" applyFill="0" applyBorder="0" applyAlignment="1" applyProtection="0">
      <alignment vertical="bottom"/>
    </xf>
  </cellStyleXfs>
  <cellXfs count="6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bottom" wrapText="1"/>
    </xf>
    <xf numFmtId="0" fontId="7" fillId="4" borderId="2" applyNumberFormat="0" applyFont="1" applyFill="1" applyBorder="1" applyAlignment="1" applyProtection="0">
      <alignment horizontal="center" vertical="bottom"/>
    </xf>
    <xf numFmtId="0" fontId="8" borderId="3" applyNumberFormat="0" applyFont="1" applyFill="0" applyBorder="1" applyAlignment="1" applyProtection="0">
      <alignment vertical="bottom" wrapText="1"/>
    </xf>
    <xf numFmtId="49" fontId="6" fillId="4" borderId="2" applyNumberFormat="1" applyFont="1" applyFill="1" applyBorder="1" applyAlignment="1" applyProtection="0">
      <alignment vertical="bottom" wrapText="1"/>
    </xf>
    <xf numFmtId="0" fontId="9" fillId="4" borderId="2" applyNumberFormat="0" applyFont="1" applyFill="1" applyBorder="1" applyAlignment="1" applyProtection="0">
      <alignment vertical="bottom"/>
    </xf>
    <xf numFmtId="0" fontId="9" fillId="4" borderId="4" applyNumberFormat="0" applyFont="1" applyFill="1" applyBorder="1" applyAlignment="1" applyProtection="0">
      <alignment vertical="bottom"/>
    </xf>
    <xf numFmtId="49" fontId="10" fillId="5" borderId="5" applyNumberFormat="1" applyFont="1" applyFill="1" applyBorder="1" applyAlignment="1" applyProtection="0">
      <alignment vertical="bottom"/>
    </xf>
    <xf numFmtId="49" fontId="8" fillId="6" borderId="6" applyNumberFormat="1" applyFont="1" applyFill="1" applyBorder="1" applyAlignment="1" applyProtection="0">
      <alignment vertical="bottom" wrapText="1"/>
    </xf>
    <xf numFmtId="0" fontId="8" borderId="7" applyNumberFormat="0" applyFont="1" applyFill="0" applyBorder="1" applyAlignment="1" applyProtection="0">
      <alignment vertical="bottom"/>
    </xf>
    <xf numFmtId="49" fontId="8" borderId="8" applyNumberFormat="1" applyFont="1" applyFill="0" applyBorder="1" applyAlignment="1" applyProtection="0">
      <alignment vertical="bottom"/>
    </xf>
    <xf numFmtId="1" fontId="8" borderId="8" applyNumberFormat="1" applyFont="1" applyFill="0" applyBorder="1" applyAlignment="1" applyProtection="0">
      <alignment vertical="bottom"/>
    </xf>
    <xf numFmtId="0" fontId="8" borderId="8" applyNumberFormat="0" applyFont="1" applyFill="0" applyBorder="1" applyAlignment="1" applyProtection="0">
      <alignment vertical="bottom"/>
    </xf>
    <xf numFmtId="49" fontId="8" fillId="6" borderId="9" applyNumberFormat="1" applyFont="1" applyFill="1" applyBorder="1" applyAlignment="1" applyProtection="0">
      <alignment vertical="bottom" wrapText="1"/>
    </xf>
    <xf numFmtId="49" fontId="8" borderId="7" applyNumberFormat="1" applyFont="1" applyFill="0" applyBorder="1" applyAlignment="1" applyProtection="0">
      <alignment vertical="bottom"/>
    </xf>
    <xf numFmtId="1" fontId="8" borderId="7" applyNumberFormat="1" applyFont="1" applyFill="0" applyBorder="1" applyAlignment="1" applyProtection="0">
      <alignment vertical="bottom"/>
    </xf>
    <xf numFmtId="0" fontId="8" borderId="10" applyNumberFormat="0" applyFont="1" applyFill="0" applyBorder="1" applyAlignment="1" applyProtection="0">
      <alignment vertical="bottom"/>
    </xf>
    <xf numFmtId="0" fontId="8" borderId="11" applyNumberFormat="0" applyFont="1" applyFill="0" applyBorder="1" applyAlignment="1" applyProtection="0">
      <alignment vertical="bottom"/>
    </xf>
    <xf numFmtId="49" fontId="11" fillId="7" borderId="12" applyNumberFormat="1" applyFont="1" applyFill="1" applyBorder="1" applyAlignment="1" applyProtection="0">
      <alignment vertical="bottom"/>
    </xf>
    <xf numFmtId="49" fontId="11" fillId="7" borderId="13" applyNumberFormat="1" applyFont="1" applyFill="1" applyBorder="1" applyAlignment="1" applyProtection="0">
      <alignment vertical="bottom"/>
    </xf>
    <xf numFmtId="0" fontId="0" applyNumberFormat="1" applyFont="1" applyFill="0" applyBorder="0" applyAlignment="1" applyProtection="0">
      <alignment vertical="bottom"/>
    </xf>
    <xf numFmtId="49" fontId="12" fillId="4" borderId="14" applyNumberFormat="1" applyFont="1" applyFill="1" applyBorder="1" applyAlignment="1" applyProtection="0">
      <alignment horizontal="center" vertical="center" wrapText="1"/>
    </xf>
    <xf numFmtId="49" fontId="12" fillId="4" borderId="15" applyNumberFormat="1" applyFont="1" applyFill="1" applyBorder="1" applyAlignment="1" applyProtection="0">
      <alignment horizontal="center" vertical="center" wrapText="1"/>
    </xf>
    <xf numFmtId="49" fontId="12" fillId="4" borderId="16" applyNumberFormat="1" applyFont="1" applyFill="1" applyBorder="1" applyAlignment="1" applyProtection="0">
      <alignment horizontal="center" vertical="center" wrapText="1"/>
    </xf>
    <xf numFmtId="0" fontId="13" borderId="17" applyNumberFormat="0" applyFont="1" applyFill="0" applyBorder="1" applyAlignment="1" applyProtection="0">
      <alignment vertical="center"/>
    </xf>
    <xf numFmtId="49" fontId="13" fillId="8" borderId="14" applyNumberFormat="1" applyFont="1" applyFill="1" applyBorder="1" applyAlignment="1" applyProtection="0">
      <alignment vertical="center" wrapText="1"/>
    </xf>
    <xf numFmtId="49" fontId="13" fillId="8" borderId="15" applyNumberFormat="1" applyFont="1" applyFill="1" applyBorder="1" applyAlignment="1" applyProtection="0">
      <alignment vertical="center" wrapText="1"/>
    </xf>
    <xf numFmtId="0" fontId="13" fillId="8" borderId="15" applyNumberFormat="0" applyFont="1" applyFill="1" applyBorder="1" applyAlignment="1" applyProtection="0">
      <alignment vertical="center" wrapText="1"/>
    </xf>
    <xf numFmtId="0" fontId="13" fillId="8" borderId="15" applyNumberFormat="1" applyFont="1" applyFill="1" applyBorder="1" applyAlignment="1" applyProtection="0">
      <alignment vertical="center" wrapText="1"/>
    </xf>
    <xf numFmtId="49" fontId="13" fillId="8" borderId="16" applyNumberFormat="1" applyFont="1" applyFill="1" applyBorder="1" applyAlignment="1" applyProtection="0">
      <alignment vertical="center" wrapText="1"/>
    </xf>
    <xf numFmtId="49" fontId="13" fillId="6" borderId="18" applyNumberFormat="1" applyFont="1" applyFill="1" applyBorder="1" applyAlignment="1" applyProtection="0">
      <alignment vertical="center" wrapText="1"/>
    </xf>
    <xf numFmtId="49" fontId="13" fillId="6" borderId="19" applyNumberFormat="1" applyFont="1" applyFill="1" applyBorder="1" applyAlignment="1" applyProtection="0">
      <alignment vertical="center" wrapText="1"/>
    </xf>
    <xf numFmtId="0" fontId="13" fillId="6" borderId="19" applyNumberFormat="0" applyFont="1" applyFill="1" applyBorder="1" applyAlignment="1" applyProtection="0">
      <alignment vertical="center" wrapText="1"/>
    </xf>
    <xf numFmtId="0" fontId="13" fillId="6" borderId="19" applyNumberFormat="1" applyFont="1" applyFill="1" applyBorder="1" applyAlignment="1" applyProtection="0">
      <alignment vertical="center" wrapText="1"/>
    </xf>
    <xf numFmtId="49" fontId="13" fillId="6" borderId="20" applyNumberFormat="1" applyFont="1" applyFill="1" applyBorder="1" applyAlignment="1" applyProtection="0">
      <alignment vertical="center" wrapText="1"/>
    </xf>
    <xf numFmtId="0" fontId="13" borderId="21" applyNumberFormat="0" applyFont="1" applyFill="0" applyBorder="1" applyAlignment="1" applyProtection="0">
      <alignment vertical="center"/>
    </xf>
    <xf numFmtId="0" fontId="13" borderId="7" applyNumberFormat="0" applyFont="1" applyFill="0" applyBorder="1" applyAlignment="1" applyProtection="0">
      <alignment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13" fillId="8" borderId="14" applyNumberFormat="0" applyFont="1" applyFill="1" applyBorder="1" applyAlignment="1" applyProtection="0">
      <alignment vertical="center" wrapText="1"/>
    </xf>
    <xf numFmtId="1" fontId="13" fillId="8" borderId="15" applyNumberFormat="1" applyFont="1" applyFill="1" applyBorder="1" applyAlignment="1" applyProtection="0">
      <alignment vertical="center" wrapText="1"/>
    </xf>
    <xf numFmtId="0" fontId="13" fillId="8" borderId="16" applyNumberFormat="1" applyFont="1" applyFill="1" applyBorder="1" applyAlignment="1" applyProtection="0">
      <alignment vertical="center" wrapText="1"/>
    </xf>
    <xf numFmtId="0" fontId="13" fillId="6" borderId="18" applyNumberFormat="0" applyFont="1" applyFill="1" applyBorder="1" applyAlignment="1" applyProtection="0">
      <alignment vertical="center" wrapText="1"/>
    </xf>
    <xf numFmtId="1" fontId="13" fillId="6" borderId="19" applyNumberFormat="1" applyFont="1" applyFill="1" applyBorder="1" applyAlignment="1" applyProtection="0">
      <alignment vertical="center" wrapText="1"/>
    </xf>
    <xf numFmtId="0" fontId="13" fillId="6" borderId="20" applyNumberFormat="1" applyFont="1" applyFill="1" applyBorder="1" applyAlignment="1" applyProtection="0">
      <alignment vertical="center" wrapText="1"/>
    </xf>
    <xf numFmtId="0" fontId="0" applyNumberFormat="1" applyFont="1" applyFill="0" applyBorder="0" applyAlignment="1" applyProtection="0">
      <alignment vertical="bottom"/>
    </xf>
    <xf numFmtId="49" fontId="13" borderId="7" applyNumberFormat="1" applyFont="1" applyFill="0" applyBorder="1" applyAlignment="1" applyProtection="0">
      <alignment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4" fillId="4" borderId="1" applyNumberFormat="1" applyFont="1" applyFill="1" applyBorder="1" applyAlignment="1" applyProtection="0">
      <alignment horizontal="center" vertical="top" wrapText="1"/>
    </xf>
    <xf numFmtId="49" fontId="14" fillId="4" borderId="2" applyNumberFormat="1" applyFont="1" applyFill="1" applyBorder="1" applyAlignment="1" applyProtection="0">
      <alignment horizontal="center" vertical="top" wrapText="1"/>
    </xf>
    <xf numFmtId="0" fontId="0" borderId="9"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0" fillId="6" borderId="8" applyNumberFormat="1" applyFont="1" applyFill="1" applyBorder="1" applyAlignment="1" applyProtection="0">
      <alignment vertical="top" wrapText="1"/>
    </xf>
    <xf numFmtId="49" fontId="0" fillId="6" borderId="7" applyNumberFormat="1" applyFont="1" applyFill="1" applyBorder="1" applyAlignment="1" applyProtection="0">
      <alignment vertical="top" wrapText="1"/>
    </xf>
    <xf numFmtId="0" fontId="0" applyNumberFormat="1" applyFont="1" applyFill="0" applyBorder="0" applyAlignment="1" applyProtection="0">
      <alignment vertical="bottom"/>
    </xf>
    <xf numFmtId="49" fontId="14" fillId="4" borderId="4" applyNumberFormat="1" applyFont="1" applyFill="1" applyBorder="1" applyAlignment="1" applyProtection="0">
      <alignment horizontal="center" vertical="top" wrapText="1"/>
    </xf>
    <xf numFmtId="0" fontId="0" fillId="6" borderId="8" applyNumberFormat="1" applyFont="1" applyFill="1" applyBorder="1" applyAlignment="1" applyProtection="0">
      <alignment vertical="top" wrapText="1"/>
    </xf>
    <xf numFmtId="0" fontId="0" fillId="6" borderId="7"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0f766e"/>
      <rgbColor rgb="ffaaaaaa"/>
      <rgbColor rgb="ff263238"/>
      <rgbColor rgb="ffe0f2f1"/>
      <rgbColor rgb="fff4d58d"/>
      <rgbColor rgb="ff729fb3"/>
      <rgbColor rgb="ffd0dfe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39</v>
      </c>
      <c r="C11" s="3"/>
      <c r="D11" s="3"/>
    </row>
    <row r="12">
      <c r="B12" s="4"/>
      <c r="C12" t="s" s="4">
        <v>5</v>
      </c>
      <c r="D12" t="s" s="5">
        <v>39</v>
      </c>
    </row>
    <row r="13">
      <c r="B13" t="s" s="3">
        <v>480</v>
      </c>
      <c r="C13" s="3"/>
      <c r="D13" s="3"/>
    </row>
    <row r="14">
      <c r="B14" s="4"/>
      <c r="C14" t="s" s="4">
        <v>5</v>
      </c>
      <c r="D14" t="s" s="5">
        <v>480</v>
      </c>
    </row>
    <row r="15">
      <c r="B15" t="s" s="3">
        <v>561</v>
      </c>
      <c r="C15" s="3"/>
      <c r="D15" s="3"/>
    </row>
    <row r="16">
      <c r="B16" s="4"/>
      <c r="C16" t="s" s="4">
        <v>5</v>
      </c>
      <c r="D16" t="s" s="5">
        <v>561</v>
      </c>
    </row>
    <row r="17">
      <c r="B17" t="s" s="3">
        <v>571</v>
      </c>
      <c r="C17" s="3"/>
      <c r="D17" s="3"/>
    </row>
    <row r="18">
      <c r="B18" s="4"/>
      <c r="C18" t="s" s="4">
        <v>5</v>
      </c>
      <c r="D18" t="s" s="5">
        <v>571</v>
      </c>
    </row>
    <row r="19">
      <c r="B19" t="s" s="3">
        <v>606</v>
      </c>
      <c r="C19" s="3"/>
      <c r="D19" s="3"/>
    </row>
    <row r="20">
      <c r="B20" s="4"/>
      <c r="C20" t="s" s="4">
        <v>5</v>
      </c>
      <c r="D20" t="s" s="5">
        <v>606</v>
      </c>
    </row>
    <row r="21">
      <c r="B21" t="s" s="3">
        <v>2823</v>
      </c>
      <c r="C21" s="3"/>
      <c r="D21" s="3"/>
    </row>
    <row r="22">
      <c r="B22" s="4"/>
      <c r="C22" t="s" s="4">
        <v>5</v>
      </c>
      <c r="D22" t="s" s="5">
        <v>2823</v>
      </c>
    </row>
    <row r="23">
      <c r="B23" t="s" s="3">
        <v>2863</v>
      </c>
      <c r="C23" s="3"/>
      <c r="D23" s="3"/>
    </row>
    <row r="24">
      <c r="B24" s="4"/>
      <c r="C24" t="s" s="4">
        <v>5</v>
      </c>
      <c r="D24" t="s" s="5">
        <v>2863</v>
      </c>
    </row>
  </sheetData>
  <mergeCells count="1">
    <mergeCell ref="B3:D3"/>
  </mergeCells>
  <hyperlinks>
    <hyperlink ref="D10" location="'README'!R1C1" tooltip="" display="README"/>
    <hyperlink ref="D12" location="'Ready_84Q_Assessment'!R1C1" tooltip="" display="Ready_84Q_Assessment"/>
    <hyperlink ref="D14" location="'Metric_Scoring_Rules'!R1C1" tooltip="" display="Metric_Scoring_Rules"/>
    <hyperlink ref="D16" location="'Student_Response_Template'!R1C1" tooltip="" display="Student_Response_Template"/>
    <hyperlink ref="D18" location="'Auto_Score_Summary'!R1C1" tooltip="" display="Auto_Score_Summary"/>
    <hyperlink ref="D20" location="'Permutation_AI_Rules'!R1C1" tooltip="" display="Permutation_AI_Rules"/>
    <hyperlink ref="D22" location="'AI_Logic_Payloads'!R1C1" tooltip="" display="AI_Logic_Payloads"/>
    <hyperlink ref="D24" location="'Timing_Bands'!R1C1" tooltip="" display="Timing_Bands"/>
  </hyperlinks>
</worksheet>
</file>

<file path=xl/worksheets/sheet2.xml><?xml version="1.0" encoding="utf-8"?>
<worksheet xmlns:r="http://schemas.openxmlformats.org/officeDocument/2006/relationships" xmlns="http://schemas.openxmlformats.org/spreadsheetml/2006/main">
  <dimension ref="A1:F16"/>
  <sheetViews>
    <sheetView workbookViewId="0" showGridLines="0" defaultGridColor="1"/>
  </sheetViews>
  <sheetFormatPr defaultColWidth="8.83333" defaultRowHeight="15" customHeight="1" outlineLevelRow="0" outlineLevelCol="0"/>
  <cols>
    <col min="1" max="1" width="15.1172" style="6" customWidth="1"/>
    <col min="2" max="2" width="48.3984" style="6" customWidth="1"/>
    <col min="3" max="3" width="8.85156" style="6" customWidth="1"/>
    <col min="4" max="4" width="40.8516" style="6" customWidth="1"/>
    <col min="5" max="5" width="11.6719" style="6" customWidth="1"/>
    <col min="6" max="6" width="4.85156" style="6" customWidth="1"/>
    <col min="7" max="16384" width="8.85156" style="6" customWidth="1"/>
  </cols>
  <sheetData>
    <row r="1" ht="17.45" customHeight="1">
      <c r="A1" t="s" s="7">
        <v>6</v>
      </c>
      <c r="B1" s="8"/>
      <c r="C1" s="9"/>
      <c r="D1" t="s" s="10">
        <v>7</v>
      </c>
      <c r="E1" s="11"/>
      <c r="F1" s="12"/>
    </row>
    <row r="2" ht="47.45" customHeight="1">
      <c r="A2" t="s" s="13">
        <v>8</v>
      </c>
      <c r="B2" t="s" s="14">
        <v>9</v>
      </c>
      <c r="C2" s="15"/>
      <c r="D2" t="s" s="16">
        <v>10</v>
      </c>
      <c r="E2" s="17" cm="1">
        <f t="array" ref="E2">COUNTA('Ready_84Q_Assessment'!A1:A86)-1</f>
        <v>84</v>
      </c>
      <c r="F2" s="18"/>
    </row>
    <row r="3" ht="62.45" customHeight="1">
      <c r="A3" t="s" s="13">
        <v>11</v>
      </c>
      <c r="B3" t="s" s="19">
        <v>12</v>
      </c>
      <c r="C3" s="15"/>
      <c r="D3" t="s" s="20">
        <v>13</v>
      </c>
      <c r="E3" s="21" cm="1">
        <f t="array" ref="E3">COUNTA('Metric_Scoring_Rules'!A1:A30)-1</f>
        <v>28</v>
      </c>
      <c r="F3" s="15"/>
    </row>
    <row r="4" ht="47.45" customHeight="1">
      <c r="A4" t="s" s="13">
        <v>14</v>
      </c>
      <c r="B4" t="s" s="19">
        <v>15</v>
      </c>
      <c r="C4" s="15"/>
      <c r="D4" t="s" s="20">
        <v>16</v>
      </c>
      <c r="E4" t="str" s="15" cm="1">
        <f t="array" ref="E4">_xlfn.IFERROR(AVERAGE('Auto_Score_Summary'!D1:D30),"")</f>
      </c>
      <c r="F4" s="15"/>
    </row>
    <row r="5" ht="32.45" customHeight="1">
      <c r="A5" t="s" s="13">
        <v>17</v>
      </c>
      <c r="B5" t="s" s="19">
        <v>18</v>
      </c>
      <c r="C5" s="15"/>
      <c r="D5" t="s" s="20">
        <v>19</v>
      </c>
      <c r="E5" s="21" cm="1">
        <f t="array" ref="E5">COUNTIF('Student_Response_Template'!K1:K86,"High")</f>
        <v>0</v>
      </c>
      <c r="F5" s="15"/>
    </row>
    <row r="6" ht="47.45" customHeight="1">
      <c r="A6" t="s" s="13">
        <v>20</v>
      </c>
      <c r="B6" t="s" s="19">
        <v>21</v>
      </c>
      <c r="C6" s="15"/>
      <c r="D6" t="s" s="20">
        <v>22</v>
      </c>
      <c r="E6" s="21" cm="1">
        <f t="array" ref="E6">COUNTIF('Auto_Score_Summary'!H1:H30,"Support Needed")</f>
        <v>0</v>
      </c>
      <c r="F6" s="15"/>
    </row>
    <row r="7" ht="32.45" customHeight="1">
      <c r="A7" t="s" s="13">
        <v>23</v>
      </c>
      <c r="B7" t="s" s="19">
        <v>24</v>
      </c>
      <c r="C7" s="15"/>
      <c r="D7" t="s" s="20">
        <v>25</v>
      </c>
      <c r="E7" s="21" cm="1">
        <f t="array" ref="E7">COUNTIF('Auto_Score_Summary'!H1:H30,"Timing Review")</f>
        <v>0</v>
      </c>
      <c r="F7" s="15"/>
    </row>
    <row r="8" ht="32.45" customHeight="1">
      <c r="A8" t="s" s="13">
        <v>26</v>
      </c>
      <c r="B8" t="s" s="19">
        <v>27</v>
      </c>
      <c r="C8" s="15"/>
      <c r="D8" s="22"/>
      <c r="E8" s="22"/>
      <c r="F8" s="22"/>
    </row>
    <row r="9" ht="17.45" customHeight="1">
      <c r="A9" t="s" s="13">
        <v>28</v>
      </c>
      <c r="B9" t="s" s="19">
        <v>29</v>
      </c>
      <c r="C9" s="23"/>
      <c r="D9" t="s" s="24">
        <v>30</v>
      </c>
      <c r="E9" t="s" s="24">
        <v>16</v>
      </c>
      <c r="F9" t="s" s="25">
        <v>31</v>
      </c>
    </row>
    <row r="10" ht="17.45" customHeight="1">
      <c r="A10" s="18"/>
      <c r="B10" s="15"/>
      <c r="C10" s="15"/>
      <c r="D10" t="s" s="16">
        <v>32</v>
      </c>
      <c r="E10" t="str" s="18" cm="1">
        <f t="array" ref="E10">_xlfn.IFERROR(_xlfn.AVERAGEIF('Auto_Score_Summary'!A1:A30,A10,'Auto_Score_Summary'!D1:D30),"")</f>
      </c>
      <c r="F10" t="str" s="18" cm="1">
        <f t="array" ref="F10">IF(B10="","",IF(B10&lt;40,"Low",IF(B10&lt;70,"Moderate","High")))</f>
      </c>
    </row>
    <row r="11" ht="17.45" customHeight="1">
      <c r="A11" s="15"/>
      <c r="B11" s="15"/>
      <c r="C11" s="15"/>
      <c r="D11" t="s" s="20">
        <v>33</v>
      </c>
      <c r="E11" t="str" s="15" cm="1">
        <f t="array" ref="E11">_xlfn.IFERROR(_xlfn.AVERAGEIF('Auto_Score_Summary'!A1:A30,A11,'Auto_Score_Summary'!D1:D30),"")</f>
      </c>
      <c r="F11" t="str" s="15" cm="1">
        <f t="array" ref="F11">IF(B11="","",IF(B11&lt;40,"Low",IF(B11&lt;70,"Moderate","High")))</f>
      </c>
    </row>
    <row r="12" ht="17.45" customHeight="1">
      <c r="A12" s="15"/>
      <c r="B12" s="15"/>
      <c r="C12" s="15"/>
      <c r="D12" t="s" s="20">
        <v>34</v>
      </c>
      <c r="E12" t="str" s="15" cm="1">
        <f t="array" ref="E12">_xlfn.IFERROR(_xlfn.AVERAGEIF('Auto_Score_Summary'!A1:A30,A12,'Auto_Score_Summary'!D1:D30),"")</f>
      </c>
      <c r="F12" t="str" s="15" cm="1">
        <f t="array" ref="F12">IF(B12="","",IF(B12&lt;40,"Low",IF(B12&lt;70,"Moderate","High")))</f>
      </c>
    </row>
    <row r="13" ht="17.45" customHeight="1">
      <c r="A13" s="15"/>
      <c r="B13" s="15"/>
      <c r="C13" s="15"/>
      <c r="D13" t="s" s="20">
        <v>35</v>
      </c>
      <c r="E13" t="str" s="15" cm="1">
        <f t="array" ref="E13">_xlfn.IFERROR(_xlfn.AVERAGEIF('Auto_Score_Summary'!A1:A30,A13,'Auto_Score_Summary'!D1:D30),"")</f>
      </c>
      <c r="F13" t="str" s="15" cm="1">
        <f t="array" ref="F13">IF(B13="","",IF(B13&lt;40,"Low",IF(B13&lt;70,"Moderate","High")))</f>
      </c>
    </row>
    <row r="14" ht="17.45" customHeight="1">
      <c r="A14" s="15"/>
      <c r="B14" s="15"/>
      <c r="C14" s="15"/>
      <c r="D14" t="s" s="20">
        <v>36</v>
      </c>
      <c r="E14" t="str" s="15" cm="1">
        <f t="array" ref="E14">_xlfn.IFERROR(_xlfn.AVERAGEIF('Auto_Score_Summary'!A1:A30,A14,'Auto_Score_Summary'!D1:D30),"")</f>
      </c>
      <c r="F14" t="str" s="15" cm="1">
        <f t="array" ref="F14">IF(B14="","",IF(B14&lt;40,"Low",IF(B14&lt;70,"Moderate","High")))</f>
      </c>
    </row>
    <row r="15" ht="17.45" customHeight="1">
      <c r="A15" s="15"/>
      <c r="B15" s="15"/>
      <c r="C15" s="15"/>
      <c r="D15" t="s" s="20">
        <v>37</v>
      </c>
      <c r="E15" t="str" s="15" cm="1">
        <f t="array" ref="E15">_xlfn.IFERROR(_xlfn.AVERAGEIF('Auto_Score_Summary'!A1:A30,A15,'Auto_Score_Summary'!D1:D30),"")</f>
      </c>
      <c r="F15" t="str" s="15" cm="1">
        <f t="array" ref="F15">IF(B15="","",IF(B15&lt;40,"Low",IF(B15&lt;70,"Moderate","High")))</f>
      </c>
    </row>
    <row r="16" ht="17.45" customHeight="1">
      <c r="A16" s="15"/>
      <c r="B16" s="15"/>
      <c r="C16" s="15"/>
      <c r="D16" t="s" s="20">
        <v>38</v>
      </c>
      <c r="E16" t="str" s="15" cm="1">
        <f t="array" ref="E16">_xlfn.IFERROR(_xlfn.AVERAGEIF('Auto_Score_Summary'!A1:A30,A16,'Auto_Score_Summary'!D1:D30),"")</f>
      </c>
      <c r="F16" t="str" s="15" cm="1">
        <f t="array" ref="F16">IF(B16="","",IF(B16&lt;40,"Low",IF(B16&lt;70,"Moderate","High")))</f>
      </c>
    </row>
  </sheetData>
  <mergeCells count="2">
    <mergeCell ref="A1:B1"/>
    <mergeCell ref="D1:F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Y86"/>
  <sheetViews>
    <sheetView workbookViewId="0" showGridLines="0" defaultGridColor="1"/>
  </sheetViews>
  <sheetFormatPr defaultColWidth="8.83333" defaultRowHeight="15" customHeight="1" outlineLevelRow="0" outlineLevelCol="0"/>
  <cols>
    <col min="1" max="1" width="17.8359" style="26" customWidth="1"/>
    <col min="2" max="2" width="15.125" style="26" customWidth="1"/>
    <col min="3" max="3" width="8.85156" style="26" customWidth="1"/>
    <col min="4" max="5" width="18" style="26" customWidth="1"/>
    <col min="6" max="6" width="16.2031" style="26" customWidth="1"/>
    <col min="7" max="7" width="15.6406" style="26" customWidth="1"/>
    <col min="8" max="8" width="48" style="26" customWidth="1"/>
    <col min="9" max="12" width="24" style="26" customWidth="1"/>
    <col min="13" max="13" width="8.85156" style="26" customWidth="1"/>
    <col min="14" max="14" width="16.2344" style="26" customWidth="1"/>
    <col min="15" max="16" width="8.85156" style="26" customWidth="1"/>
    <col min="17" max="17" width="13.5859" style="26" customWidth="1"/>
    <col min="18" max="19" width="8.85156" style="26" customWidth="1"/>
    <col min="20" max="20" width="16.3125" style="26" customWidth="1"/>
    <col min="21" max="22" width="28" style="26" customWidth="1"/>
    <col min="23" max="23" width="39.1094" style="26" customWidth="1"/>
    <col min="24" max="24" width="30" style="26" customWidth="1"/>
    <col min="25" max="25" width="8.85156" style="26" customWidth="1"/>
    <col min="26" max="16384" width="8.85156" style="26" customWidth="1"/>
  </cols>
  <sheetData>
    <row r="1" ht="50.5" customHeight="1">
      <c r="A1" t="s" s="27">
        <v>40</v>
      </c>
      <c r="B1" t="s" s="28">
        <v>41</v>
      </c>
      <c r="C1" t="s" s="28">
        <v>42</v>
      </c>
      <c r="D1" t="s" s="28">
        <v>30</v>
      </c>
      <c r="E1" t="s" s="28">
        <v>43</v>
      </c>
      <c r="F1" t="s" s="28">
        <v>44</v>
      </c>
      <c r="G1" t="s" s="28">
        <v>45</v>
      </c>
      <c r="H1" t="s" s="28">
        <v>46</v>
      </c>
      <c r="I1" t="s" s="28">
        <v>47</v>
      </c>
      <c r="J1" t="s" s="28">
        <v>48</v>
      </c>
      <c r="K1" t="s" s="28">
        <v>49</v>
      </c>
      <c r="L1" t="s" s="28">
        <v>50</v>
      </c>
      <c r="M1" t="s" s="28">
        <v>51</v>
      </c>
      <c r="N1" t="s" s="28">
        <v>52</v>
      </c>
      <c r="O1" t="s" s="28">
        <v>53</v>
      </c>
      <c r="P1" t="s" s="28">
        <v>54</v>
      </c>
      <c r="Q1" t="s" s="28">
        <v>55</v>
      </c>
      <c r="R1" t="s" s="28">
        <v>56</v>
      </c>
      <c r="S1" t="s" s="28">
        <v>57</v>
      </c>
      <c r="T1" t="s" s="28">
        <v>58</v>
      </c>
      <c r="U1" t="s" s="28">
        <v>59</v>
      </c>
      <c r="V1" t="s" s="28">
        <v>60</v>
      </c>
      <c r="W1" t="s" s="28">
        <v>61</v>
      </c>
      <c r="X1" t="s" s="29">
        <v>62</v>
      </c>
      <c r="Y1" s="30"/>
    </row>
    <row r="2" ht="62.5" customHeight="1">
      <c r="A2" t="s" s="31">
        <v>63</v>
      </c>
      <c r="B2" t="s" s="32">
        <v>64</v>
      </c>
      <c r="C2" t="s" s="32">
        <v>65</v>
      </c>
      <c r="D2" t="s" s="32">
        <v>37</v>
      </c>
      <c r="E2" t="s" s="32">
        <v>66</v>
      </c>
      <c r="F2" t="s" s="32">
        <v>67</v>
      </c>
      <c r="G2" t="s" s="32">
        <v>68</v>
      </c>
      <c r="H2" t="s" s="32">
        <v>69</v>
      </c>
      <c r="I2" t="s" s="32">
        <v>70</v>
      </c>
      <c r="J2" t="s" s="32">
        <v>71</v>
      </c>
      <c r="K2" t="s" s="32">
        <v>72</v>
      </c>
      <c r="L2" t="s" s="32">
        <v>73</v>
      </c>
      <c r="M2" s="33"/>
      <c r="N2" t="s" s="32">
        <v>74</v>
      </c>
      <c r="O2" t="s" s="32">
        <v>75</v>
      </c>
      <c r="P2" t="s" s="32">
        <v>76</v>
      </c>
      <c r="Q2" s="34">
        <v>0</v>
      </c>
      <c r="R2" s="34">
        <v>7</v>
      </c>
      <c r="S2" s="34">
        <v>18</v>
      </c>
      <c r="T2" t="s" s="32">
        <v>77</v>
      </c>
      <c r="U2" t="s" s="32">
        <v>78</v>
      </c>
      <c r="V2" t="s" s="32">
        <v>79</v>
      </c>
      <c r="W2" t="s" s="32">
        <v>80</v>
      </c>
      <c r="X2" t="s" s="35">
        <v>81</v>
      </c>
      <c r="Y2" s="30"/>
    </row>
    <row r="3" ht="62.5" customHeight="1">
      <c r="A3" t="s" s="36">
        <v>82</v>
      </c>
      <c r="B3" t="s" s="37">
        <v>83</v>
      </c>
      <c r="C3" t="s" s="37">
        <v>65</v>
      </c>
      <c r="D3" t="s" s="37">
        <v>37</v>
      </c>
      <c r="E3" t="s" s="37">
        <v>66</v>
      </c>
      <c r="F3" t="s" s="37">
        <v>67</v>
      </c>
      <c r="G3" t="s" s="37">
        <v>68</v>
      </c>
      <c r="H3" t="s" s="37">
        <v>84</v>
      </c>
      <c r="I3" t="s" s="37">
        <v>70</v>
      </c>
      <c r="J3" t="s" s="37">
        <v>71</v>
      </c>
      <c r="K3" t="s" s="37">
        <v>72</v>
      </c>
      <c r="L3" t="s" s="37">
        <v>73</v>
      </c>
      <c r="M3" s="38"/>
      <c r="N3" t="s" s="37">
        <v>74</v>
      </c>
      <c r="O3" t="s" s="37">
        <v>75</v>
      </c>
      <c r="P3" t="s" s="37">
        <v>85</v>
      </c>
      <c r="Q3" s="39">
        <v>0</v>
      </c>
      <c r="R3" s="39">
        <v>10</v>
      </c>
      <c r="S3" s="39">
        <v>25</v>
      </c>
      <c r="T3" t="s" s="37">
        <v>77</v>
      </c>
      <c r="U3" t="s" s="37">
        <v>78</v>
      </c>
      <c r="V3" t="s" s="37">
        <v>79</v>
      </c>
      <c r="W3" t="s" s="37">
        <v>80</v>
      </c>
      <c r="X3" t="s" s="40">
        <v>81</v>
      </c>
      <c r="Y3" s="30"/>
    </row>
    <row r="4" ht="62.5" customHeight="1">
      <c r="A4" t="s" s="31">
        <v>86</v>
      </c>
      <c r="B4" t="s" s="32">
        <v>87</v>
      </c>
      <c r="C4" t="s" s="32">
        <v>65</v>
      </c>
      <c r="D4" t="s" s="32">
        <v>37</v>
      </c>
      <c r="E4" t="s" s="32">
        <v>66</v>
      </c>
      <c r="F4" t="s" s="32">
        <v>67</v>
      </c>
      <c r="G4" t="s" s="32">
        <v>68</v>
      </c>
      <c r="H4" t="s" s="32">
        <v>88</v>
      </c>
      <c r="I4" t="s" s="32">
        <v>70</v>
      </c>
      <c r="J4" t="s" s="32">
        <v>71</v>
      </c>
      <c r="K4" t="s" s="32">
        <v>72</v>
      </c>
      <c r="L4" t="s" s="32">
        <v>73</v>
      </c>
      <c r="M4" s="33"/>
      <c r="N4" t="s" s="32">
        <v>74</v>
      </c>
      <c r="O4" t="s" s="32">
        <v>75</v>
      </c>
      <c r="P4" t="s" s="32">
        <v>76</v>
      </c>
      <c r="Q4" s="34">
        <v>0</v>
      </c>
      <c r="R4" s="34">
        <v>7</v>
      </c>
      <c r="S4" s="34">
        <v>18</v>
      </c>
      <c r="T4" t="s" s="32">
        <v>77</v>
      </c>
      <c r="U4" t="s" s="32">
        <v>78</v>
      </c>
      <c r="V4" t="s" s="32">
        <v>79</v>
      </c>
      <c r="W4" t="s" s="32">
        <v>80</v>
      </c>
      <c r="X4" t="s" s="35">
        <v>81</v>
      </c>
      <c r="Y4" s="30"/>
    </row>
    <row r="5" ht="62.5" customHeight="1">
      <c r="A5" t="s" s="36">
        <v>89</v>
      </c>
      <c r="B5" t="s" s="37">
        <v>90</v>
      </c>
      <c r="C5" t="s" s="37">
        <v>65</v>
      </c>
      <c r="D5" t="s" s="37">
        <v>37</v>
      </c>
      <c r="E5" t="s" s="37">
        <v>91</v>
      </c>
      <c r="F5" t="s" s="37">
        <v>92</v>
      </c>
      <c r="G5" t="s" s="37">
        <v>68</v>
      </c>
      <c r="H5" t="s" s="37">
        <v>93</v>
      </c>
      <c r="I5" t="s" s="37">
        <v>70</v>
      </c>
      <c r="J5" t="s" s="37">
        <v>71</v>
      </c>
      <c r="K5" t="s" s="37">
        <v>72</v>
      </c>
      <c r="L5" t="s" s="37">
        <v>73</v>
      </c>
      <c r="M5" s="38"/>
      <c r="N5" t="s" s="37">
        <v>74</v>
      </c>
      <c r="O5" t="s" s="37">
        <v>75</v>
      </c>
      <c r="P5" t="s" s="37">
        <v>76</v>
      </c>
      <c r="Q5" s="39">
        <v>0</v>
      </c>
      <c r="R5" s="39">
        <v>7</v>
      </c>
      <c r="S5" s="39">
        <v>18</v>
      </c>
      <c r="T5" t="s" s="37">
        <v>77</v>
      </c>
      <c r="U5" t="s" s="37">
        <v>94</v>
      </c>
      <c r="V5" t="s" s="37">
        <v>79</v>
      </c>
      <c r="W5" t="s" s="37">
        <v>95</v>
      </c>
      <c r="X5" t="s" s="40">
        <v>81</v>
      </c>
      <c r="Y5" s="30"/>
    </row>
    <row r="6" ht="62.5" customHeight="1">
      <c r="A6" t="s" s="31">
        <v>96</v>
      </c>
      <c r="B6" t="s" s="32">
        <v>97</v>
      </c>
      <c r="C6" t="s" s="32">
        <v>65</v>
      </c>
      <c r="D6" t="s" s="32">
        <v>37</v>
      </c>
      <c r="E6" t="s" s="32">
        <v>91</v>
      </c>
      <c r="F6" t="s" s="32">
        <v>92</v>
      </c>
      <c r="G6" t="s" s="32">
        <v>68</v>
      </c>
      <c r="H6" t="s" s="32">
        <v>98</v>
      </c>
      <c r="I6" t="s" s="32">
        <v>70</v>
      </c>
      <c r="J6" t="s" s="32">
        <v>71</v>
      </c>
      <c r="K6" t="s" s="32">
        <v>72</v>
      </c>
      <c r="L6" t="s" s="32">
        <v>73</v>
      </c>
      <c r="M6" s="33"/>
      <c r="N6" t="s" s="32">
        <v>74</v>
      </c>
      <c r="O6" t="s" s="32">
        <v>75</v>
      </c>
      <c r="P6" t="s" s="32">
        <v>85</v>
      </c>
      <c r="Q6" s="34">
        <v>0</v>
      </c>
      <c r="R6" s="34">
        <v>10</v>
      </c>
      <c r="S6" s="34">
        <v>25</v>
      </c>
      <c r="T6" t="s" s="32">
        <v>77</v>
      </c>
      <c r="U6" t="s" s="32">
        <v>94</v>
      </c>
      <c r="V6" t="s" s="32">
        <v>79</v>
      </c>
      <c r="W6" t="s" s="32">
        <v>95</v>
      </c>
      <c r="X6" t="s" s="35">
        <v>81</v>
      </c>
      <c r="Y6" s="30"/>
    </row>
    <row r="7" ht="62.5" customHeight="1">
      <c r="A7" t="s" s="36">
        <v>99</v>
      </c>
      <c r="B7" t="s" s="37">
        <v>100</v>
      </c>
      <c r="C7" t="s" s="37">
        <v>65</v>
      </c>
      <c r="D7" t="s" s="37">
        <v>37</v>
      </c>
      <c r="E7" t="s" s="37">
        <v>91</v>
      </c>
      <c r="F7" t="s" s="37">
        <v>92</v>
      </c>
      <c r="G7" t="s" s="37">
        <v>68</v>
      </c>
      <c r="H7" t="s" s="37">
        <v>101</v>
      </c>
      <c r="I7" t="s" s="37">
        <v>70</v>
      </c>
      <c r="J7" t="s" s="37">
        <v>71</v>
      </c>
      <c r="K7" t="s" s="37">
        <v>72</v>
      </c>
      <c r="L7" t="s" s="37">
        <v>73</v>
      </c>
      <c r="M7" s="38"/>
      <c r="N7" t="s" s="37">
        <v>74</v>
      </c>
      <c r="O7" t="s" s="37">
        <v>75</v>
      </c>
      <c r="P7" t="s" s="37">
        <v>76</v>
      </c>
      <c r="Q7" s="39">
        <v>0</v>
      </c>
      <c r="R7" s="39">
        <v>7</v>
      </c>
      <c r="S7" s="39">
        <v>18</v>
      </c>
      <c r="T7" t="s" s="37">
        <v>77</v>
      </c>
      <c r="U7" t="s" s="37">
        <v>94</v>
      </c>
      <c r="V7" t="s" s="37">
        <v>79</v>
      </c>
      <c r="W7" t="s" s="37">
        <v>95</v>
      </c>
      <c r="X7" t="s" s="40">
        <v>81</v>
      </c>
      <c r="Y7" s="30"/>
    </row>
    <row r="8" ht="62.5" customHeight="1">
      <c r="A8" t="s" s="31">
        <v>102</v>
      </c>
      <c r="B8" t="s" s="32">
        <v>103</v>
      </c>
      <c r="C8" t="s" s="32">
        <v>65</v>
      </c>
      <c r="D8" t="s" s="32">
        <v>37</v>
      </c>
      <c r="E8" t="s" s="32">
        <v>104</v>
      </c>
      <c r="F8" t="s" s="32">
        <v>105</v>
      </c>
      <c r="G8" t="s" s="32">
        <v>68</v>
      </c>
      <c r="H8" t="s" s="32">
        <v>106</v>
      </c>
      <c r="I8" t="s" s="32">
        <v>70</v>
      </c>
      <c r="J8" t="s" s="32">
        <v>71</v>
      </c>
      <c r="K8" t="s" s="32">
        <v>72</v>
      </c>
      <c r="L8" t="s" s="32">
        <v>73</v>
      </c>
      <c r="M8" s="33"/>
      <c r="N8" t="s" s="32">
        <v>74</v>
      </c>
      <c r="O8" t="s" s="32">
        <v>75</v>
      </c>
      <c r="P8" t="s" s="32">
        <v>76</v>
      </c>
      <c r="Q8" s="34">
        <v>0</v>
      </c>
      <c r="R8" s="34">
        <v>7</v>
      </c>
      <c r="S8" s="34">
        <v>18</v>
      </c>
      <c r="T8" t="s" s="32">
        <v>77</v>
      </c>
      <c r="U8" t="s" s="32">
        <v>107</v>
      </c>
      <c r="V8" t="s" s="32">
        <v>79</v>
      </c>
      <c r="W8" t="s" s="32">
        <v>108</v>
      </c>
      <c r="X8" t="s" s="35">
        <v>81</v>
      </c>
      <c r="Y8" s="30"/>
    </row>
    <row r="9" ht="62.5" customHeight="1">
      <c r="A9" t="s" s="36">
        <v>109</v>
      </c>
      <c r="B9" t="s" s="37">
        <v>110</v>
      </c>
      <c r="C9" t="s" s="37">
        <v>65</v>
      </c>
      <c r="D9" t="s" s="37">
        <v>37</v>
      </c>
      <c r="E9" t="s" s="37">
        <v>104</v>
      </c>
      <c r="F9" t="s" s="37">
        <v>105</v>
      </c>
      <c r="G9" t="s" s="37">
        <v>68</v>
      </c>
      <c r="H9" t="s" s="37">
        <v>111</v>
      </c>
      <c r="I9" t="s" s="37">
        <v>70</v>
      </c>
      <c r="J9" t="s" s="37">
        <v>71</v>
      </c>
      <c r="K9" t="s" s="37">
        <v>72</v>
      </c>
      <c r="L9" t="s" s="37">
        <v>73</v>
      </c>
      <c r="M9" s="38"/>
      <c r="N9" t="s" s="37">
        <v>74</v>
      </c>
      <c r="O9" t="s" s="37">
        <v>75</v>
      </c>
      <c r="P9" t="s" s="37">
        <v>85</v>
      </c>
      <c r="Q9" s="39">
        <v>0</v>
      </c>
      <c r="R9" s="39">
        <v>10</v>
      </c>
      <c r="S9" s="39">
        <v>25</v>
      </c>
      <c r="T9" t="s" s="37">
        <v>77</v>
      </c>
      <c r="U9" t="s" s="37">
        <v>107</v>
      </c>
      <c r="V9" t="s" s="37">
        <v>79</v>
      </c>
      <c r="W9" t="s" s="37">
        <v>108</v>
      </c>
      <c r="X9" t="s" s="40">
        <v>81</v>
      </c>
      <c r="Y9" s="30"/>
    </row>
    <row r="10" ht="62.5" customHeight="1">
      <c r="A10" t="s" s="31">
        <v>112</v>
      </c>
      <c r="B10" t="s" s="32">
        <v>113</v>
      </c>
      <c r="C10" t="s" s="32">
        <v>65</v>
      </c>
      <c r="D10" t="s" s="32">
        <v>37</v>
      </c>
      <c r="E10" t="s" s="32">
        <v>104</v>
      </c>
      <c r="F10" t="s" s="32">
        <v>105</v>
      </c>
      <c r="G10" t="s" s="32">
        <v>68</v>
      </c>
      <c r="H10" t="s" s="32">
        <v>114</v>
      </c>
      <c r="I10" t="s" s="32">
        <v>70</v>
      </c>
      <c r="J10" t="s" s="32">
        <v>71</v>
      </c>
      <c r="K10" t="s" s="32">
        <v>72</v>
      </c>
      <c r="L10" t="s" s="32">
        <v>73</v>
      </c>
      <c r="M10" s="33"/>
      <c r="N10" t="s" s="32">
        <v>74</v>
      </c>
      <c r="O10" t="s" s="32">
        <v>75</v>
      </c>
      <c r="P10" t="s" s="32">
        <v>76</v>
      </c>
      <c r="Q10" s="34">
        <v>0</v>
      </c>
      <c r="R10" s="34">
        <v>7</v>
      </c>
      <c r="S10" s="34">
        <v>18</v>
      </c>
      <c r="T10" t="s" s="32">
        <v>77</v>
      </c>
      <c r="U10" t="s" s="32">
        <v>107</v>
      </c>
      <c r="V10" t="s" s="32">
        <v>79</v>
      </c>
      <c r="W10" t="s" s="32">
        <v>108</v>
      </c>
      <c r="X10" t="s" s="35">
        <v>81</v>
      </c>
      <c r="Y10" s="30"/>
    </row>
    <row r="11" ht="62.5" customHeight="1">
      <c r="A11" t="s" s="36">
        <v>115</v>
      </c>
      <c r="B11" t="s" s="37">
        <v>116</v>
      </c>
      <c r="C11" t="s" s="37">
        <v>65</v>
      </c>
      <c r="D11" t="s" s="37">
        <v>37</v>
      </c>
      <c r="E11" t="s" s="37">
        <v>117</v>
      </c>
      <c r="F11" t="s" s="37">
        <v>118</v>
      </c>
      <c r="G11" t="s" s="37">
        <v>68</v>
      </c>
      <c r="H11" t="s" s="37">
        <v>119</v>
      </c>
      <c r="I11" t="s" s="37">
        <v>70</v>
      </c>
      <c r="J11" t="s" s="37">
        <v>71</v>
      </c>
      <c r="K11" t="s" s="37">
        <v>72</v>
      </c>
      <c r="L11" t="s" s="37">
        <v>73</v>
      </c>
      <c r="M11" s="38"/>
      <c r="N11" t="s" s="37">
        <v>74</v>
      </c>
      <c r="O11" t="s" s="37">
        <v>75</v>
      </c>
      <c r="P11" t="s" s="37">
        <v>76</v>
      </c>
      <c r="Q11" s="39">
        <v>0</v>
      </c>
      <c r="R11" s="39">
        <v>7</v>
      </c>
      <c r="S11" s="39">
        <v>18</v>
      </c>
      <c r="T11" t="s" s="37">
        <v>77</v>
      </c>
      <c r="U11" t="s" s="37">
        <v>120</v>
      </c>
      <c r="V11" t="s" s="37">
        <v>79</v>
      </c>
      <c r="W11" t="s" s="37">
        <v>121</v>
      </c>
      <c r="X11" t="s" s="40">
        <v>81</v>
      </c>
      <c r="Y11" s="30"/>
    </row>
    <row r="12" ht="62.5" customHeight="1">
      <c r="A12" t="s" s="31">
        <v>122</v>
      </c>
      <c r="B12" t="s" s="32">
        <v>123</v>
      </c>
      <c r="C12" t="s" s="32">
        <v>65</v>
      </c>
      <c r="D12" t="s" s="32">
        <v>37</v>
      </c>
      <c r="E12" t="s" s="32">
        <v>117</v>
      </c>
      <c r="F12" t="s" s="32">
        <v>118</v>
      </c>
      <c r="G12" t="s" s="32">
        <v>68</v>
      </c>
      <c r="H12" t="s" s="32">
        <v>124</v>
      </c>
      <c r="I12" t="s" s="32">
        <v>70</v>
      </c>
      <c r="J12" t="s" s="32">
        <v>71</v>
      </c>
      <c r="K12" t="s" s="32">
        <v>72</v>
      </c>
      <c r="L12" t="s" s="32">
        <v>73</v>
      </c>
      <c r="M12" s="33"/>
      <c r="N12" t="s" s="32">
        <v>74</v>
      </c>
      <c r="O12" t="s" s="32">
        <v>75</v>
      </c>
      <c r="P12" t="s" s="32">
        <v>85</v>
      </c>
      <c r="Q12" s="34">
        <v>0</v>
      </c>
      <c r="R12" s="34">
        <v>10</v>
      </c>
      <c r="S12" s="34">
        <v>25</v>
      </c>
      <c r="T12" t="s" s="32">
        <v>77</v>
      </c>
      <c r="U12" t="s" s="32">
        <v>120</v>
      </c>
      <c r="V12" t="s" s="32">
        <v>79</v>
      </c>
      <c r="W12" t="s" s="32">
        <v>121</v>
      </c>
      <c r="X12" t="s" s="35">
        <v>81</v>
      </c>
      <c r="Y12" s="30"/>
    </row>
    <row r="13" ht="62.5" customHeight="1">
      <c r="A13" t="s" s="36">
        <v>125</v>
      </c>
      <c r="B13" t="s" s="37">
        <v>126</v>
      </c>
      <c r="C13" t="s" s="37">
        <v>65</v>
      </c>
      <c r="D13" t="s" s="37">
        <v>37</v>
      </c>
      <c r="E13" t="s" s="37">
        <v>117</v>
      </c>
      <c r="F13" t="s" s="37">
        <v>118</v>
      </c>
      <c r="G13" t="s" s="37">
        <v>68</v>
      </c>
      <c r="H13" t="s" s="37">
        <v>127</v>
      </c>
      <c r="I13" t="s" s="37">
        <v>70</v>
      </c>
      <c r="J13" t="s" s="37">
        <v>71</v>
      </c>
      <c r="K13" t="s" s="37">
        <v>72</v>
      </c>
      <c r="L13" t="s" s="37">
        <v>73</v>
      </c>
      <c r="M13" s="38"/>
      <c r="N13" t="s" s="37">
        <v>74</v>
      </c>
      <c r="O13" t="s" s="37">
        <v>75</v>
      </c>
      <c r="P13" t="s" s="37">
        <v>76</v>
      </c>
      <c r="Q13" s="39">
        <v>0</v>
      </c>
      <c r="R13" s="39">
        <v>7</v>
      </c>
      <c r="S13" s="39">
        <v>18</v>
      </c>
      <c r="T13" t="s" s="37">
        <v>77</v>
      </c>
      <c r="U13" t="s" s="37">
        <v>120</v>
      </c>
      <c r="V13" t="s" s="37">
        <v>79</v>
      </c>
      <c r="W13" t="s" s="37">
        <v>121</v>
      </c>
      <c r="X13" t="s" s="40">
        <v>81</v>
      </c>
      <c r="Y13" s="30"/>
    </row>
    <row r="14" ht="62.5" customHeight="1">
      <c r="A14" t="s" s="31">
        <v>128</v>
      </c>
      <c r="B14" t="s" s="32">
        <v>129</v>
      </c>
      <c r="C14" t="s" s="32">
        <v>65</v>
      </c>
      <c r="D14" t="s" s="32">
        <v>37</v>
      </c>
      <c r="E14" t="s" s="32">
        <v>130</v>
      </c>
      <c r="F14" t="s" s="32">
        <v>131</v>
      </c>
      <c r="G14" t="s" s="32">
        <v>68</v>
      </c>
      <c r="H14" t="s" s="32">
        <v>132</v>
      </c>
      <c r="I14" t="s" s="32">
        <v>70</v>
      </c>
      <c r="J14" t="s" s="32">
        <v>71</v>
      </c>
      <c r="K14" t="s" s="32">
        <v>72</v>
      </c>
      <c r="L14" t="s" s="32">
        <v>73</v>
      </c>
      <c r="M14" s="33"/>
      <c r="N14" t="s" s="32">
        <v>74</v>
      </c>
      <c r="O14" t="s" s="32">
        <v>75</v>
      </c>
      <c r="P14" t="s" s="32">
        <v>76</v>
      </c>
      <c r="Q14" s="34">
        <v>0</v>
      </c>
      <c r="R14" s="34">
        <v>7</v>
      </c>
      <c r="S14" s="34">
        <v>18</v>
      </c>
      <c r="T14" t="s" s="32">
        <v>77</v>
      </c>
      <c r="U14" t="s" s="32">
        <v>133</v>
      </c>
      <c r="V14" t="s" s="32">
        <v>79</v>
      </c>
      <c r="W14" t="s" s="32">
        <v>134</v>
      </c>
      <c r="X14" t="s" s="35">
        <v>81</v>
      </c>
      <c r="Y14" s="30"/>
    </row>
    <row r="15" ht="62.5" customHeight="1">
      <c r="A15" t="s" s="36">
        <v>135</v>
      </c>
      <c r="B15" t="s" s="37">
        <v>136</v>
      </c>
      <c r="C15" t="s" s="37">
        <v>65</v>
      </c>
      <c r="D15" t="s" s="37">
        <v>37</v>
      </c>
      <c r="E15" t="s" s="37">
        <v>130</v>
      </c>
      <c r="F15" t="s" s="37">
        <v>131</v>
      </c>
      <c r="G15" t="s" s="37">
        <v>68</v>
      </c>
      <c r="H15" t="s" s="37">
        <v>137</v>
      </c>
      <c r="I15" t="s" s="37">
        <v>70</v>
      </c>
      <c r="J15" t="s" s="37">
        <v>71</v>
      </c>
      <c r="K15" t="s" s="37">
        <v>72</v>
      </c>
      <c r="L15" t="s" s="37">
        <v>73</v>
      </c>
      <c r="M15" s="38"/>
      <c r="N15" t="s" s="37">
        <v>74</v>
      </c>
      <c r="O15" t="s" s="37">
        <v>75</v>
      </c>
      <c r="P15" t="s" s="37">
        <v>85</v>
      </c>
      <c r="Q15" s="39">
        <v>0</v>
      </c>
      <c r="R15" s="39">
        <v>10</v>
      </c>
      <c r="S15" s="39">
        <v>25</v>
      </c>
      <c r="T15" t="s" s="37">
        <v>77</v>
      </c>
      <c r="U15" t="s" s="37">
        <v>133</v>
      </c>
      <c r="V15" t="s" s="37">
        <v>79</v>
      </c>
      <c r="W15" t="s" s="37">
        <v>134</v>
      </c>
      <c r="X15" t="s" s="40">
        <v>81</v>
      </c>
      <c r="Y15" s="30"/>
    </row>
    <row r="16" ht="62.5" customHeight="1">
      <c r="A16" t="s" s="31">
        <v>138</v>
      </c>
      <c r="B16" t="s" s="32">
        <v>139</v>
      </c>
      <c r="C16" t="s" s="32">
        <v>65</v>
      </c>
      <c r="D16" t="s" s="32">
        <v>37</v>
      </c>
      <c r="E16" t="s" s="32">
        <v>130</v>
      </c>
      <c r="F16" t="s" s="32">
        <v>131</v>
      </c>
      <c r="G16" t="s" s="32">
        <v>68</v>
      </c>
      <c r="H16" t="s" s="32">
        <v>140</v>
      </c>
      <c r="I16" t="s" s="32">
        <v>70</v>
      </c>
      <c r="J16" t="s" s="32">
        <v>71</v>
      </c>
      <c r="K16" t="s" s="32">
        <v>72</v>
      </c>
      <c r="L16" t="s" s="32">
        <v>73</v>
      </c>
      <c r="M16" s="33"/>
      <c r="N16" t="s" s="32">
        <v>74</v>
      </c>
      <c r="O16" t="s" s="32">
        <v>75</v>
      </c>
      <c r="P16" t="s" s="32">
        <v>76</v>
      </c>
      <c r="Q16" s="34">
        <v>0</v>
      </c>
      <c r="R16" s="34">
        <v>7</v>
      </c>
      <c r="S16" s="34">
        <v>18</v>
      </c>
      <c r="T16" t="s" s="32">
        <v>77</v>
      </c>
      <c r="U16" t="s" s="32">
        <v>133</v>
      </c>
      <c r="V16" t="s" s="32">
        <v>79</v>
      </c>
      <c r="W16" t="s" s="32">
        <v>134</v>
      </c>
      <c r="X16" t="s" s="35">
        <v>81</v>
      </c>
      <c r="Y16" s="30"/>
    </row>
    <row r="17" ht="62.5" customHeight="1">
      <c r="A17" t="s" s="36">
        <v>141</v>
      </c>
      <c r="B17" t="s" s="37">
        <v>142</v>
      </c>
      <c r="C17" t="s" s="37">
        <v>65</v>
      </c>
      <c r="D17" t="s" s="37">
        <v>37</v>
      </c>
      <c r="E17" t="s" s="37">
        <v>143</v>
      </c>
      <c r="F17" t="s" s="37">
        <v>144</v>
      </c>
      <c r="G17" t="s" s="37">
        <v>68</v>
      </c>
      <c r="H17" t="s" s="37">
        <v>145</v>
      </c>
      <c r="I17" t="s" s="37">
        <v>70</v>
      </c>
      <c r="J17" t="s" s="37">
        <v>71</v>
      </c>
      <c r="K17" t="s" s="37">
        <v>72</v>
      </c>
      <c r="L17" t="s" s="37">
        <v>73</v>
      </c>
      <c r="M17" s="38"/>
      <c r="N17" t="s" s="37">
        <v>74</v>
      </c>
      <c r="O17" t="s" s="37">
        <v>75</v>
      </c>
      <c r="P17" t="s" s="37">
        <v>76</v>
      </c>
      <c r="Q17" s="39">
        <v>0</v>
      </c>
      <c r="R17" s="39">
        <v>7</v>
      </c>
      <c r="S17" s="39">
        <v>18</v>
      </c>
      <c r="T17" t="s" s="37">
        <v>77</v>
      </c>
      <c r="U17" t="s" s="37">
        <v>146</v>
      </c>
      <c r="V17" t="s" s="37">
        <v>79</v>
      </c>
      <c r="W17" t="s" s="37">
        <v>147</v>
      </c>
      <c r="X17" t="s" s="40">
        <v>81</v>
      </c>
      <c r="Y17" s="30"/>
    </row>
    <row r="18" ht="62.5" customHeight="1">
      <c r="A18" t="s" s="31">
        <v>148</v>
      </c>
      <c r="B18" t="s" s="32">
        <v>149</v>
      </c>
      <c r="C18" t="s" s="32">
        <v>65</v>
      </c>
      <c r="D18" t="s" s="32">
        <v>37</v>
      </c>
      <c r="E18" t="s" s="32">
        <v>143</v>
      </c>
      <c r="F18" t="s" s="32">
        <v>144</v>
      </c>
      <c r="G18" t="s" s="32">
        <v>68</v>
      </c>
      <c r="H18" t="s" s="32">
        <v>150</v>
      </c>
      <c r="I18" t="s" s="32">
        <v>70</v>
      </c>
      <c r="J18" t="s" s="32">
        <v>71</v>
      </c>
      <c r="K18" t="s" s="32">
        <v>72</v>
      </c>
      <c r="L18" t="s" s="32">
        <v>73</v>
      </c>
      <c r="M18" s="33"/>
      <c r="N18" t="s" s="32">
        <v>74</v>
      </c>
      <c r="O18" t="s" s="32">
        <v>75</v>
      </c>
      <c r="P18" t="s" s="32">
        <v>85</v>
      </c>
      <c r="Q18" s="34">
        <v>0</v>
      </c>
      <c r="R18" s="34">
        <v>10</v>
      </c>
      <c r="S18" s="34">
        <v>25</v>
      </c>
      <c r="T18" t="s" s="32">
        <v>77</v>
      </c>
      <c r="U18" t="s" s="32">
        <v>146</v>
      </c>
      <c r="V18" t="s" s="32">
        <v>79</v>
      </c>
      <c r="W18" t="s" s="32">
        <v>147</v>
      </c>
      <c r="X18" t="s" s="35">
        <v>81</v>
      </c>
      <c r="Y18" s="30"/>
    </row>
    <row r="19" ht="62.5" customHeight="1">
      <c r="A19" t="s" s="36">
        <v>151</v>
      </c>
      <c r="B19" t="s" s="37">
        <v>152</v>
      </c>
      <c r="C19" t="s" s="37">
        <v>65</v>
      </c>
      <c r="D19" t="s" s="37">
        <v>37</v>
      </c>
      <c r="E19" t="s" s="37">
        <v>143</v>
      </c>
      <c r="F19" t="s" s="37">
        <v>144</v>
      </c>
      <c r="G19" t="s" s="37">
        <v>68</v>
      </c>
      <c r="H19" t="s" s="37">
        <v>153</v>
      </c>
      <c r="I19" t="s" s="37">
        <v>70</v>
      </c>
      <c r="J19" t="s" s="37">
        <v>71</v>
      </c>
      <c r="K19" t="s" s="37">
        <v>72</v>
      </c>
      <c r="L19" t="s" s="37">
        <v>73</v>
      </c>
      <c r="M19" s="38"/>
      <c r="N19" t="s" s="37">
        <v>74</v>
      </c>
      <c r="O19" t="s" s="37">
        <v>75</v>
      </c>
      <c r="P19" t="s" s="37">
        <v>76</v>
      </c>
      <c r="Q19" s="39">
        <v>0</v>
      </c>
      <c r="R19" s="39">
        <v>7</v>
      </c>
      <c r="S19" s="39">
        <v>18</v>
      </c>
      <c r="T19" t="s" s="37">
        <v>77</v>
      </c>
      <c r="U19" t="s" s="37">
        <v>146</v>
      </c>
      <c r="V19" t="s" s="37">
        <v>79</v>
      </c>
      <c r="W19" t="s" s="37">
        <v>147</v>
      </c>
      <c r="X19" t="s" s="40">
        <v>81</v>
      </c>
      <c r="Y19" s="30"/>
    </row>
    <row r="20" ht="62.5" customHeight="1">
      <c r="A20" t="s" s="31">
        <v>154</v>
      </c>
      <c r="B20" t="s" s="32">
        <v>155</v>
      </c>
      <c r="C20" t="s" s="32">
        <v>65</v>
      </c>
      <c r="D20" t="s" s="32">
        <v>33</v>
      </c>
      <c r="E20" t="s" s="32">
        <v>156</v>
      </c>
      <c r="F20" t="s" s="32">
        <v>156</v>
      </c>
      <c r="G20" t="s" s="32">
        <v>68</v>
      </c>
      <c r="H20" t="s" s="32">
        <v>157</v>
      </c>
      <c r="I20" t="s" s="32">
        <v>70</v>
      </c>
      <c r="J20" t="s" s="32">
        <v>71</v>
      </c>
      <c r="K20" t="s" s="32">
        <v>72</v>
      </c>
      <c r="L20" t="s" s="32">
        <v>73</v>
      </c>
      <c r="M20" s="33"/>
      <c r="N20" t="s" s="32">
        <v>74</v>
      </c>
      <c r="O20" t="s" s="32">
        <v>75</v>
      </c>
      <c r="P20" t="s" s="32">
        <v>85</v>
      </c>
      <c r="Q20" s="34">
        <v>0</v>
      </c>
      <c r="R20" s="34">
        <v>10</v>
      </c>
      <c r="S20" s="34">
        <v>25</v>
      </c>
      <c r="T20" t="s" s="32">
        <v>77</v>
      </c>
      <c r="U20" t="s" s="32">
        <v>158</v>
      </c>
      <c r="V20" t="s" s="32">
        <v>159</v>
      </c>
      <c r="W20" t="s" s="32">
        <v>160</v>
      </c>
      <c r="X20" t="s" s="35">
        <v>81</v>
      </c>
      <c r="Y20" s="30"/>
    </row>
    <row r="21" ht="62.5" customHeight="1">
      <c r="A21" t="s" s="36">
        <v>161</v>
      </c>
      <c r="B21" t="s" s="37">
        <v>162</v>
      </c>
      <c r="C21" t="s" s="37">
        <v>65</v>
      </c>
      <c r="D21" t="s" s="37">
        <v>33</v>
      </c>
      <c r="E21" t="s" s="37">
        <v>156</v>
      </c>
      <c r="F21" t="s" s="37">
        <v>156</v>
      </c>
      <c r="G21" t="s" s="37">
        <v>68</v>
      </c>
      <c r="H21" t="s" s="37">
        <v>163</v>
      </c>
      <c r="I21" t="s" s="37">
        <v>70</v>
      </c>
      <c r="J21" t="s" s="37">
        <v>71</v>
      </c>
      <c r="K21" t="s" s="37">
        <v>72</v>
      </c>
      <c r="L21" t="s" s="37">
        <v>73</v>
      </c>
      <c r="M21" s="38"/>
      <c r="N21" t="s" s="37">
        <v>74</v>
      </c>
      <c r="O21" t="s" s="37">
        <v>75</v>
      </c>
      <c r="P21" t="s" s="37">
        <v>85</v>
      </c>
      <c r="Q21" s="39">
        <v>0</v>
      </c>
      <c r="R21" s="39">
        <v>10</v>
      </c>
      <c r="S21" s="39">
        <v>25</v>
      </c>
      <c r="T21" t="s" s="37">
        <v>77</v>
      </c>
      <c r="U21" t="s" s="37">
        <v>158</v>
      </c>
      <c r="V21" t="s" s="37">
        <v>159</v>
      </c>
      <c r="W21" t="s" s="37">
        <v>160</v>
      </c>
      <c r="X21" t="s" s="40">
        <v>81</v>
      </c>
      <c r="Y21" s="30"/>
    </row>
    <row r="22" ht="62.5" customHeight="1">
      <c r="A22" t="s" s="31">
        <v>164</v>
      </c>
      <c r="B22" t="s" s="32">
        <v>165</v>
      </c>
      <c r="C22" t="s" s="32">
        <v>65</v>
      </c>
      <c r="D22" t="s" s="32">
        <v>33</v>
      </c>
      <c r="E22" t="s" s="32">
        <v>156</v>
      </c>
      <c r="F22" t="s" s="32">
        <v>156</v>
      </c>
      <c r="G22" t="s" s="32">
        <v>68</v>
      </c>
      <c r="H22" t="s" s="32">
        <v>166</v>
      </c>
      <c r="I22" t="s" s="32">
        <v>70</v>
      </c>
      <c r="J22" t="s" s="32">
        <v>71</v>
      </c>
      <c r="K22" t="s" s="32">
        <v>72</v>
      </c>
      <c r="L22" t="s" s="32">
        <v>73</v>
      </c>
      <c r="M22" s="33"/>
      <c r="N22" t="s" s="32">
        <v>74</v>
      </c>
      <c r="O22" t="s" s="32">
        <v>75</v>
      </c>
      <c r="P22" t="s" s="32">
        <v>85</v>
      </c>
      <c r="Q22" s="34">
        <v>0</v>
      </c>
      <c r="R22" s="34">
        <v>10</v>
      </c>
      <c r="S22" s="34">
        <v>25</v>
      </c>
      <c r="T22" t="s" s="32">
        <v>77</v>
      </c>
      <c r="U22" t="s" s="32">
        <v>158</v>
      </c>
      <c r="V22" t="s" s="32">
        <v>159</v>
      </c>
      <c r="W22" t="s" s="32">
        <v>160</v>
      </c>
      <c r="X22" t="s" s="35">
        <v>81</v>
      </c>
      <c r="Y22" s="30"/>
    </row>
    <row r="23" ht="62.5" customHeight="1">
      <c r="A23" t="s" s="36">
        <v>167</v>
      </c>
      <c r="B23" t="s" s="37">
        <v>168</v>
      </c>
      <c r="C23" t="s" s="37">
        <v>65</v>
      </c>
      <c r="D23" t="s" s="37">
        <v>33</v>
      </c>
      <c r="E23" t="s" s="37">
        <v>169</v>
      </c>
      <c r="F23" t="s" s="37">
        <v>169</v>
      </c>
      <c r="G23" t="s" s="37">
        <v>68</v>
      </c>
      <c r="H23" t="s" s="37">
        <v>170</v>
      </c>
      <c r="I23" t="s" s="37">
        <v>70</v>
      </c>
      <c r="J23" t="s" s="37">
        <v>71</v>
      </c>
      <c r="K23" t="s" s="37">
        <v>72</v>
      </c>
      <c r="L23" t="s" s="37">
        <v>73</v>
      </c>
      <c r="M23" s="38"/>
      <c r="N23" t="s" s="37">
        <v>74</v>
      </c>
      <c r="O23" t="s" s="37">
        <v>75</v>
      </c>
      <c r="P23" t="s" s="37">
        <v>85</v>
      </c>
      <c r="Q23" s="39">
        <v>0</v>
      </c>
      <c r="R23" s="39">
        <v>10</v>
      </c>
      <c r="S23" s="39">
        <v>25</v>
      </c>
      <c r="T23" t="s" s="37">
        <v>77</v>
      </c>
      <c r="U23" t="s" s="37">
        <v>171</v>
      </c>
      <c r="V23" t="s" s="37">
        <v>159</v>
      </c>
      <c r="W23" t="s" s="37">
        <v>172</v>
      </c>
      <c r="X23" t="s" s="40">
        <v>81</v>
      </c>
      <c r="Y23" s="30"/>
    </row>
    <row r="24" ht="62.5" customHeight="1">
      <c r="A24" t="s" s="31">
        <v>173</v>
      </c>
      <c r="B24" t="s" s="32">
        <v>174</v>
      </c>
      <c r="C24" t="s" s="32">
        <v>65</v>
      </c>
      <c r="D24" t="s" s="32">
        <v>33</v>
      </c>
      <c r="E24" t="s" s="32">
        <v>169</v>
      </c>
      <c r="F24" t="s" s="32">
        <v>169</v>
      </c>
      <c r="G24" t="s" s="32">
        <v>68</v>
      </c>
      <c r="H24" t="s" s="32">
        <v>175</v>
      </c>
      <c r="I24" t="s" s="32">
        <v>70</v>
      </c>
      <c r="J24" t="s" s="32">
        <v>71</v>
      </c>
      <c r="K24" t="s" s="32">
        <v>72</v>
      </c>
      <c r="L24" t="s" s="32">
        <v>73</v>
      </c>
      <c r="M24" s="33"/>
      <c r="N24" t="s" s="32">
        <v>74</v>
      </c>
      <c r="O24" t="s" s="32">
        <v>75</v>
      </c>
      <c r="P24" t="s" s="32">
        <v>85</v>
      </c>
      <c r="Q24" s="34">
        <v>0</v>
      </c>
      <c r="R24" s="34">
        <v>10</v>
      </c>
      <c r="S24" s="34">
        <v>25</v>
      </c>
      <c r="T24" t="s" s="32">
        <v>77</v>
      </c>
      <c r="U24" t="s" s="32">
        <v>171</v>
      </c>
      <c r="V24" t="s" s="32">
        <v>159</v>
      </c>
      <c r="W24" t="s" s="32">
        <v>172</v>
      </c>
      <c r="X24" t="s" s="35">
        <v>81</v>
      </c>
      <c r="Y24" s="30"/>
    </row>
    <row r="25" ht="62.5" customHeight="1">
      <c r="A25" t="s" s="36">
        <v>176</v>
      </c>
      <c r="B25" t="s" s="37">
        <v>177</v>
      </c>
      <c r="C25" t="s" s="37">
        <v>65</v>
      </c>
      <c r="D25" t="s" s="37">
        <v>33</v>
      </c>
      <c r="E25" t="s" s="37">
        <v>169</v>
      </c>
      <c r="F25" t="s" s="37">
        <v>169</v>
      </c>
      <c r="G25" t="s" s="37">
        <v>68</v>
      </c>
      <c r="H25" t="s" s="37">
        <v>178</v>
      </c>
      <c r="I25" t="s" s="37">
        <v>70</v>
      </c>
      <c r="J25" t="s" s="37">
        <v>71</v>
      </c>
      <c r="K25" t="s" s="37">
        <v>72</v>
      </c>
      <c r="L25" t="s" s="37">
        <v>73</v>
      </c>
      <c r="M25" s="38"/>
      <c r="N25" t="s" s="37">
        <v>74</v>
      </c>
      <c r="O25" t="s" s="37">
        <v>75</v>
      </c>
      <c r="P25" t="s" s="37">
        <v>85</v>
      </c>
      <c r="Q25" s="39">
        <v>0</v>
      </c>
      <c r="R25" s="39">
        <v>10</v>
      </c>
      <c r="S25" s="39">
        <v>25</v>
      </c>
      <c r="T25" t="s" s="37">
        <v>77</v>
      </c>
      <c r="U25" t="s" s="37">
        <v>171</v>
      </c>
      <c r="V25" t="s" s="37">
        <v>159</v>
      </c>
      <c r="W25" t="s" s="37">
        <v>172</v>
      </c>
      <c r="X25" t="s" s="40">
        <v>81</v>
      </c>
      <c r="Y25" s="30"/>
    </row>
    <row r="26" ht="62.5" customHeight="1">
      <c r="A26" t="s" s="31">
        <v>179</v>
      </c>
      <c r="B26" t="s" s="32">
        <v>180</v>
      </c>
      <c r="C26" t="s" s="32">
        <v>65</v>
      </c>
      <c r="D26" t="s" s="32">
        <v>33</v>
      </c>
      <c r="E26" t="s" s="32">
        <v>181</v>
      </c>
      <c r="F26" t="s" s="32">
        <v>181</v>
      </c>
      <c r="G26" t="s" s="32">
        <v>68</v>
      </c>
      <c r="H26" t="s" s="32">
        <v>182</v>
      </c>
      <c r="I26" t="s" s="32">
        <v>70</v>
      </c>
      <c r="J26" t="s" s="32">
        <v>71</v>
      </c>
      <c r="K26" t="s" s="32">
        <v>72</v>
      </c>
      <c r="L26" t="s" s="32">
        <v>73</v>
      </c>
      <c r="M26" s="33"/>
      <c r="N26" t="s" s="32">
        <v>74</v>
      </c>
      <c r="O26" t="s" s="32">
        <v>75</v>
      </c>
      <c r="P26" t="s" s="32">
        <v>85</v>
      </c>
      <c r="Q26" s="34">
        <v>0</v>
      </c>
      <c r="R26" s="34">
        <v>10</v>
      </c>
      <c r="S26" s="34">
        <v>25</v>
      </c>
      <c r="T26" t="s" s="32">
        <v>77</v>
      </c>
      <c r="U26" t="s" s="32">
        <v>183</v>
      </c>
      <c r="V26" t="s" s="32">
        <v>159</v>
      </c>
      <c r="W26" t="s" s="32">
        <v>184</v>
      </c>
      <c r="X26" t="s" s="35">
        <v>81</v>
      </c>
      <c r="Y26" s="30"/>
    </row>
    <row r="27" ht="62.5" customHeight="1">
      <c r="A27" t="s" s="36">
        <v>185</v>
      </c>
      <c r="B27" t="s" s="37">
        <v>186</v>
      </c>
      <c r="C27" t="s" s="37">
        <v>65</v>
      </c>
      <c r="D27" t="s" s="37">
        <v>33</v>
      </c>
      <c r="E27" t="s" s="37">
        <v>181</v>
      </c>
      <c r="F27" t="s" s="37">
        <v>181</v>
      </c>
      <c r="G27" t="s" s="37">
        <v>68</v>
      </c>
      <c r="H27" t="s" s="37">
        <v>187</v>
      </c>
      <c r="I27" t="s" s="37">
        <v>70</v>
      </c>
      <c r="J27" t="s" s="37">
        <v>71</v>
      </c>
      <c r="K27" t="s" s="37">
        <v>72</v>
      </c>
      <c r="L27" t="s" s="37">
        <v>73</v>
      </c>
      <c r="M27" s="38"/>
      <c r="N27" t="s" s="37">
        <v>74</v>
      </c>
      <c r="O27" t="s" s="37">
        <v>75</v>
      </c>
      <c r="P27" t="s" s="37">
        <v>85</v>
      </c>
      <c r="Q27" s="39">
        <v>0</v>
      </c>
      <c r="R27" s="39">
        <v>10</v>
      </c>
      <c r="S27" s="39">
        <v>25</v>
      </c>
      <c r="T27" t="s" s="37">
        <v>77</v>
      </c>
      <c r="U27" t="s" s="37">
        <v>183</v>
      </c>
      <c r="V27" t="s" s="37">
        <v>159</v>
      </c>
      <c r="W27" t="s" s="37">
        <v>184</v>
      </c>
      <c r="X27" t="s" s="40">
        <v>81</v>
      </c>
      <c r="Y27" s="30"/>
    </row>
    <row r="28" ht="62.5" customHeight="1">
      <c r="A28" t="s" s="31">
        <v>188</v>
      </c>
      <c r="B28" t="s" s="32">
        <v>189</v>
      </c>
      <c r="C28" t="s" s="32">
        <v>65</v>
      </c>
      <c r="D28" t="s" s="32">
        <v>33</v>
      </c>
      <c r="E28" t="s" s="32">
        <v>181</v>
      </c>
      <c r="F28" t="s" s="32">
        <v>181</v>
      </c>
      <c r="G28" t="s" s="32">
        <v>68</v>
      </c>
      <c r="H28" t="s" s="32">
        <v>190</v>
      </c>
      <c r="I28" t="s" s="32">
        <v>70</v>
      </c>
      <c r="J28" t="s" s="32">
        <v>71</v>
      </c>
      <c r="K28" t="s" s="32">
        <v>72</v>
      </c>
      <c r="L28" t="s" s="32">
        <v>73</v>
      </c>
      <c r="M28" s="33"/>
      <c r="N28" t="s" s="32">
        <v>74</v>
      </c>
      <c r="O28" t="s" s="32">
        <v>75</v>
      </c>
      <c r="P28" t="s" s="32">
        <v>85</v>
      </c>
      <c r="Q28" s="34">
        <v>0</v>
      </c>
      <c r="R28" s="34">
        <v>10</v>
      </c>
      <c r="S28" s="34">
        <v>25</v>
      </c>
      <c r="T28" t="s" s="32">
        <v>77</v>
      </c>
      <c r="U28" t="s" s="32">
        <v>183</v>
      </c>
      <c r="V28" t="s" s="32">
        <v>159</v>
      </c>
      <c r="W28" t="s" s="32">
        <v>184</v>
      </c>
      <c r="X28" t="s" s="35">
        <v>81</v>
      </c>
      <c r="Y28" s="30"/>
    </row>
    <row r="29" ht="62.5" customHeight="1">
      <c r="A29" t="s" s="36">
        <v>191</v>
      </c>
      <c r="B29" t="s" s="37">
        <v>192</v>
      </c>
      <c r="C29" t="s" s="37">
        <v>65</v>
      </c>
      <c r="D29" t="s" s="37">
        <v>33</v>
      </c>
      <c r="E29" t="s" s="37">
        <v>193</v>
      </c>
      <c r="F29" t="s" s="37">
        <v>193</v>
      </c>
      <c r="G29" t="s" s="37">
        <v>68</v>
      </c>
      <c r="H29" t="s" s="37">
        <v>194</v>
      </c>
      <c r="I29" t="s" s="37">
        <v>70</v>
      </c>
      <c r="J29" t="s" s="37">
        <v>71</v>
      </c>
      <c r="K29" t="s" s="37">
        <v>72</v>
      </c>
      <c r="L29" t="s" s="37">
        <v>73</v>
      </c>
      <c r="M29" s="38"/>
      <c r="N29" t="s" s="37">
        <v>74</v>
      </c>
      <c r="O29" t="s" s="37">
        <v>75</v>
      </c>
      <c r="P29" t="s" s="37">
        <v>85</v>
      </c>
      <c r="Q29" s="39">
        <v>0</v>
      </c>
      <c r="R29" s="39">
        <v>10</v>
      </c>
      <c r="S29" s="39">
        <v>25</v>
      </c>
      <c r="T29" t="s" s="37">
        <v>77</v>
      </c>
      <c r="U29" t="s" s="37">
        <v>195</v>
      </c>
      <c r="V29" t="s" s="37">
        <v>159</v>
      </c>
      <c r="W29" t="s" s="37">
        <v>196</v>
      </c>
      <c r="X29" t="s" s="40">
        <v>81</v>
      </c>
      <c r="Y29" s="30"/>
    </row>
    <row r="30" ht="62.5" customHeight="1">
      <c r="A30" t="s" s="31">
        <v>197</v>
      </c>
      <c r="B30" t="s" s="32">
        <v>198</v>
      </c>
      <c r="C30" t="s" s="32">
        <v>65</v>
      </c>
      <c r="D30" t="s" s="32">
        <v>33</v>
      </c>
      <c r="E30" t="s" s="32">
        <v>193</v>
      </c>
      <c r="F30" t="s" s="32">
        <v>193</v>
      </c>
      <c r="G30" t="s" s="32">
        <v>68</v>
      </c>
      <c r="H30" t="s" s="32">
        <v>199</v>
      </c>
      <c r="I30" t="s" s="32">
        <v>70</v>
      </c>
      <c r="J30" t="s" s="32">
        <v>71</v>
      </c>
      <c r="K30" t="s" s="32">
        <v>72</v>
      </c>
      <c r="L30" t="s" s="32">
        <v>73</v>
      </c>
      <c r="M30" s="33"/>
      <c r="N30" t="s" s="32">
        <v>74</v>
      </c>
      <c r="O30" t="s" s="32">
        <v>75</v>
      </c>
      <c r="P30" t="s" s="32">
        <v>85</v>
      </c>
      <c r="Q30" s="34">
        <v>0</v>
      </c>
      <c r="R30" s="34">
        <v>10</v>
      </c>
      <c r="S30" s="34">
        <v>25</v>
      </c>
      <c r="T30" t="s" s="32">
        <v>77</v>
      </c>
      <c r="U30" t="s" s="32">
        <v>195</v>
      </c>
      <c r="V30" t="s" s="32">
        <v>159</v>
      </c>
      <c r="W30" t="s" s="32">
        <v>196</v>
      </c>
      <c r="X30" t="s" s="35">
        <v>81</v>
      </c>
      <c r="Y30" s="30"/>
    </row>
    <row r="31" ht="62.5" customHeight="1">
      <c r="A31" t="s" s="36">
        <v>200</v>
      </c>
      <c r="B31" t="s" s="37">
        <v>201</v>
      </c>
      <c r="C31" t="s" s="37">
        <v>65</v>
      </c>
      <c r="D31" t="s" s="37">
        <v>33</v>
      </c>
      <c r="E31" t="s" s="37">
        <v>193</v>
      </c>
      <c r="F31" t="s" s="37">
        <v>193</v>
      </c>
      <c r="G31" t="s" s="37">
        <v>68</v>
      </c>
      <c r="H31" t="s" s="37">
        <v>202</v>
      </c>
      <c r="I31" t="s" s="37">
        <v>70</v>
      </c>
      <c r="J31" t="s" s="37">
        <v>71</v>
      </c>
      <c r="K31" t="s" s="37">
        <v>72</v>
      </c>
      <c r="L31" t="s" s="37">
        <v>73</v>
      </c>
      <c r="M31" s="38"/>
      <c r="N31" t="s" s="37">
        <v>74</v>
      </c>
      <c r="O31" t="s" s="37">
        <v>75</v>
      </c>
      <c r="P31" t="s" s="37">
        <v>85</v>
      </c>
      <c r="Q31" s="39">
        <v>0</v>
      </c>
      <c r="R31" s="39">
        <v>10</v>
      </c>
      <c r="S31" s="39">
        <v>25</v>
      </c>
      <c r="T31" t="s" s="37">
        <v>77</v>
      </c>
      <c r="U31" t="s" s="37">
        <v>195</v>
      </c>
      <c r="V31" t="s" s="37">
        <v>159</v>
      </c>
      <c r="W31" t="s" s="37">
        <v>196</v>
      </c>
      <c r="X31" t="s" s="40">
        <v>81</v>
      </c>
      <c r="Y31" s="30"/>
    </row>
    <row r="32" ht="62.5" customHeight="1">
      <c r="A32" t="s" s="31">
        <v>203</v>
      </c>
      <c r="B32" t="s" s="32">
        <v>204</v>
      </c>
      <c r="C32" t="s" s="32">
        <v>65</v>
      </c>
      <c r="D32" t="s" s="32">
        <v>33</v>
      </c>
      <c r="E32" t="s" s="32">
        <v>205</v>
      </c>
      <c r="F32" t="s" s="32">
        <v>205</v>
      </c>
      <c r="G32" t="s" s="32">
        <v>68</v>
      </c>
      <c r="H32" t="s" s="32">
        <v>206</v>
      </c>
      <c r="I32" t="s" s="32">
        <v>70</v>
      </c>
      <c r="J32" t="s" s="32">
        <v>71</v>
      </c>
      <c r="K32" t="s" s="32">
        <v>72</v>
      </c>
      <c r="L32" t="s" s="32">
        <v>73</v>
      </c>
      <c r="M32" s="33"/>
      <c r="N32" t="s" s="32">
        <v>74</v>
      </c>
      <c r="O32" t="s" s="32">
        <v>75</v>
      </c>
      <c r="P32" t="s" s="32">
        <v>85</v>
      </c>
      <c r="Q32" s="34">
        <v>0</v>
      </c>
      <c r="R32" s="34">
        <v>10</v>
      </c>
      <c r="S32" s="34">
        <v>25</v>
      </c>
      <c r="T32" t="s" s="32">
        <v>77</v>
      </c>
      <c r="U32" t="s" s="32">
        <v>207</v>
      </c>
      <c r="V32" t="s" s="32">
        <v>159</v>
      </c>
      <c r="W32" t="s" s="32">
        <v>208</v>
      </c>
      <c r="X32" t="s" s="35">
        <v>81</v>
      </c>
      <c r="Y32" s="30"/>
    </row>
    <row r="33" ht="62.5" customHeight="1">
      <c r="A33" t="s" s="36">
        <v>209</v>
      </c>
      <c r="B33" t="s" s="37">
        <v>210</v>
      </c>
      <c r="C33" t="s" s="37">
        <v>65</v>
      </c>
      <c r="D33" t="s" s="37">
        <v>33</v>
      </c>
      <c r="E33" t="s" s="37">
        <v>205</v>
      </c>
      <c r="F33" t="s" s="37">
        <v>205</v>
      </c>
      <c r="G33" t="s" s="37">
        <v>68</v>
      </c>
      <c r="H33" t="s" s="37">
        <v>211</v>
      </c>
      <c r="I33" t="s" s="37">
        <v>70</v>
      </c>
      <c r="J33" t="s" s="37">
        <v>71</v>
      </c>
      <c r="K33" t="s" s="37">
        <v>72</v>
      </c>
      <c r="L33" t="s" s="37">
        <v>73</v>
      </c>
      <c r="M33" s="38"/>
      <c r="N33" t="s" s="37">
        <v>74</v>
      </c>
      <c r="O33" t="s" s="37">
        <v>75</v>
      </c>
      <c r="P33" t="s" s="37">
        <v>85</v>
      </c>
      <c r="Q33" s="39">
        <v>0</v>
      </c>
      <c r="R33" s="39">
        <v>10</v>
      </c>
      <c r="S33" s="39">
        <v>25</v>
      </c>
      <c r="T33" t="s" s="37">
        <v>77</v>
      </c>
      <c r="U33" t="s" s="37">
        <v>207</v>
      </c>
      <c r="V33" t="s" s="37">
        <v>159</v>
      </c>
      <c r="W33" t="s" s="37">
        <v>208</v>
      </c>
      <c r="X33" t="s" s="40">
        <v>81</v>
      </c>
      <c r="Y33" s="30"/>
    </row>
    <row r="34" ht="62.5" customHeight="1">
      <c r="A34" t="s" s="31">
        <v>212</v>
      </c>
      <c r="B34" t="s" s="32">
        <v>213</v>
      </c>
      <c r="C34" t="s" s="32">
        <v>65</v>
      </c>
      <c r="D34" t="s" s="32">
        <v>33</v>
      </c>
      <c r="E34" t="s" s="32">
        <v>205</v>
      </c>
      <c r="F34" t="s" s="32">
        <v>205</v>
      </c>
      <c r="G34" t="s" s="32">
        <v>68</v>
      </c>
      <c r="H34" t="s" s="32">
        <v>214</v>
      </c>
      <c r="I34" t="s" s="32">
        <v>70</v>
      </c>
      <c r="J34" t="s" s="32">
        <v>71</v>
      </c>
      <c r="K34" t="s" s="32">
        <v>72</v>
      </c>
      <c r="L34" t="s" s="32">
        <v>73</v>
      </c>
      <c r="M34" s="33"/>
      <c r="N34" t="s" s="32">
        <v>74</v>
      </c>
      <c r="O34" t="s" s="32">
        <v>75</v>
      </c>
      <c r="P34" t="s" s="32">
        <v>85</v>
      </c>
      <c r="Q34" s="34">
        <v>0</v>
      </c>
      <c r="R34" s="34">
        <v>10</v>
      </c>
      <c r="S34" s="34">
        <v>25</v>
      </c>
      <c r="T34" t="s" s="32">
        <v>77</v>
      </c>
      <c r="U34" t="s" s="32">
        <v>207</v>
      </c>
      <c r="V34" t="s" s="32">
        <v>159</v>
      </c>
      <c r="W34" t="s" s="32">
        <v>208</v>
      </c>
      <c r="X34" t="s" s="35">
        <v>81</v>
      </c>
      <c r="Y34" s="30"/>
    </row>
    <row r="35" ht="26.5" customHeight="1">
      <c r="A35" t="s" s="36">
        <v>215</v>
      </c>
      <c r="B35" t="s" s="37">
        <v>216</v>
      </c>
      <c r="C35" t="s" s="37">
        <v>65</v>
      </c>
      <c r="D35" t="s" s="37">
        <v>34</v>
      </c>
      <c r="E35" t="s" s="37">
        <v>217</v>
      </c>
      <c r="F35" t="s" s="37">
        <v>217</v>
      </c>
      <c r="G35" t="s" s="37">
        <v>218</v>
      </c>
      <c r="H35" t="s" s="37">
        <v>219</v>
      </c>
      <c r="I35" t="s" s="37">
        <v>220</v>
      </c>
      <c r="J35" t="s" s="37">
        <v>221</v>
      </c>
      <c r="K35" t="s" s="37">
        <v>222</v>
      </c>
      <c r="L35" t="s" s="37">
        <v>223</v>
      </c>
      <c r="M35" t="s" s="37">
        <v>144</v>
      </c>
      <c r="N35" t="s" s="37">
        <v>224</v>
      </c>
      <c r="O35" t="s" s="37">
        <v>75</v>
      </c>
      <c r="P35" t="s" s="37">
        <v>85</v>
      </c>
      <c r="Q35" s="39">
        <v>0</v>
      </c>
      <c r="R35" s="39">
        <v>10</v>
      </c>
      <c r="S35" s="39">
        <v>25</v>
      </c>
      <c r="T35" t="s" s="37">
        <v>225</v>
      </c>
      <c r="U35" t="s" s="37">
        <v>226</v>
      </c>
      <c r="V35" t="s" s="37">
        <v>227</v>
      </c>
      <c r="W35" t="s" s="37">
        <v>228</v>
      </c>
      <c r="X35" t="s" s="40">
        <v>81</v>
      </c>
      <c r="Y35" s="30"/>
    </row>
    <row r="36" ht="26.5" customHeight="1">
      <c r="A36" t="s" s="31">
        <v>229</v>
      </c>
      <c r="B36" t="s" s="32">
        <v>230</v>
      </c>
      <c r="C36" t="s" s="32">
        <v>65</v>
      </c>
      <c r="D36" t="s" s="32">
        <v>34</v>
      </c>
      <c r="E36" t="s" s="32">
        <v>217</v>
      </c>
      <c r="F36" t="s" s="32">
        <v>217</v>
      </c>
      <c r="G36" t="s" s="32">
        <v>218</v>
      </c>
      <c r="H36" t="s" s="32">
        <v>231</v>
      </c>
      <c r="I36" t="s" s="32">
        <v>232</v>
      </c>
      <c r="J36" t="s" s="32">
        <v>233</v>
      </c>
      <c r="K36" t="s" s="32">
        <v>234</v>
      </c>
      <c r="L36" t="s" s="32">
        <v>235</v>
      </c>
      <c r="M36" t="s" s="32">
        <v>144</v>
      </c>
      <c r="N36" t="s" s="32">
        <v>224</v>
      </c>
      <c r="O36" t="s" s="32">
        <v>75</v>
      </c>
      <c r="P36" t="s" s="32">
        <v>85</v>
      </c>
      <c r="Q36" s="34">
        <v>0</v>
      </c>
      <c r="R36" s="34">
        <v>10</v>
      </c>
      <c r="S36" s="34">
        <v>25</v>
      </c>
      <c r="T36" t="s" s="32">
        <v>225</v>
      </c>
      <c r="U36" t="s" s="32">
        <v>226</v>
      </c>
      <c r="V36" t="s" s="32">
        <v>227</v>
      </c>
      <c r="W36" t="s" s="32">
        <v>228</v>
      </c>
      <c r="X36" t="s" s="35">
        <v>81</v>
      </c>
      <c r="Y36" s="30"/>
    </row>
    <row r="37" ht="26.5" customHeight="1">
      <c r="A37" t="s" s="36">
        <v>236</v>
      </c>
      <c r="B37" t="s" s="37">
        <v>237</v>
      </c>
      <c r="C37" t="s" s="37">
        <v>65</v>
      </c>
      <c r="D37" t="s" s="37">
        <v>34</v>
      </c>
      <c r="E37" t="s" s="37">
        <v>217</v>
      </c>
      <c r="F37" t="s" s="37">
        <v>217</v>
      </c>
      <c r="G37" t="s" s="37">
        <v>218</v>
      </c>
      <c r="H37" t="s" s="37">
        <v>238</v>
      </c>
      <c r="I37" t="s" s="37">
        <v>239</v>
      </c>
      <c r="J37" t="s" s="37">
        <v>240</v>
      </c>
      <c r="K37" t="s" s="37">
        <v>241</v>
      </c>
      <c r="L37" t="s" s="37">
        <v>242</v>
      </c>
      <c r="M37" t="s" s="37">
        <v>144</v>
      </c>
      <c r="N37" t="s" s="37">
        <v>224</v>
      </c>
      <c r="O37" t="s" s="37">
        <v>75</v>
      </c>
      <c r="P37" t="s" s="37">
        <v>85</v>
      </c>
      <c r="Q37" s="39">
        <v>0</v>
      </c>
      <c r="R37" s="39">
        <v>10</v>
      </c>
      <c r="S37" s="39">
        <v>25</v>
      </c>
      <c r="T37" t="s" s="37">
        <v>225</v>
      </c>
      <c r="U37" t="s" s="37">
        <v>226</v>
      </c>
      <c r="V37" t="s" s="37">
        <v>227</v>
      </c>
      <c r="W37" t="s" s="37">
        <v>228</v>
      </c>
      <c r="X37" t="s" s="40">
        <v>81</v>
      </c>
      <c r="Y37" s="30"/>
    </row>
    <row r="38" ht="26.5" customHeight="1">
      <c r="A38" t="s" s="31">
        <v>243</v>
      </c>
      <c r="B38" t="s" s="32">
        <v>244</v>
      </c>
      <c r="C38" t="s" s="32">
        <v>65</v>
      </c>
      <c r="D38" t="s" s="32">
        <v>34</v>
      </c>
      <c r="E38" t="s" s="32">
        <v>245</v>
      </c>
      <c r="F38" t="s" s="32">
        <v>245</v>
      </c>
      <c r="G38" t="s" s="32">
        <v>218</v>
      </c>
      <c r="H38" t="s" s="32">
        <v>246</v>
      </c>
      <c r="I38" t="s" s="32">
        <v>247</v>
      </c>
      <c r="J38" t="s" s="32">
        <v>248</v>
      </c>
      <c r="K38" t="s" s="32">
        <v>249</v>
      </c>
      <c r="L38" t="s" s="32">
        <v>250</v>
      </c>
      <c r="M38" t="s" s="32">
        <v>144</v>
      </c>
      <c r="N38" t="s" s="32">
        <v>224</v>
      </c>
      <c r="O38" t="s" s="32">
        <v>75</v>
      </c>
      <c r="P38" t="s" s="32">
        <v>85</v>
      </c>
      <c r="Q38" s="34">
        <v>0</v>
      </c>
      <c r="R38" s="34">
        <v>10</v>
      </c>
      <c r="S38" s="34">
        <v>25</v>
      </c>
      <c r="T38" t="s" s="32">
        <v>225</v>
      </c>
      <c r="U38" t="s" s="32">
        <v>251</v>
      </c>
      <c r="V38" t="s" s="32">
        <v>227</v>
      </c>
      <c r="W38" t="s" s="32">
        <v>252</v>
      </c>
      <c r="X38" t="s" s="35">
        <v>81</v>
      </c>
      <c r="Y38" s="30"/>
    </row>
    <row r="39" ht="26.5" customHeight="1">
      <c r="A39" t="s" s="36">
        <v>253</v>
      </c>
      <c r="B39" t="s" s="37">
        <v>254</v>
      </c>
      <c r="C39" t="s" s="37">
        <v>65</v>
      </c>
      <c r="D39" t="s" s="37">
        <v>34</v>
      </c>
      <c r="E39" t="s" s="37">
        <v>245</v>
      </c>
      <c r="F39" t="s" s="37">
        <v>245</v>
      </c>
      <c r="G39" t="s" s="37">
        <v>218</v>
      </c>
      <c r="H39" t="s" s="37">
        <v>255</v>
      </c>
      <c r="I39" t="s" s="37">
        <v>256</v>
      </c>
      <c r="J39" t="s" s="37">
        <v>257</v>
      </c>
      <c r="K39" t="s" s="37">
        <v>258</v>
      </c>
      <c r="L39" t="s" s="37">
        <v>259</v>
      </c>
      <c r="M39" t="s" s="37">
        <v>260</v>
      </c>
      <c r="N39" t="s" s="37">
        <v>224</v>
      </c>
      <c r="O39" t="s" s="37">
        <v>75</v>
      </c>
      <c r="P39" t="s" s="37">
        <v>85</v>
      </c>
      <c r="Q39" s="39">
        <v>0</v>
      </c>
      <c r="R39" s="39">
        <v>10</v>
      </c>
      <c r="S39" s="39">
        <v>25</v>
      </c>
      <c r="T39" t="s" s="37">
        <v>225</v>
      </c>
      <c r="U39" t="s" s="37">
        <v>251</v>
      </c>
      <c r="V39" t="s" s="37">
        <v>227</v>
      </c>
      <c r="W39" t="s" s="37">
        <v>252</v>
      </c>
      <c r="X39" t="s" s="40">
        <v>81</v>
      </c>
      <c r="Y39" s="30"/>
    </row>
    <row r="40" ht="26.5" customHeight="1">
      <c r="A40" t="s" s="31">
        <v>261</v>
      </c>
      <c r="B40" t="s" s="32">
        <v>262</v>
      </c>
      <c r="C40" t="s" s="32">
        <v>65</v>
      </c>
      <c r="D40" t="s" s="32">
        <v>34</v>
      </c>
      <c r="E40" t="s" s="32">
        <v>245</v>
      </c>
      <c r="F40" t="s" s="32">
        <v>245</v>
      </c>
      <c r="G40" t="s" s="32">
        <v>218</v>
      </c>
      <c r="H40" t="s" s="32">
        <v>263</v>
      </c>
      <c r="I40" t="s" s="32">
        <v>264</v>
      </c>
      <c r="J40" t="s" s="32">
        <v>265</v>
      </c>
      <c r="K40" t="s" s="32">
        <v>266</v>
      </c>
      <c r="L40" t="s" s="32">
        <v>267</v>
      </c>
      <c r="M40" t="s" s="32">
        <v>268</v>
      </c>
      <c r="N40" t="s" s="32">
        <v>224</v>
      </c>
      <c r="O40" t="s" s="32">
        <v>75</v>
      </c>
      <c r="P40" t="s" s="32">
        <v>85</v>
      </c>
      <c r="Q40" s="34">
        <v>0</v>
      </c>
      <c r="R40" s="34">
        <v>10</v>
      </c>
      <c r="S40" s="34">
        <v>25</v>
      </c>
      <c r="T40" t="s" s="32">
        <v>225</v>
      </c>
      <c r="U40" t="s" s="32">
        <v>251</v>
      </c>
      <c r="V40" t="s" s="32">
        <v>227</v>
      </c>
      <c r="W40" t="s" s="32">
        <v>252</v>
      </c>
      <c r="X40" t="s" s="35">
        <v>81</v>
      </c>
      <c r="Y40" s="30"/>
    </row>
    <row r="41" ht="26.5" customHeight="1">
      <c r="A41" t="s" s="36">
        <v>269</v>
      </c>
      <c r="B41" t="s" s="37">
        <v>270</v>
      </c>
      <c r="C41" t="s" s="37">
        <v>65</v>
      </c>
      <c r="D41" t="s" s="37">
        <v>34</v>
      </c>
      <c r="E41" t="s" s="37">
        <v>271</v>
      </c>
      <c r="F41" t="s" s="37">
        <v>271</v>
      </c>
      <c r="G41" t="s" s="37">
        <v>218</v>
      </c>
      <c r="H41" t="s" s="37">
        <v>272</v>
      </c>
      <c r="I41" t="s" s="37">
        <v>273</v>
      </c>
      <c r="J41" t="s" s="37">
        <v>274</v>
      </c>
      <c r="K41" t="s" s="37">
        <v>275</v>
      </c>
      <c r="L41" t="s" s="37">
        <v>276</v>
      </c>
      <c r="M41" t="s" s="37">
        <v>260</v>
      </c>
      <c r="N41" t="s" s="37">
        <v>224</v>
      </c>
      <c r="O41" t="s" s="37">
        <v>75</v>
      </c>
      <c r="P41" t="s" s="37">
        <v>85</v>
      </c>
      <c r="Q41" s="39">
        <v>0</v>
      </c>
      <c r="R41" s="39">
        <v>10</v>
      </c>
      <c r="S41" s="39">
        <v>25</v>
      </c>
      <c r="T41" t="s" s="37">
        <v>225</v>
      </c>
      <c r="U41" t="s" s="37">
        <v>277</v>
      </c>
      <c r="V41" t="s" s="37">
        <v>227</v>
      </c>
      <c r="W41" t="s" s="37">
        <v>278</v>
      </c>
      <c r="X41" t="s" s="40">
        <v>81</v>
      </c>
      <c r="Y41" s="30"/>
    </row>
    <row r="42" ht="26.5" customHeight="1">
      <c r="A42" t="s" s="31">
        <v>279</v>
      </c>
      <c r="B42" t="s" s="32">
        <v>280</v>
      </c>
      <c r="C42" t="s" s="32">
        <v>65</v>
      </c>
      <c r="D42" t="s" s="32">
        <v>34</v>
      </c>
      <c r="E42" t="s" s="32">
        <v>271</v>
      </c>
      <c r="F42" t="s" s="32">
        <v>271</v>
      </c>
      <c r="G42" t="s" s="32">
        <v>218</v>
      </c>
      <c r="H42" t="s" s="32">
        <v>281</v>
      </c>
      <c r="I42" t="s" s="32">
        <v>282</v>
      </c>
      <c r="J42" t="s" s="32">
        <v>283</v>
      </c>
      <c r="K42" t="s" s="32">
        <v>284</v>
      </c>
      <c r="L42" t="s" s="32">
        <v>285</v>
      </c>
      <c r="M42" t="s" s="32">
        <v>144</v>
      </c>
      <c r="N42" t="s" s="32">
        <v>224</v>
      </c>
      <c r="O42" t="s" s="32">
        <v>75</v>
      </c>
      <c r="P42" t="s" s="32">
        <v>85</v>
      </c>
      <c r="Q42" s="34">
        <v>0</v>
      </c>
      <c r="R42" s="34">
        <v>10</v>
      </c>
      <c r="S42" s="34">
        <v>25</v>
      </c>
      <c r="T42" t="s" s="32">
        <v>225</v>
      </c>
      <c r="U42" t="s" s="32">
        <v>277</v>
      </c>
      <c r="V42" t="s" s="32">
        <v>227</v>
      </c>
      <c r="W42" t="s" s="32">
        <v>278</v>
      </c>
      <c r="X42" t="s" s="35">
        <v>81</v>
      </c>
      <c r="Y42" s="30"/>
    </row>
    <row r="43" ht="26.5" customHeight="1">
      <c r="A43" t="s" s="36">
        <v>286</v>
      </c>
      <c r="B43" t="s" s="37">
        <v>287</v>
      </c>
      <c r="C43" t="s" s="37">
        <v>65</v>
      </c>
      <c r="D43" t="s" s="37">
        <v>34</v>
      </c>
      <c r="E43" t="s" s="37">
        <v>271</v>
      </c>
      <c r="F43" t="s" s="37">
        <v>271</v>
      </c>
      <c r="G43" t="s" s="37">
        <v>218</v>
      </c>
      <c r="H43" t="s" s="37">
        <v>288</v>
      </c>
      <c r="I43" t="s" s="37">
        <v>289</v>
      </c>
      <c r="J43" t="s" s="37">
        <v>290</v>
      </c>
      <c r="K43" t="s" s="37">
        <v>291</v>
      </c>
      <c r="L43" t="s" s="37">
        <v>292</v>
      </c>
      <c r="M43" t="s" s="37">
        <v>260</v>
      </c>
      <c r="N43" t="s" s="37">
        <v>224</v>
      </c>
      <c r="O43" t="s" s="37">
        <v>75</v>
      </c>
      <c r="P43" t="s" s="37">
        <v>85</v>
      </c>
      <c r="Q43" s="39">
        <v>0</v>
      </c>
      <c r="R43" s="39">
        <v>10</v>
      </c>
      <c r="S43" s="39">
        <v>25</v>
      </c>
      <c r="T43" t="s" s="37">
        <v>225</v>
      </c>
      <c r="U43" t="s" s="37">
        <v>277</v>
      </c>
      <c r="V43" t="s" s="37">
        <v>227</v>
      </c>
      <c r="W43" t="s" s="37">
        <v>278</v>
      </c>
      <c r="X43" t="s" s="40">
        <v>81</v>
      </c>
      <c r="Y43" s="30"/>
    </row>
    <row r="44" ht="26.5" customHeight="1">
      <c r="A44" t="s" s="31">
        <v>293</v>
      </c>
      <c r="B44" t="s" s="32">
        <v>294</v>
      </c>
      <c r="C44" t="s" s="32">
        <v>65</v>
      </c>
      <c r="D44" t="s" s="32">
        <v>34</v>
      </c>
      <c r="E44" t="s" s="32">
        <v>295</v>
      </c>
      <c r="F44" t="s" s="32">
        <v>295</v>
      </c>
      <c r="G44" t="s" s="32">
        <v>218</v>
      </c>
      <c r="H44" t="s" s="32">
        <v>296</v>
      </c>
      <c r="I44" t="s" s="32">
        <v>297</v>
      </c>
      <c r="J44" t="s" s="32">
        <v>298</v>
      </c>
      <c r="K44" t="s" s="32">
        <v>299</v>
      </c>
      <c r="L44" t="s" s="32">
        <v>300</v>
      </c>
      <c r="M44" t="s" s="32">
        <v>105</v>
      </c>
      <c r="N44" t="s" s="32">
        <v>224</v>
      </c>
      <c r="O44" t="s" s="32">
        <v>75</v>
      </c>
      <c r="P44" t="s" s="32">
        <v>85</v>
      </c>
      <c r="Q44" s="34">
        <v>0</v>
      </c>
      <c r="R44" s="34">
        <v>10</v>
      </c>
      <c r="S44" s="34">
        <v>25</v>
      </c>
      <c r="T44" t="s" s="32">
        <v>225</v>
      </c>
      <c r="U44" t="s" s="32">
        <v>301</v>
      </c>
      <c r="V44" t="s" s="32">
        <v>227</v>
      </c>
      <c r="W44" t="s" s="32">
        <v>302</v>
      </c>
      <c r="X44" t="s" s="35">
        <v>81</v>
      </c>
      <c r="Y44" s="30"/>
    </row>
    <row r="45" ht="26.5" customHeight="1">
      <c r="A45" t="s" s="36">
        <v>303</v>
      </c>
      <c r="B45" t="s" s="37">
        <v>304</v>
      </c>
      <c r="C45" t="s" s="37">
        <v>65</v>
      </c>
      <c r="D45" t="s" s="37">
        <v>34</v>
      </c>
      <c r="E45" t="s" s="37">
        <v>295</v>
      </c>
      <c r="F45" t="s" s="37">
        <v>295</v>
      </c>
      <c r="G45" t="s" s="37">
        <v>218</v>
      </c>
      <c r="H45" t="s" s="37">
        <v>305</v>
      </c>
      <c r="I45" t="s" s="37">
        <v>306</v>
      </c>
      <c r="J45" t="s" s="37">
        <v>92</v>
      </c>
      <c r="K45" t="s" s="37">
        <v>307</v>
      </c>
      <c r="L45" t="s" s="37">
        <v>308</v>
      </c>
      <c r="M45" t="s" s="37">
        <v>260</v>
      </c>
      <c r="N45" t="s" s="37">
        <v>224</v>
      </c>
      <c r="O45" t="s" s="37">
        <v>75</v>
      </c>
      <c r="P45" t="s" s="37">
        <v>85</v>
      </c>
      <c r="Q45" s="39">
        <v>0</v>
      </c>
      <c r="R45" s="39">
        <v>10</v>
      </c>
      <c r="S45" s="39">
        <v>25</v>
      </c>
      <c r="T45" t="s" s="37">
        <v>225</v>
      </c>
      <c r="U45" t="s" s="37">
        <v>301</v>
      </c>
      <c r="V45" t="s" s="37">
        <v>227</v>
      </c>
      <c r="W45" t="s" s="37">
        <v>302</v>
      </c>
      <c r="X45" t="s" s="40">
        <v>81</v>
      </c>
      <c r="Y45" s="30"/>
    </row>
    <row r="46" ht="26.5" customHeight="1">
      <c r="A46" t="s" s="31">
        <v>309</v>
      </c>
      <c r="B46" t="s" s="32">
        <v>310</v>
      </c>
      <c r="C46" t="s" s="32">
        <v>65</v>
      </c>
      <c r="D46" t="s" s="32">
        <v>34</v>
      </c>
      <c r="E46" t="s" s="32">
        <v>295</v>
      </c>
      <c r="F46" t="s" s="32">
        <v>295</v>
      </c>
      <c r="G46" t="s" s="32">
        <v>218</v>
      </c>
      <c r="H46" t="s" s="32">
        <v>311</v>
      </c>
      <c r="I46" t="s" s="32">
        <v>312</v>
      </c>
      <c r="J46" t="s" s="32">
        <v>313</v>
      </c>
      <c r="K46" t="s" s="32">
        <v>221</v>
      </c>
      <c r="L46" t="s" s="32">
        <v>314</v>
      </c>
      <c r="M46" t="s" s="32">
        <v>268</v>
      </c>
      <c r="N46" t="s" s="32">
        <v>224</v>
      </c>
      <c r="O46" t="s" s="32">
        <v>75</v>
      </c>
      <c r="P46" t="s" s="32">
        <v>85</v>
      </c>
      <c r="Q46" s="34">
        <v>0</v>
      </c>
      <c r="R46" s="34">
        <v>10</v>
      </c>
      <c r="S46" s="34">
        <v>25</v>
      </c>
      <c r="T46" t="s" s="32">
        <v>225</v>
      </c>
      <c r="U46" t="s" s="32">
        <v>301</v>
      </c>
      <c r="V46" t="s" s="32">
        <v>227</v>
      </c>
      <c r="W46" t="s" s="32">
        <v>302</v>
      </c>
      <c r="X46" t="s" s="35">
        <v>81</v>
      </c>
      <c r="Y46" s="30"/>
    </row>
    <row r="47" ht="26.5" customHeight="1">
      <c r="A47" t="s" s="36">
        <v>315</v>
      </c>
      <c r="B47" t="s" s="37">
        <v>316</v>
      </c>
      <c r="C47" t="s" s="37">
        <v>65</v>
      </c>
      <c r="D47" t="s" s="37">
        <v>34</v>
      </c>
      <c r="E47" t="s" s="37">
        <v>317</v>
      </c>
      <c r="F47" t="s" s="37">
        <v>317</v>
      </c>
      <c r="G47" t="s" s="37">
        <v>218</v>
      </c>
      <c r="H47" t="s" s="37">
        <v>318</v>
      </c>
      <c r="I47" t="s" s="37">
        <v>319</v>
      </c>
      <c r="J47" t="s" s="37">
        <v>320</v>
      </c>
      <c r="K47" t="s" s="37">
        <v>321</v>
      </c>
      <c r="L47" t="s" s="37">
        <v>322</v>
      </c>
      <c r="M47" t="s" s="37">
        <v>260</v>
      </c>
      <c r="N47" t="s" s="37">
        <v>224</v>
      </c>
      <c r="O47" t="s" s="37">
        <v>75</v>
      </c>
      <c r="P47" t="s" s="37">
        <v>85</v>
      </c>
      <c r="Q47" s="39">
        <v>0</v>
      </c>
      <c r="R47" s="39">
        <v>10</v>
      </c>
      <c r="S47" s="39">
        <v>25</v>
      </c>
      <c r="T47" t="s" s="37">
        <v>225</v>
      </c>
      <c r="U47" t="s" s="37">
        <v>323</v>
      </c>
      <c r="V47" t="s" s="37">
        <v>227</v>
      </c>
      <c r="W47" t="s" s="37">
        <v>324</v>
      </c>
      <c r="X47" t="s" s="40">
        <v>81</v>
      </c>
      <c r="Y47" s="30"/>
    </row>
    <row r="48" ht="26.5" customHeight="1">
      <c r="A48" t="s" s="31">
        <v>325</v>
      </c>
      <c r="B48" t="s" s="32">
        <v>326</v>
      </c>
      <c r="C48" t="s" s="32">
        <v>65</v>
      </c>
      <c r="D48" t="s" s="32">
        <v>34</v>
      </c>
      <c r="E48" t="s" s="32">
        <v>317</v>
      </c>
      <c r="F48" t="s" s="32">
        <v>317</v>
      </c>
      <c r="G48" t="s" s="32">
        <v>218</v>
      </c>
      <c r="H48" t="s" s="32">
        <v>327</v>
      </c>
      <c r="I48" t="s" s="32">
        <v>328</v>
      </c>
      <c r="J48" t="s" s="32">
        <v>329</v>
      </c>
      <c r="K48" t="s" s="32">
        <v>330</v>
      </c>
      <c r="L48" t="s" s="32">
        <v>331</v>
      </c>
      <c r="M48" t="s" s="32">
        <v>260</v>
      </c>
      <c r="N48" t="s" s="32">
        <v>224</v>
      </c>
      <c r="O48" t="s" s="32">
        <v>75</v>
      </c>
      <c r="P48" t="s" s="32">
        <v>85</v>
      </c>
      <c r="Q48" s="34">
        <v>0</v>
      </c>
      <c r="R48" s="34">
        <v>10</v>
      </c>
      <c r="S48" s="34">
        <v>25</v>
      </c>
      <c r="T48" t="s" s="32">
        <v>225</v>
      </c>
      <c r="U48" t="s" s="32">
        <v>323</v>
      </c>
      <c r="V48" t="s" s="32">
        <v>227</v>
      </c>
      <c r="W48" t="s" s="32">
        <v>324</v>
      </c>
      <c r="X48" t="s" s="35">
        <v>81</v>
      </c>
      <c r="Y48" s="30"/>
    </row>
    <row r="49" ht="26.5" customHeight="1">
      <c r="A49" t="s" s="36">
        <v>332</v>
      </c>
      <c r="B49" t="s" s="37">
        <v>333</v>
      </c>
      <c r="C49" t="s" s="37">
        <v>65</v>
      </c>
      <c r="D49" t="s" s="37">
        <v>34</v>
      </c>
      <c r="E49" t="s" s="37">
        <v>317</v>
      </c>
      <c r="F49" t="s" s="37">
        <v>317</v>
      </c>
      <c r="G49" t="s" s="37">
        <v>218</v>
      </c>
      <c r="H49" t="s" s="37">
        <v>334</v>
      </c>
      <c r="I49" t="s" s="37">
        <v>331</v>
      </c>
      <c r="J49" t="s" s="37">
        <v>330</v>
      </c>
      <c r="K49" t="s" s="37">
        <v>329</v>
      </c>
      <c r="L49" t="s" s="37">
        <v>335</v>
      </c>
      <c r="M49" t="s" s="37">
        <v>260</v>
      </c>
      <c r="N49" t="s" s="37">
        <v>224</v>
      </c>
      <c r="O49" t="s" s="37">
        <v>75</v>
      </c>
      <c r="P49" t="s" s="37">
        <v>85</v>
      </c>
      <c r="Q49" s="39">
        <v>0</v>
      </c>
      <c r="R49" s="39">
        <v>10</v>
      </c>
      <c r="S49" s="39">
        <v>25</v>
      </c>
      <c r="T49" t="s" s="37">
        <v>225</v>
      </c>
      <c r="U49" t="s" s="37">
        <v>323</v>
      </c>
      <c r="V49" t="s" s="37">
        <v>227</v>
      </c>
      <c r="W49" t="s" s="37">
        <v>324</v>
      </c>
      <c r="X49" t="s" s="40">
        <v>81</v>
      </c>
      <c r="Y49" s="30"/>
    </row>
    <row r="50" ht="62.5" customHeight="1">
      <c r="A50" t="s" s="31">
        <v>336</v>
      </c>
      <c r="B50" t="s" s="32">
        <v>337</v>
      </c>
      <c r="C50" t="s" s="32">
        <v>65</v>
      </c>
      <c r="D50" t="s" s="32">
        <v>35</v>
      </c>
      <c r="E50" t="s" s="32">
        <v>338</v>
      </c>
      <c r="F50" t="s" s="32">
        <v>338</v>
      </c>
      <c r="G50" t="s" s="32">
        <v>68</v>
      </c>
      <c r="H50" t="s" s="32">
        <v>339</v>
      </c>
      <c r="I50" t="s" s="32">
        <v>70</v>
      </c>
      <c r="J50" t="s" s="32">
        <v>71</v>
      </c>
      <c r="K50" t="s" s="32">
        <v>72</v>
      </c>
      <c r="L50" t="s" s="32">
        <v>73</v>
      </c>
      <c r="M50" s="33"/>
      <c r="N50" t="s" s="32">
        <v>74</v>
      </c>
      <c r="O50" t="s" s="32">
        <v>75</v>
      </c>
      <c r="P50" t="s" s="32">
        <v>85</v>
      </c>
      <c r="Q50" s="34">
        <v>0</v>
      </c>
      <c r="R50" s="34">
        <v>10</v>
      </c>
      <c r="S50" s="34">
        <v>25</v>
      </c>
      <c r="T50" t="s" s="32">
        <v>77</v>
      </c>
      <c r="U50" t="s" s="32">
        <v>340</v>
      </c>
      <c r="V50" t="s" s="32">
        <v>341</v>
      </c>
      <c r="W50" t="s" s="32">
        <v>342</v>
      </c>
      <c r="X50" t="s" s="35">
        <v>81</v>
      </c>
      <c r="Y50" s="30"/>
    </row>
    <row r="51" ht="62.5" customHeight="1">
      <c r="A51" t="s" s="36">
        <v>343</v>
      </c>
      <c r="B51" t="s" s="37">
        <v>344</v>
      </c>
      <c r="C51" t="s" s="37">
        <v>65</v>
      </c>
      <c r="D51" t="s" s="37">
        <v>35</v>
      </c>
      <c r="E51" t="s" s="37">
        <v>338</v>
      </c>
      <c r="F51" t="s" s="37">
        <v>338</v>
      </c>
      <c r="G51" t="s" s="37">
        <v>68</v>
      </c>
      <c r="H51" t="s" s="37">
        <v>345</v>
      </c>
      <c r="I51" t="s" s="37">
        <v>70</v>
      </c>
      <c r="J51" t="s" s="37">
        <v>71</v>
      </c>
      <c r="K51" t="s" s="37">
        <v>72</v>
      </c>
      <c r="L51" t="s" s="37">
        <v>73</v>
      </c>
      <c r="M51" s="38"/>
      <c r="N51" t="s" s="37">
        <v>74</v>
      </c>
      <c r="O51" t="s" s="37">
        <v>75</v>
      </c>
      <c r="P51" t="s" s="37">
        <v>85</v>
      </c>
      <c r="Q51" s="39">
        <v>0</v>
      </c>
      <c r="R51" s="39">
        <v>10</v>
      </c>
      <c r="S51" s="39">
        <v>25</v>
      </c>
      <c r="T51" t="s" s="37">
        <v>77</v>
      </c>
      <c r="U51" t="s" s="37">
        <v>340</v>
      </c>
      <c r="V51" t="s" s="37">
        <v>341</v>
      </c>
      <c r="W51" t="s" s="37">
        <v>342</v>
      </c>
      <c r="X51" t="s" s="40">
        <v>81</v>
      </c>
      <c r="Y51" s="30"/>
    </row>
    <row r="52" ht="62.5" customHeight="1">
      <c r="A52" t="s" s="31">
        <v>346</v>
      </c>
      <c r="B52" t="s" s="32">
        <v>347</v>
      </c>
      <c r="C52" t="s" s="32">
        <v>65</v>
      </c>
      <c r="D52" t="s" s="32">
        <v>35</v>
      </c>
      <c r="E52" t="s" s="32">
        <v>338</v>
      </c>
      <c r="F52" t="s" s="32">
        <v>338</v>
      </c>
      <c r="G52" t="s" s="32">
        <v>68</v>
      </c>
      <c r="H52" t="s" s="32">
        <v>348</v>
      </c>
      <c r="I52" t="s" s="32">
        <v>70</v>
      </c>
      <c r="J52" t="s" s="32">
        <v>71</v>
      </c>
      <c r="K52" t="s" s="32">
        <v>72</v>
      </c>
      <c r="L52" t="s" s="32">
        <v>73</v>
      </c>
      <c r="M52" s="33"/>
      <c r="N52" t="s" s="32">
        <v>74</v>
      </c>
      <c r="O52" t="s" s="32">
        <v>75</v>
      </c>
      <c r="P52" t="s" s="32">
        <v>85</v>
      </c>
      <c r="Q52" s="34">
        <v>0</v>
      </c>
      <c r="R52" s="34">
        <v>10</v>
      </c>
      <c r="S52" s="34">
        <v>25</v>
      </c>
      <c r="T52" t="s" s="32">
        <v>77</v>
      </c>
      <c r="U52" t="s" s="32">
        <v>340</v>
      </c>
      <c r="V52" t="s" s="32">
        <v>341</v>
      </c>
      <c r="W52" t="s" s="32">
        <v>342</v>
      </c>
      <c r="X52" t="s" s="35">
        <v>81</v>
      </c>
      <c r="Y52" s="30"/>
    </row>
    <row r="53" ht="62.5" customHeight="1">
      <c r="A53" t="s" s="36">
        <v>349</v>
      </c>
      <c r="B53" t="s" s="37">
        <v>350</v>
      </c>
      <c r="C53" t="s" s="37">
        <v>65</v>
      </c>
      <c r="D53" t="s" s="37">
        <v>35</v>
      </c>
      <c r="E53" t="s" s="37">
        <v>351</v>
      </c>
      <c r="F53" t="s" s="37">
        <v>351</v>
      </c>
      <c r="G53" t="s" s="37">
        <v>68</v>
      </c>
      <c r="H53" t="s" s="37">
        <v>352</v>
      </c>
      <c r="I53" t="s" s="37">
        <v>70</v>
      </c>
      <c r="J53" t="s" s="37">
        <v>71</v>
      </c>
      <c r="K53" t="s" s="37">
        <v>72</v>
      </c>
      <c r="L53" t="s" s="37">
        <v>73</v>
      </c>
      <c r="M53" s="38"/>
      <c r="N53" t="s" s="37">
        <v>74</v>
      </c>
      <c r="O53" t="s" s="37">
        <v>75</v>
      </c>
      <c r="P53" t="s" s="37">
        <v>85</v>
      </c>
      <c r="Q53" s="39">
        <v>0</v>
      </c>
      <c r="R53" s="39">
        <v>10</v>
      </c>
      <c r="S53" s="39">
        <v>25</v>
      </c>
      <c r="T53" t="s" s="37">
        <v>77</v>
      </c>
      <c r="U53" t="s" s="37">
        <v>353</v>
      </c>
      <c r="V53" t="s" s="37">
        <v>341</v>
      </c>
      <c r="W53" t="s" s="37">
        <v>354</v>
      </c>
      <c r="X53" t="s" s="40">
        <v>81</v>
      </c>
      <c r="Y53" s="30"/>
    </row>
    <row r="54" ht="62.5" customHeight="1">
      <c r="A54" t="s" s="31">
        <v>355</v>
      </c>
      <c r="B54" t="s" s="32">
        <v>356</v>
      </c>
      <c r="C54" t="s" s="32">
        <v>65</v>
      </c>
      <c r="D54" t="s" s="32">
        <v>35</v>
      </c>
      <c r="E54" t="s" s="32">
        <v>351</v>
      </c>
      <c r="F54" t="s" s="32">
        <v>351</v>
      </c>
      <c r="G54" t="s" s="32">
        <v>68</v>
      </c>
      <c r="H54" t="s" s="32">
        <v>357</v>
      </c>
      <c r="I54" t="s" s="32">
        <v>70</v>
      </c>
      <c r="J54" t="s" s="32">
        <v>71</v>
      </c>
      <c r="K54" t="s" s="32">
        <v>72</v>
      </c>
      <c r="L54" t="s" s="32">
        <v>73</v>
      </c>
      <c r="M54" s="33"/>
      <c r="N54" t="s" s="32">
        <v>74</v>
      </c>
      <c r="O54" t="s" s="32">
        <v>75</v>
      </c>
      <c r="P54" t="s" s="32">
        <v>85</v>
      </c>
      <c r="Q54" s="34">
        <v>0</v>
      </c>
      <c r="R54" s="34">
        <v>10</v>
      </c>
      <c r="S54" s="34">
        <v>25</v>
      </c>
      <c r="T54" t="s" s="32">
        <v>77</v>
      </c>
      <c r="U54" t="s" s="32">
        <v>353</v>
      </c>
      <c r="V54" t="s" s="32">
        <v>341</v>
      </c>
      <c r="W54" t="s" s="32">
        <v>354</v>
      </c>
      <c r="X54" t="s" s="35">
        <v>81</v>
      </c>
      <c r="Y54" s="30"/>
    </row>
    <row r="55" ht="62.5" customHeight="1">
      <c r="A55" t="s" s="36">
        <v>358</v>
      </c>
      <c r="B55" t="s" s="37">
        <v>359</v>
      </c>
      <c r="C55" t="s" s="37">
        <v>65</v>
      </c>
      <c r="D55" t="s" s="37">
        <v>35</v>
      </c>
      <c r="E55" t="s" s="37">
        <v>351</v>
      </c>
      <c r="F55" t="s" s="37">
        <v>351</v>
      </c>
      <c r="G55" t="s" s="37">
        <v>68</v>
      </c>
      <c r="H55" t="s" s="37">
        <v>360</v>
      </c>
      <c r="I55" t="s" s="37">
        <v>70</v>
      </c>
      <c r="J55" t="s" s="37">
        <v>71</v>
      </c>
      <c r="K55" t="s" s="37">
        <v>72</v>
      </c>
      <c r="L55" t="s" s="37">
        <v>73</v>
      </c>
      <c r="M55" s="38"/>
      <c r="N55" t="s" s="37">
        <v>74</v>
      </c>
      <c r="O55" t="s" s="37">
        <v>75</v>
      </c>
      <c r="P55" t="s" s="37">
        <v>85</v>
      </c>
      <c r="Q55" s="39">
        <v>0</v>
      </c>
      <c r="R55" s="39">
        <v>10</v>
      </c>
      <c r="S55" s="39">
        <v>25</v>
      </c>
      <c r="T55" t="s" s="37">
        <v>77</v>
      </c>
      <c r="U55" t="s" s="37">
        <v>353</v>
      </c>
      <c r="V55" t="s" s="37">
        <v>341</v>
      </c>
      <c r="W55" t="s" s="37">
        <v>354</v>
      </c>
      <c r="X55" t="s" s="40">
        <v>81</v>
      </c>
      <c r="Y55" s="30"/>
    </row>
    <row r="56" ht="62.5" customHeight="1">
      <c r="A56" t="s" s="31">
        <v>361</v>
      </c>
      <c r="B56" t="s" s="32">
        <v>362</v>
      </c>
      <c r="C56" t="s" s="32">
        <v>65</v>
      </c>
      <c r="D56" t="s" s="32">
        <v>35</v>
      </c>
      <c r="E56" t="s" s="32">
        <v>363</v>
      </c>
      <c r="F56" t="s" s="32">
        <v>363</v>
      </c>
      <c r="G56" t="s" s="32">
        <v>68</v>
      </c>
      <c r="H56" t="s" s="32">
        <v>364</v>
      </c>
      <c r="I56" t="s" s="32">
        <v>70</v>
      </c>
      <c r="J56" t="s" s="32">
        <v>71</v>
      </c>
      <c r="K56" t="s" s="32">
        <v>72</v>
      </c>
      <c r="L56" t="s" s="32">
        <v>73</v>
      </c>
      <c r="M56" s="33"/>
      <c r="N56" t="s" s="32">
        <v>74</v>
      </c>
      <c r="O56" t="s" s="32">
        <v>75</v>
      </c>
      <c r="P56" t="s" s="32">
        <v>85</v>
      </c>
      <c r="Q56" s="34">
        <v>0</v>
      </c>
      <c r="R56" s="34">
        <v>10</v>
      </c>
      <c r="S56" s="34">
        <v>25</v>
      </c>
      <c r="T56" t="s" s="32">
        <v>77</v>
      </c>
      <c r="U56" t="s" s="32">
        <v>365</v>
      </c>
      <c r="V56" t="s" s="32">
        <v>341</v>
      </c>
      <c r="W56" t="s" s="32">
        <v>366</v>
      </c>
      <c r="X56" t="s" s="35">
        <v>81</v>
      </c>
      <c r="Y56" s="30"/>
    </row>
    <row r="57" ht="62.5" customHeight="1">
      <c r="A57" t="s" s="36">
        <v>367</v>
      </c>
      <c r="B57" t="s" s="37">
        <v>368</v>
      </c>
      <c r="C57" t="s" s="37">
        <v>65</v>
      </c>
      <c r="D57" t="s" s="37">
        <v>35</v>
      </c>
      <c r="E57" t="s" s="37">
        <v>363</v>
      </c>
      <c r="F57" t="s" s="37">
        <v>363</v>
      </c>
      <c r="G57" t="s" s="37">
        <v>68</v>
      </c>
      <c r="H57" t="s" s="37">
        <v>369</v>
      </c>
      <c r="I57" t="s" s="37">
        <v>70</v>
      </c>
      <c r="J57" t="s" s="37">
        <v>71</v>
      </c>
      <c r="K57" t="s" s="37">
        <v>72</v>
      </c>
      <c r="L57" t="s" s="37">
        <v>73</v>
      </c>
      <c r="M57" s="38"/>
      <c r="N57" t="s" s="37">
        <v>74</v>
      </c>
      <c r="O57" t="s" s="37">
        <v>75</v>
      </c>
      <c r="P57" t="s" s="37">
        <v>85</v>
      </c>
      <c r="Q57" s="39">
        <v>0</v>
      </c>
      <c r="R57" s="39">
        <v>10</v>
      </c>
      <c r="S57" s="39">
        <v>25</v>
      </c>
      <c r="T57" t="s" s="37">
        <v>77</v>
      </c>
      <c r="U57" t="s" s="37">
        <v>365</v>
      </c>
      <c r="V57" t="s" s="37">
        <v>341</v>
      </c>
      <c r="W57" t="s" s="37">
        <v>366</v>
      </c>
      <c r="X57" t="s" s="40">
        <v>81</v>
      </c>
      <c r="Y57" s="30"/>
    </row>
    <row r="58" ht="62.5" customHeight="1">
      <c r="A58" t="s" s="31">
        <v>370</v>
      </c>
      <c r="B58" t="s" s="32">
        <v>371</v>
      </c>
      <c r="C58" t="s" s="32">
        <v>65</v>
      </c>
      <c r="D58" t="s" s="32">
        <v>35</v>
      </c>
      <c r="E58" t="s" s="32">
        <v>363</v>
      </c>
      <c r="F58" t="s" s="32">
        <v>363</v>
      </c>
      <c r="G58" t="s" s="32">
        <v>68</v>
      </c>
      <c r="H58" t="s" s="32">
        <v>372</v>
      </c>
      <c r="I58" t="s" s="32">
        <v>70</v>
      </c>
      <c r="J58" t="s" s="32">
        <v>71</v>
      </c>
      <c r="K58" t="s" s="32">
        <v>72</v>
      </c>
      <c r="L58" t="s" s="32">
        <v>73</v>
      </c>
      <c r="M58" s="33"/>
      <c r="N58" t="s" s="32">
        <v>74</v>
      </c>
      <c r="O58" t="s" s="32">
        <v>75</v>
      </c>
      <c r="P58" t="s" s="32">
        <v>85</v>
      </c>
      <c r="Q58" s="34">
        <v>0</v>
      </c>
      <c r="R58" s="34">
        <v>10</v>
      </c>
      <c r="S58" s="34">
        <v>25</v>
      </c>
      <c r="T58" t="s" s="32">
        <v>77</v>
      </c>
      <c r="U58" t="s" s="32">
        <v>365</v>
      </c>
      <c r="V58" t="s" s="32">
        <v>341</v>
      </c>
      <c r="W58" t="s" s="32">
        <v>366</v>
      </c>
      <c r="X58" t="s" s="35">
        <v>81</v>
      </c>
      <c r="Y58" s="30"/>
    </row>
    <row r="59" ht="62.5" customHeight="1">
      <c r="A59" t="s" s="36">
        <v>373</v>
      </c>
      <c r="B59" t="s" s="37">
        <v>374</v>
      </c>
      <c r="C59" t="s" s="37">
        <v>65</v>
      </c>
      <c r="D59" t="s" s="37">
        <v>35</v>
      </c>
      <c r="E59" t="s" s="37">
        <v>375</v>
      </c>
      <c r="F59" t="s" s="37">
        <v>375</v>
      </c>
      <c r="G59" t="s" s="37">
        <v>68</v>
      </c>
      <c r="H59" t="s" s="37">
        <v>376</v>
      </c>
      <c r="I59" t="s" s="37">
        <v>70</v>
      </c>
      <c r="J59" t="s" s="37">
        <v>71</v>
      </c>
      <c r="K59" t="s" s="37">
        <v>72</v>
      </c>
      <c r="L59" t="s" s="37">
        <v>73</v>
      </c>
      <c r="M59" s="38"/>
      <c r="N59" t="s" s="37">
        <v>74</v>
      </c>
      <c r="O59" t="s" s="37">
        <v>75</v>
      </c>
      <c r="P59" t="s" s="37">
        <v>85</v>
      </c>
      <c r="Q59" s="39">
        <v>0</v>
      </c>
      <c r="R59" s="39">
        <v>10</v>
      </c>
      <c r="S59" s="39">
        <v>25</v>
      </c>
      <c r="T59" t="s" s="37">
        <v>77</v>
      </c>
      <c r="U59" t="s" s="37">
        <v>377</v>
      </c>
      <c r="V59" t="s" s="37">
        <v>341</v>
      </c>
      <c r="W59" t="s" s="37">
        <v>378</v>
      </c>
      <c r="X59" t="s" s="40">
        <v>81</v>
      </c>
      <c r="Y59" s="30"/>
    </row>
    <row r="60" ht="62.5" customHeight="1">
      <c r="A60" t="s" s="31">
        <v>379</v>
      </c>
      <c r="B60" t="s" s="32">
        <v>380</v>
      </c>
      <c r="C60" t="s" s="32">
        <v>65</v>
      </c>
      <c r="D60" t="s" s="32">
        <v>35</v>
      </c>
      <c r="E60" t="s" s="32">
        <v>375</v>
      </c>
      <c r="F60" t="s" s="32">
        <v>375</v>
      </c>
      <c r="G60" t="s" s="32">
        <v>68</v>
      </c>
      <c r="H60" t="s" s="32">
        <v>381</v>
      </c>
      <c r="I60" t="s" s="32">
        <v>70</v>
      </c>
      <c r="J60" t="s" s="32">
        <v>71</v>
      </c>
      <c r="K60" t="s" s="32">
        <v>72</v>
      </c>
      <c r="L60" t="s" s="32">
        <v>73</v>
      </c>
      <c r="M60" s="33"/>
      <c r="N60" t="s" s="32">
        <v>74</v>
      </c>
      <c r="O60" t="s" s="32">
        <v>75</v>
      </c>
      <c r="P60" t="s" s="32">
        <v>85</v>
      </c>
      <c r="Q60" s="34">
        <v>0</v>
      </c>
      <c r="R60" s="34">
        <v>10</v>
      </c>
      <c r="S60" s="34">
        <v>25</v>
      </c>
      <c r="T60" t="s" s="32">
        <v>77</v>
      </c>
      <c r="U60" t="s" s="32">
        <v>377</v>
      </c>
      <c r="V60" t="s" s="32">
        <v>341</v>
      </c>
      <c r="W60" t="s" s="32">
        <v>378</v>
      </c>
      <c r="X60" t="s" s="35">
        <v>81</v>
      </c>
      <c r="Y60" s="30"/>
    </row>
    <row r="61" ht="62.5" customHeight="1">
      <c r="A61" t="s" s="36">
        <v>382</v>
      </c>
      <c r="B61" t="s" s="37">
        <v>383</v>
      </c>
      <c r="C61" t="s" s="37">
        <v>65</v>
      </c>
      <c r="D61" t="s" s="37">
        <v>35</v>
      </c>
      <c r="E61" t="s" s="37">
        <v>375</v>
      </c>
      <c r="F61" t="s" s="37">
        <v>375</v>
      </c>
      <c r="G61" t="s" s="37">
        <v>68</v>
      </c>
      <c r="H61" t="s" s="37">
        <v>384</v>
      </c>
      <c r="I61" t="s" s="37">
        <v>70</v>
      </c>
      <c r="J61" t="s" s="37">
        <v>71</v>
      </c>
      <c r="K61" t="s" s="37">
        <v>72</v>
      </c>
      <c r="L61" t="s" s="37">
        <v>73</v>
      </c>
      <c r="M61" s="38"/>
      <c r="N61" t="s" s="37">
        <v>74</v>
      </c>
      <c r="O61" t="s" s="37">
        <v>75</v>
      </c>
      <c r="P61" t="s" s="37">
        <v>85</v>
      </c>
      <c r="Q61" s="39">
        <v>0</v>
      </c>
      <c r="R61" s="39">
        <v>10</v>
      </c>
      <c r="S61" s="39">
        <v>25</v>
      </c>
      <c r="T61" t="s" s="37">
        <v>77</v>
      </c>
      <c r="U61" t="s" s="37">
        <v>377</v>
      </c>
      <c r="V61" t="s" s="37">
        <v>341</v>
      </c>
      <c r="W61" t="s" s="37">
        <v>378</v>
      </c>
      <c r="X61" t="s" s="40">
        <v>81</v>
      </c>
      <c r="Y61" s="30"/>
    </row>
    <row r="62" ht="62.5" customHeight="1">
      <c r="A62" t="s" s="31">
        <v>385</v>
      </c>
      <c r="B62" t="s" s="32">
        <v>386</v>
      </c>
      <c r="C62" t="s" s="32">
        <v>65</v>
      </c>
      <c r="D62" t="s" s="32">
        <v>36</v>
      </c>
      <c r="E62" t="s" s="32">
        <v>387</v>
      </c>
      <c r="F62" t="s" s="32">
        <v>387</v>
      </c>
      <c r="G62" t="s" s="32">
        <v>68</v>
      </c>
      <c r="H62" t="s" s="32">
        <v>388</v>
      </c>
      <c r="I62" t="s" s="32">
        <v>70</v>
      </c>
      <c r="J62" t="s" s="32">
        <v>71</v>
      </c>
      <c r="K62" t="s" s="32">
        <v>72</v>
      </c>
      <c r="L62" t="s" s="32">
        <v>73</v>
      </c>
      <c r="M62" s="33"/>
      <c r="N62" t="s" s="32">
        <v>74</v>
      </c>
      <c r="O62" t="s" s="32">
        <v>75</v>
      </c>
      <c r="P62" t="s" s="32">
        <v>76</v>
      </c>
      <c r="Q62" s="34">
        <v>0</v>
      </c>
      <c r="R62" s="34">
        <v>7</v>
      </c>
      <c r="S62" s="34">
        <v>18</v>
      </c>
      <c r="T62" t="s" s="32">
        <v>77</v>
      </c>
      <c r="U62" t="s" s="32">
        <v>389</v>
      </c>
      <c r="V62" t="s" s="32">
        <v>390</v>
      </c>
      <c r="W62" t="s" s="32">
        <v>391</v>
      </c>
      <c r="X62" t="s" s="35">
        <v>81</v>
      </c>
      <c r="Y62" s="30"/>
    </row>
    <row r="63" ht="62.5" customHeight="1">
      <c r="A63" t="s" s="36">
        <v>392</v>
      </c>
      <c r="B63" t="s" s="37">
        <v>393</v>
      </c>
      <c r="C63" t="s" s="37">
        <v>65</v>
      </c>
      <c r="D63" t="s" s="37">
        <v>36</v>
      </c>
      <c r="E63" t="s" s="37">
        <v>387</v>
      </c>
      <c r="F63" t="s" s="37">
        <v>387</v>
      </c>
      <c r="G63" t="s" s="37">
        <v>68</v>
      </c>
      <c r="H63" t="s" s="37">
        <v>394</v>
      </c>
      <c r="I63" t="s" s="37">
        <v>70</v>
      </c>
      <c r="J63" t="s" s="37">
        <v>71</v>
      </c>
      <c r="K63" t="s" s="37">
        <v>72</v>
      </c>
      <c r="L63" t="s" s="37">
        <v>73</v>
      </c>
      <c r="M63" s="38"/>
      <c r="N63" t="s" s="37">
        <v>74</v>
      </c>
      <c r="O63" t="s" s="37">
        <v>75</v>
      </c>
      <c r="P63" t="s" s="37">
        <v>76</v>
      </c>
      <c r="Q63" s="39">
        <v>0</v>
      </c>
      <c r="R63" s="39">
        <v>7</v>
      </c>
      <c r="S63" s="39">
        <v>18</v>
      </c>
      <c r="T63" t="s" s="37">
        <v>77</v>
      </c>
      <c r="U63" t="s" s="37">
        <v>389</v>
      </c>
      <c r="V63" t="s" s="37">
        <v>390</v>
      </c>
      <c r="W63" t="s" s="37">
        <v>391</v>
      </c>
      <c r="X63" t="s" s="40">
        <v>81</v>
      </c>
      <c r="Y63" s="30"/>
    </row>
    <row r="64" ht="62.5" customHeight="1">
      <c r="A64" t="s" s="31">
        <v>395</v>
      </c>
      <c r="B64" t="s" s="32">
        <v>396</v>
      </c>
      <c r="C64" t="s" s="32">
        <v>65</v>
      </c>
      <c r="D64" t="s" s="32">
        <v>36</v>
      </c>
      <c r="E64" t="s" s="32">
        <v>387</v>
      </c>
      <c r="F64" t="s" s="32">
        <v>387</v>
      </c>
      <c r="G64" t="s" s="32">
        <v>68</v>
      </c>
      <c r="H64" t="s" s="32">
        <v>397</v>
      </c>
      <c r="I64" t="s" s="32">
        <v>70</v>
      </c>
      <c r="J64" t="s" s="32">
        <v>71</v>
      </c>
      <c r="K64" t="s" s="32">
        <v>72</v>
      </c>
      <c r="L64" t="s" s="32">
        <v>73</v>
      </c>
      <c r="M64" s="33"/>
      <c r="N64" t="s" s="32">
        <v>74</v>
      </c>
      <c r="O64" t="s" s="32">
        <v>75</v>
      </c>
      <c r="P64" t="s" s="32">
        <v>76</v>
      </c>
      <c r="Q64" s="34">
        <v>0</v>
      </c>
      <c r="R64" s="34">
        <v>7</v>
      </c>
      <c r="S64" s="34">
        <v>18</v>
      </c>
      <c r="T64" t="s" s="32">
        <v>77</v>
      </c>
      <c r="U64" t="s" s="32">
        <v>389</v>
      </c>
      <c r="V64" t="s" s="32">
        <v>390</v>
      </c>
      <c r="W64" t="s" s="32">
        <v>391</v>
      </c>
      <c r="X64" t="s" s="35">
        <v>81</v>
      </c>
      <c r="Y64" s="30"/>
    </row>
    <row r="65" ht="62.5" customHeight="1">
      <c r="A65" t="s" s="36">
        <v>398</v>
      </c>
      <c r="B65" t="s" s="37">
        <v>399</v>
      </c>
      <c r="C65" t="s" s="37">
        <v>65</v>
      </c>
      <c r="D65" t="s" s="37">
        <v>36</v>
      </c>
      <c r="E65" t="s" s="37">
        <v>400</v>
      </c>
      <c r="F65" t="s" s="37">
        <v>400</v>
      </c>
      <c r="G65" t="s" s="37">
        <v>68</v>
      </c>
      <c r="H65" t="s" s="37">
        <v>401</v>
      </c>
      <c r="I65" t="s" s="37">
        <v>70</v>
      </c>
      <c r="J65" t="s" s="37">
        <v>71</v>
      </c>
      <c r="K65" t="s" s="37">
        <v>72</v>
      </c>
      <c r="L65" t="s" s="37">
        <v>73</v>
      </c>
      <c r="M65" s="38"/>
      <c r="N65" t="s" s="37">
        <v>74</v>
      </c>
      <c r="O65" t="s" s="37">
        <v>75</v>
      </c>
      <c r="P65" t="s" s="37">
        <v>76</v>
      </c>
      <c r="Q65" s="39">
        <v>0</v>
      </c>
      <c r="R65" s="39">
        <v>7</v>
      </c>
      <c r="S65" s="39">
        <v>18</v>
      </c>
      <c r="T65" t="s" s="37">
        <v>77</v>
      </c>
      <c r="U65" t="s" s="37">
        <v>402</v>
      </c>
      <c r="V65" t="s" s="37">
        <v>390</v>
      </c>
      <c r="W65" t="s" s="37">
        <v>403</v>
      </c>
      <c r="X65" t="s" s="40">
        <v>81</v>
      </c>
      <c r="Y65" s="30"/>
    </row>
    <row r="66" ht="62.5" customHeight="1">
      <c r="A66" t="s" s="31">
        <v>404</v>
      </c>
      <c r="B66" t="s" s="32">
        <v>405</v>
      </c>
      <c r="C66" t="s" s="32">
        <v>65</v>
      </c>
      <c r="D66" t="s" s="32">
        <v>36</v>
      </c>
      <c r="E66" t="s" s="32">
        <v>400</v>
      </c>
      <c r="F66" t="s" s="32">
        <v>400</v>
      </c>
      <c r="G66" t="s" s="32">
        <v>68</v>
      </c>
      <c r="H66" t="s" s="32">
        <v>406</v>
      </c>
      <c r="I66" t="s" s="32">
        <v>70</v>
      </c>
      <c r="J66" t="s" s="32">
        <v>71</v>
      </c>
      <c r="K66" t="s" s="32">
        <v>72</v>
      </c>
      <c r="L66" t="s" s="32">
        <v>73</v>
      </c>
      <c r="M66" s="33"/>
      <c r="N66" t="s" s="32">
        <v>74</v>
      </c>
      <c r="O66" t="s" s="32">
        <v>75</v>
      </c>
      <c r="P66" t="s" s="32">
        <v>76</v>
      </c>
      <c r="Q66" s="34">
        <v>0</v>
      </c>
      <c r="R66" s="34">
        <v>7</v>
      </c>
      <c r="S66" s="34">
        <v>18</v>
      </c>
      <c r="T66" t="s" s="32">
        <v>77</v>
      </c>
      <c r="U66" t="s" s="32">
        <v>402</v>
      </c>
      <c r="V66" t="s" s="32">
        <v>390</v>
      </c>
      <c r="W66" t="s" s="32">
        <v>403</v>
      </c>
      <c r="X66" t="s" s="35">
        <v>81</v>
      </c>
      <c r="Y66" s="30"/>
    </row>
    <row r="67" ht="62.5" customHeight="1">
      <c r="A67" t="s" s="36">
        <v>407</v>
      </c>
      <c r="B67" t="s" s="37">
        <v>408</v>
      </c>
      <c r="C67" t="s" s="37">
        <v>65</v>
      </c>
      <c r="D67" t="s" s="37">
        <v>36</v>
      </c>
      <c r="E67" t="s" s="37">
        <v>400</v>
      </c>
      <c r="F67" t="s" s="37">
        <v>400</v>
      </c>
      <c r="G67" t="s" s="37">
        <v>68</v>
      </c>
      <c r="H67" t="s" s="37">
        <v>409</v>
      </c>
      <c r="I67" t="s" s="37">
        <v>70</v>
      </c>
      <c r="J67" t="s" s="37">
        <v>71</v>
      </c>
      <c r="K67" t="s" s="37">
        <v>72</v>
      </c>
      <c r="L67" t="s" s="37">
        <v>73</v>
      </c>
      <c r="M67" s="38"/>
      <c r="N67" t="s" s="37">
        <v>74</v>
      </c>
      <c r="O67" t="s" s="37">
        <v>75</v>
      </c>
      <c r="P67" t="s" s="37">
        <v>76</v>
      </c>
      <c r="Q67" s="39">
        <v>0</v>
      </c>
      <c r="R67" s="39">
        <v>7</v>
      </c>
      <c r="S67" s="39">
        <v>18</v>
      </c>
      <c r="T67" t="s" s="37">
        <v>77</v>
      </c>
      <c r="U67" t="s" s="37">
        <v>402</v>
      </c>
      <c r="V67" t="s" s="37">
        <v>390</v>
      </c>
      <c r="W67" t="s" s="37">
        <v>403</v>
      </c>
      <c r="X67" t="s" s="40">
        <v>81</v>
      </c>
      <c r="Y67" s="30"/>
    </row>
    <row r="68" ht="62.5" customHeight="1">
      <c r="A68" t="s" s="31">
        <v>410</v>
      </c>
      <c r="B68" t="s" s="32">
        <v>411</v>
      </c>
      <c r="C68" t="s" s="32">
        <v>65</v>
      </c>
      <c r="D68" t="s" s="32">
        <v>36</v>
      </c>
      <c r="E68" t="s" s="32">
        <v>412</v>
      </c>
      <c r="F68" t="s" s="32">
        <v>412</v>
      </c>
      <c r="G68" t="s" s="32">
        <v>68</v>
      </c>
      <c r="H68" t="s" s="32">
        <v>413</v>
      </c>
      <c r="I68" t="s" s="32">
        <v>70</v>
      </c>
      <c r="J68" t="s" s="32">
        <v>71</v>
      </c>
      <c r="K68" t="s" s="32">
        <v>72</v>
      </c>
      <c r="L68" t="s" s="32">
        <v>73</v>
      </c>
      <c r="M68" s="33"/>
      <c r="N68" t="s" s="32">
        <v>74</v>
      </c>
      <c r="O68" t="s" s="32">
        <v>75</v>
      </c>
      <c r="P68" t="s" s="32">
        <v>76</v>
      </c>
      <c r="Q68" s="34">
        <v>0</v>
      </c>
      <c r="R68" s="34">
        <v>7</v>
      </c>
      <c r="S68" s="34">
        <v>18</v>
      </c>
      <c r="T68" t="s" s="32">
        <v>77</v>
      </c>
      <c r="U68" t="s" s="32">
        <v>414</v>
      </c>
      <c r="V68" t="s" s="32">
        <v>390</v>
      </c>
      <c r="W68" t="s" s="32">
        <v>415</v>
      </c>
      <c r="X68" t="s" s="35">
        <v>81</v>
      </c>
      <c r="Y68" s="30"/>
    </row>
    <row r="69" ht="62.5" customHeight="1">
      <c r="A69" t="s" s="36">
        <v>416</v>
      </c>
      <c r="B69" t="s" s="37">
        <v>417</v>
      </c>
      <c r="C69" t="s" s="37">
        <v>65</v>
      </c>
      <c r="D69" t="s" s="37">
        <v>36</v>
      </c>
      <c r="E69" t="s" s="37">
        <v>412</v>
      </c>
      <c r="F69" t="s" s="37">
        <v>412</v>
      </c>
      <c r="G69" t="s" s="37">
        <v>68</v>
      </c>
      <c r="H69" t="s" s="37">
        <v>418</v>
      </c>
      <c r="I69" t="s" s="37">
        <v>70</v>
      </c>
      <c r="J69" t="s" s="37">
        <v>71</v>
      </c>
      <c r="K69" t="s" s="37">
        <v>72</v>
      </c>
      <c r="L69" t="s" s="37">
        <v>73</v>
      </c>
      <c r="M69" s="38"/>
      <c r="N69" t="s" s="37">
        <v>74</v>
      </c>
      <c r="O69" t="s" s="37">
        <v>75</v>
      </c>
      <c r="P69" t="s" s="37">
        <v>76</v>
      </c>
      <c r="Q69" s="39">
        <v>0</v>
      </c>
      <c r="R69" s="39">
        <v>7</v>
      </c>
      <c r="S69" s="39">
        <v>18</v>
      </c>
      <c r="T69" t="s" s="37">
        <v>77</v>
      </c>
      <c r="U69" t="s" s="37">
        <v>414</v>
      </c>
      <c r="V69" t="s" s="37">
        <v>390</v>
      </c>
      <c r="W69" t="s" s="37">
        <v>415</v>
      </c>
      <c r="X69" t="s" s="40">
        <v>81</v>
      </c>
      <c r="Y69" s="30"/>
    </row>
    <row r="70" ht="62.5" customHeight="1">
      <c r="A70" t="s" s="31">
        <v>419</v>
      </c>
      <c r="B70" t="s" s="32">
        <v>420</v>
      </c>
      <c r="C70" t="s" s="32">
        <v>65</v>
      </c>
      <c r="D70" t="s" s="32">
        <v>36</v>
      </c>
      <c r="E70" t="s" s="32">
        <v>412</v>
      </c>
      <c r="F70" t="s" s="32">
        <v>412</v>
      </c>
      <c r="G70" t="s" s="32">
        <v>68</v>
      </c>
      <c r="H70" t="s" s="32">
        <v>421</v>
      </c>
      <c r="I70" t="s" s="32">
        <v>70</v>
      </c>
      <c r="J70" t="s" s="32">
        <v>71</v>
      </c>
      <c r="K70" t="s" s="32">
        <v>72</v>
      </c>
      <c r="L70" t="s" s="32">
        <v>73</v>
      </c>
      <c r="M70" s="33"/>
      <c r="N70" t="s" s="32">
        <v>74</v>
      </c>
      <c r="O70" t="s" s="32">
        <v>75</v>
      </c>
      <c r="P70" t="s" s="32">
        <v>76</v>
      </c>
      <c r="Q70" s="34">
        <v>0</v>
      </c>
      <c r="R70" s="34">
        <v>7</v>
      </c>
      <c r="S70" s="34">
        <v>18</v>
      </c>
      <c r="T70" t="s" s="32">
        <v>77</v>
      </c>
      <c r="U70" t="s" s="32">
        <v>414</v>
      </c>
      <c r="V70" t="s" s="32">
        <v>390</v>
      </c>
      <c r="W70" t="s" s="32">
        <v>415</v>
      </c>
      <c r="X70" t="s" s="35">
        <v>81</v>
      </c>
      <c r="Y70" s="30"/>
    </row>
    <row r="71" ht="62.5" customHeight="1">
      <c r="A71" t="s" s="36">
        <v>422</v>
      </c>
      <c r="B71" t="s" s="37">
        <v>423</v>
      </c>
      <c r="C71" t="s" s="37">
        <v>65</v>
      </c>
      <c r="D71" t="s" s="37">
        <v>36</v>
      </c>
      <c r="E71" t="s" s="37">
        <v>424</v>
      </c>
      <c r="F71" t="s" s="37">
        <v>424</v>
      </c>
      <c r="G71" t="s" s="37">
        <v>68</v>
      </c>
      <c r="H71" t="s" s="37">
        <v>425</v>
      </c>
      <c r="I71" t="s" s="37">
        <v>70</v>
      </c>
      <c r="J71" t="s" s="37">
        <v>71</v>
      </c>
      <c r="K71" t="s" s="37">
        <v>72</v>
      </c>
      <c r="L71" t="s" s="37">
        <v>73</v>
      </c>
      <c r="M71" s="38"/>
      <c r="N71" t="s" s="37">
        <v>74</v>
      </c>
      <c r="O71" t="s" s="37">
        <v>75</v>
      </c>
      <c r="P71" t="s" s="37">
        <v>76</v>
      </c>
      <c r="Q71" s="39">
        <v>0</v>
      </c>
      <c r="R71" s="39">
        <v>7</v>
      </c>
      <c r="S71" s="39">
        <v>18</v>
      </c>
      <c r="T71" t="s" s="37">
        <v>77</v>
      </c>
      <c r="U71" t="s" s="37">
        <v>426</v>
      </c>
      <c r="V71" t="s" s="37">
        <v>390</v>
      </c>
      <c r="W71" t="s" s="37">
        <v>427</v>
      </c>
      <c r="X71" t="s" s="40">
        <v>81</v>
      </c>
      <c r="Y71" s="30"/>
    </row>
    <row r="72" ht="62.5" customHeight="1">
      <c r="A72" t="s" s="31">
        <v>428</v>
      </c>
      <c r="B72" t="s" s="32">
        <v>429</v>
      </c>
      <c r="C72" t="s" s="32">
        <v>65</v>
      </c>
      <c r="D72" t="s" s="32">
        <v>36</v>
      </c>
      <c r="E72" t="s" s="32">
        <v>424</v>
      </c>
      <c r="F72" t="s" s="32">
        <v>424</v>
      </c>
      <c r="G72" t="s" s="32">
        <v>68</v>
      </c>
      <c r="H72" t="s" s="32">
        <v>430</v>
      </c>
      <c r="I72" t="s" s="32">
        <v>70</v>
      </c>
      <c r="J72" t="s" s="32">
        <v>71</v>
      </c>
      <c r="K72" t="s" s="32">
        <v>72</v>
      </c>
      <c r="L72" t="s" s="32">
        <v>73</v>
      </c>
      <c r="M72" s="33"/>
      <c r="N72" t="s" s="32">
        <v>74</v>
      </c>
      <c r="O72" t="s" s="32">
        <v>75</v>
      </c>
      <c r="P72" t="s" s="32">
        <v>76</v>
      </c>
      <c r="Q72" s="34">
        <v>0</v>
      </c>
      <c r="R72" s="34">
        <v>7</v>
      </c>
      <c r="S72" s="34">
        <v>18</v>
      </c>
      <c r="T72" t="s" s="32">
        <v>77</v>
      </c>
      <c r="U72" t="s" s="32">
        <v>426</v>
      </c>
      <c r="V72" t="s" s="32">
        <v>390</v>
      </c>
      <c r="W72" t="s" s="32">
        <v>427</v>
      </c>
      <c r="X72" t="s" s="35">
        <v>81</v>
      </c>
      <c r="Y72" s="30"/>
    </row>
    <row r="73" ht="62.5" customHeight="1">
      <c r="A73" t="s" s="36">
        <v>431</v>
      </c>
      <c r="B73" t="s" s="37">
        <v>432</v>
      </c>
      <c r="C73" t="s" s="37">
        <v>65</v>
      </c>
      <c r="D73" t="s" s="37">
        <v>36</v>
      </c>
      <c r="E73" t="s" s="37">
        <v>424</v>
      </c>
      <c r="F73" t="s" s="37">
        <v>424</v>
      </c>
      <c r="G73" t="s" s="37">
        <v>68</v>
      </c>
      <c r="H73" t="s" s="37">
        <v>433</v>
      </c>
      <c r="I73" t="s" s="37">
        <v>70</v>
      </c>
      <c r="J73" t="s" s="37">
        <v>71</v>
      </c>
      <c r="K73" t="s" s="37">
        <v>72</v>
      </c>
      <c r="L73" t="s" s="37">
        <v>73</v>
      </c>
      <c r="M73" s="38"/>
      <c r="N73" t="s" s="37">
        <v>74</v>
      </c>
      <c r="O73" t="s" s="37">
        <v>75</v>
      </c>
      <c r="P73" t="s" s="37">
        <v>76</v>
      </c>
      <c r="Q73" s="39">
        <v>0</v>
      </c>
      <c r="R73" s="39">
        <v>7</v>
      </c>
      <c r="S73" s="39">
        <v>18</v>
      </c>
      <c r="T73" t="s" s="37">
        <v>77</v>
      </c>
      <c r="U73" t="s" s="37">
        <v>426</v>
      </c>
      <c r="V73" t="s" s="37">
        <v>390</v>
      </c>
      <c r="W73" t="s" s="37">
        <v>427</v>
      </c>
      <c r="X73" t="s" s="40">
        <v>81</v>
      </c>
      <c r="Y73" s="30"/>
    </row>
    <row r="74" ht="62.5" customHeight="1">
      <c r="A74" t="s" s="31">
        <v>434</v>
      </c>
      <c r="B74" t="s" s="32">
        <v>435</v>
      </c>
      <c r="C74" t="s" s="32">
        <v>65</v>
      </c>
      <c r="D74" t="s" s="32">
        <v>32</v>
      </c>
      <c r="E74" t="s" s="32">
        <v>436</v>
      </c>
      <c r="F74" t="s" s="32">
        <v>436</v>
      </c>
      <c r="G74" t="s" s="32">
        <v>68</v>
      </c>
      <c r="H74" t="s" s="32">
        <v>437</v>
      </c>
      <c r="I74" t="s" s="32">
        <v>70</v>
      </c>
      <c r="J74" t="s" s="32">
        <v>71</v>
      </c>
      <c r="K74" t="s" s="32">
        <v>72</v>
      </c>
      <c r="L74" t="s" s="32">
        <v>73</v>
      </c>
      <c r="M74" s="33"/>
      <c r="N74" t="s" s="32">
        <v>74</v>
      </c>
      <c r="O74" t="s" s="32">
        <v>75</v>
      </c>
      <c r="P74" t="s" s="32">
        <v>76</v>
      </c>
      <c r="Q74" s="34">
        <v>0</v>
      </c>
      <c r="R74" s="34">
        <v>7</v>
      </c>
      <c r="S74" s="34">
        <v>18</v>
      </c>
      <c r="T74" t="s" s="32">
        <v>77</v>
      </c>
      <c r="U74" t="s" s="32">
        <v>436</v>
      </c>
      <c r="V74" t="s" s="32">
        <v>438</v>
      </c>
      <c r="W74" t="s" s="32">
        <v>439</v>
      </c>
      <c r="X74" t="s" s="35">
        <v>81</v>
      </c>
      <c r="Y74" s="30"/>
    </row>
    <row r="75" ht="62.5" customHeight="1">
      <c r="A75" t="s" s="36">
        <v>440</v>
      </c>
      <c r="B75" t="s" s="37">
        <v>441</v>
      </c>
      <c r="C75" t="s" s="37">
        <v>65</v>
      </c>
      <c r="D75" t="s" s="37">
        <v>32</v>
      </c>
      <c r="E75" t="s" s="37">
        <v>436</v>
      </c>
      <c r="F75" t="s" s="37">
        <v>436</v>
      </c>
      <c r="G75" t="s" s="37">
        <v>68</v>
      </c>
      <c r="H75" t="s" s="37">
        <v>442</v>
      </c>
      <c r="I75" t="s" s="37">
        <v>70</v>
      </c>
      <c r="J75" t="s" s="37">
        <v>71</v>
      </c>
      <c r="K75" t="s" s="37">
        <v>72</v>
      </c>
      <c r="L75" t="s" s="37">
        <v>73</v>
      </c>
      <c r="M75" s="38"/>
      <c r="N75" t="s" s="37">
        <v>74</v>
      </c>
      <c r="O75" t="s" s="37">
        <v>75</v>
      </c>
      <c r="P75" t="s" s="37">
        <v>76</v>
      </c>
      <c r="Q75" s="39">
        <v>0</v>
      </c>
      <c r="R75" s="39">
        <v>7</v>
      </c>
      <c r="S75" s="39">
        <v>18</v>
      </c>
      <c r="T75" t="s" s="37">
        <v>77</v>
      </c>
      <c r="U75" t="s" s="37">
        <v>436</v>
      </c>
      <c r="V75" t="s" s="37">
        <v>438</v>
      </c>
      <c r="W75" t="s" s="37">
        <v>439</v>
      </c>
      <c r="X75" t="s" s="40">
        <v>81</v>
      </c>
      <c r="Y75" s="30"/>
    </row>
    <row r="76" ht="62.5" customHeight="1">
      <c r="A76" t="s" s="31">
        <v>443</v>
      </c>
      <c r="B76" t="s" s="32">
        <v>444</v>
      </c>
      <c r="C76" t="s" s="32">
        <v>65</v>
      </c>
      <c r="D76" t="s" s="32">
        <v>32</v>
      </c>
      <c r="E76" t="s" s="32">
        <v>436</v>
      </c>
      <c r="F76" t="s" s="32">
        <v>436</v>
      </c>
      <c r="G76" t="s" s="32">
        <v>68</v>
      </c>
      <c r="H76" t="s" s="32">
        <v>445</v>
      </c>
      <c r="I76" t="s" s="32">
        <v>70</v>
      </c>
      <c r="J76" t="s" s="32">
        <v>71</v>
      </c>
      <c r="K76" t="s" s="32">
        <v>72</v>
      </c>
      <c r="L76" t="s" s="32">
        <v>73</v>
      </c>
      <c r="M76" s="33"/>
      <c r="N76" t="s" s="32">
        <v>74</v>
      </c>
      <c r="O76" t="s" s="32">
        <v>75</v>
      </c>
      <c r="P76" t="s" s="32">
        <v>76</v>
      </c>
      <c r="Q76" s="34">
        <v>0</v>
      </c>
      <c r="R76" s="34">
        <v>7</v>
      </c>
      <c r="S76" s="34">
        <v>18</v>
      </c>
      <c r="T76" t="s" s="32">
        <v>77</v>
      </c>
      <c r="U76" t="s" s="32">
        <v>436</v>
      </c>
      <c r="V76" t="s" s="32">
        <v>438</v>
      </c>
      <c r="W76" t="s" s="32">
        <v>439</v>
      </c>
      <c r="X76" t="s" s="35">
        <v>81</v>
      </c>
      <c r="Y76" s="30"/>
    </row>
    <row r="77" ht="62.5" customHeight="1">
      <c r="A77" t="s" s="36">
        <v>446</v>
      </c>
      <c r="B77" t="s" s="37">
        <v>447</v>
      </c>
      <c r="C77" t="s" s="37">
        <v>65</v>
      </c>
      <c r="D77" t="s" s="37">
        <v>32</v>
      </c>
      <c r="E77" t="s" s="37">
        <v>448</v>
      </c>
      <c r="F77" t="s" s="37">
        <v>448</v>
      </c>
      <c r="G77" t="s" s="37">
        <v>68</v>
      </c>
      <c r="H77" t="s" s="37">
        <v>449</v>
      </c>
      <c r="I77" t="s" s="37">
        <v>70</v>
      </c>
      <c r="J77" t="s" s="37">
        <v>71</v>
      </c>
      <c r="K77" t="s" s="37">
        <v>72</v>
      </c>
      <c r="L77" t="s" s="37">
        <v>73</v>
      </c>
      <c r="M77" s="38"/>
      <c r="N77" t="s" s="37">
        <v>74</v>
      </c>
      <c r="O77" t="s" s="37">
        <v>75</v>
      </c>
      <c r="P77" t="s" s="37">
        <v>76</v>
      </c>
      <c r="Q77" s="39">
        <v>0</v>
      </c>
      <c r="R77" s="39">
        <v>7</v>
      </c>
      <c r="S77" s="39">
        <v>18</v>
      </c>
      <c r="T77" t="s" s="37">
        <v>77</v>
      </c>
      <c r="U77" t="s" s="37">
        <v>448</v>
      </c>
      <c r="V77" t="s" s="37">
        <v>438</v>
      </c>
      <c r="W77" t="s" s="37">
        <v>450</v>
      </c>
      <c r="X77" t="s" s="40">
        <v>81</v>
      </c>
      <c r="Y77" s="30"/>
    </row>
    <row r="78" ht="62.5" customHeight="1">
      <c r="A78" t="s" s="31">
        <v>451</v>
      </c>
      <c r="B78" t="s" s="32">
        <v>452</v>
      </c>
      <c r="C78" t="s" s="32">
        <v>65</v>
      </c>
      <c r="D78" t="s" s="32">
        <v>32</v>
      </c>
      <c r="E78" t="s" s="32">
        <v>448</v>
      </c>
      <c r="F78" t="s" s="32">
        <v>448</v>
      </c>
      <c r="G78" t="s" s="32">
        <v>68</v>
      </c>
      <c r="H78" t="s" s="32">
        <v>453</v>
      </c>
      <c r="I78" t="s" s="32">
        <v>70</v>
      </c>
      <c r="J78" t="s" s="32">
        <v>71</v>
      </c>
      <c r="K78" t="s" s="32">
        <v>72</v>
      </c>
      <c r="L78" t="s" s="32">
        <v>73</v>
      </c>
      <c r="M78" s="33"/>
      <c r="N78" t="s" s="32">
        <v>74</v>
      </c>
      <c r="O78" t="s" s="32">
        <v>75</v>
      </c>
      <c r="P78" t="s" s="32">
        <v>76</v>
      </c>
      <c r="Q78" s="34">
        <v>0</v>
      </c>
      <c r="R78" s="34">
        <v>7</v>
      </c>
      <c r="S78" s="34">
        <v>18</v>
      </c>
      <c r="T78" t="s" s="32">
        <v>77</v>
      </c>
      <c r="U78" t="s" s="32">
        <v>448</v>
      </c>
      <c r="V78" t="s" s="32">
        <v>438</v>
      </c>
      <c r="W78" t="s" s="32">
        <v>450</v>
      </c>
      <c r="X78" t="s" s="35">
        <v>81</v>
      </c>
      <c r="Y78" s="30"/>
    </row>
    <row r="79" ht="62.5" customHeight="1">
      <c r="A79" t="s" s="36">
        <v>454</v>
      </c>
      <c r="B79" t="s" s="37">
        <v>455</v>
      </c>
      <c r="C79" t="s" s="37">
        <v>65</v>
      </c>
      <c r="D79" t="s" s="37">
        <v>32</v>
      </c>
      <c r="E79" t="s" s="37">
        <v>448</v>
      </c>
      <c r="F79" t="s" s="37">
        <v>448</v>
      </c>
      <c r="G79" t="s" s="37">
        <v>68</v>
      </c>
      <c r="H79" t="s" s="37">
        <v>456</v>
      </c>
      <c r="I79" t="s" s="37">
        <v>70</v>
      </c>
      <c r="J79" t="s" s="37">
        <v>71</v>
      </c>
      <c r="K79" t="s" s="37">
        <v>72</v>
      </c>
      <c r="L79" t="s" s="37">
        <v>73</v>
      </c>
      <c r="M79" s="38"/>
      <c r="N79" t="s" s="37">
        <v>74</v>
      </c>
      <c r="O79" t="s" s="37">
        <v>75</v>
      </c>
      <c r="P79" t="s" s="37">
        <v>76</v>
      </c>
      <c r="Q79" s="39">
        <v>0</v>
      </c>
      <c r="R79" s="39">
        <v>7</v>
      </c>
      <c r="S79" s="39">
        <v>18</v>
      </c>
      <c r="T79" t="s" s="37">
        <v>77</v>
      </c>
      <c r="U79" t="s" s="37">
        <v>448</v>
      </c>
      <c r="V79" t="s" s="37">
        <v>438</v>
      </c>
      <c r="W79" t="s" s="37">
        <v>450</v>
      </c>
      <c r="X79" t="s" s="40">
        <v>81</v>
      </c>
      <c r="Y79" s="30"/>
    </row>
    <row r="80" ht="62.5" customHeight="1">
      <c r="A80" t="s" s="31">
        <v>457</v>
      </c>
      <c r="B80" t="s" s="32">
        <v>458</v>
      </c>
      <c r="C80" t="s" s="32">
        <v>65</v>
      </c>
      <c r="D80" t="s" s="32">
        <v>32</v>
      </c>
      <c r="E80" t="s" s="32">
        <v>459</v>
      </c>
      <c r="F80" t="s" s="32">
        <v>459</v>
      </c>
      <c r="G80" t="s" s="32">
        <v>68</v>
      </c>
      <c r="H80" t="s" s="32">
        <v>460</v>
      </c>
      <c r="I80" t="s" s="32">
        <v>70</v>
      </c>
      <c r="J80" t="s" s="32">
        <v>71</v>
      </c>
      <c r="K80" t="s" s="32">
        <v>72</v>
      </c>
      <c r="L80" t="s" s="32">
        <v>73</v>
      </c>
      <c r="M80" s="33"/>
      <c r="N80" t="s" s="32">
        <v>74</v>
      </c>
      <c r="O80" t="s" s="32">
        <v>75</v>
      </c>
      <c r="P80" t="s" s="32">
        <v>76</v>
      </c>
      <c r="Q80" s="34">
        <v>0</v>
      </c>
      <c r="R80" s="34">
        <v>7</v>
      </c>
      <c r="S80" s="34">
        <v>18</v>
      </c>
      <c r="T80" t="s" s="32">
        <v>77</v>
      </c>
      <c r="U80" t="s" s="32">
        <v>459</v>
      </c>
      <c r="V80" t="s" s="32">
        <v>438</v>
      </c>
      <c r="W80" t="s" s="32">
        <v>461</v>
      </c>
      <c r="X80" t="s" s="35">
        <v>81</v>
      </c>
      <c r="Y80" s="30"/>
    </row>
    <row r="81" ht="62.5" customHeight="1">
      <c r="A81" t="s" s="36">
        <v>462</v>
      </c>
      <c r="B81" t="s" s="37">
        <v>463</v>
      </c>
      <c r="C81" t="s" s="37">
        <v>65</v>
      </c>
      <c r="D81" t="s" s="37">
        <v>32</v>
      </c>
      <c r="E81" t="s" s="37">
        <v>459</v>
      </c>
      <c r="F81" t="s" s="37">
        <v>459</v>
      </c>
      <c r="G81" t="s" s="37">
        <v>68</v>
      </c>
      <c r="H81" t="s" s="37">
        <v>464</v>
      </c>
      <c r="I81" t="s" s="37">
        <v>70</v>
      </c>
      <c r="J81" t="s" s="37">
        <v>71</v>
      </c>
      <c r="K81" t="s" s="37">
        <v>72</v>
      </c>
      <c r="L81" t="s" s="37">
        <v>73</v>
      </c>
      <c r="M81" s="38"/>
      <c r="N81" t="s" s="37">
        <v>74</v>
      </c>
      <c r="O81" t="s" s="37">
        <v>75</v>
      </c>
      <c r="P81" t="s" s="37">
        <v>76</v>
      </c>
      <c r="Q81" s="39">
        <v>0</v>
      </c>
      <c r="R81" s="39">
        <v>7</v>
      </c>
      <c r="S81" s="39">
        <v>18</v>
      </c>
      <c r="T81" t="s" s="37">
        <v>77</v>
      </c>
      <c r="U81" t="s" s="37">
        <v>459</v>
      </c>
      <c r="V81" t="s" s="37">
        <v>438</v>
      </c>
      <c r="W81" t="s" s="37">
        <v>461</v>
      </c>
      <c r="X81" t="s" s="40">
        <v>81</v>
      </c>
      <c r="Y81" s="30"/>
    </row>
    <row r="82" ht="62.5" customHeight="1">
      <c r="A82" t="s" s="31">
        <v>465</v>
      </c>
      <c r="B82" t="s" s="32">
        <v>466</v>
      </c>
      <c r="C82" t="s" s="32">
        <v>65</v>
      </c>
      <c r="D82" t="s" s="32">
        <v>32</v>
      </c>
      <c r="E82" t="s" s="32">
        <v>459</v>
      </c>
      <c r="F82" t="s" s="32">
        <v>459</v>
      </c>
      <c r="G82" t="s" s="32">
        <v>68</v>
      </c>
      <c r="H82" t="s" s="32">
        <v>467</v>
      </c>
      <c r="I82" t="s" s="32">
        <v>70</v>
      </c>
      <c r="J82" t="s" s="32">
        <v>71</v>
      </c>
      <c r="K82" t="s" s="32">
        <v>72</v>
      </c>
      <c r="L82" t="s" s="32">
        <v>73</v>
      </c>
      <c r="M82" s="33"/>
      <c r="N82" t="s" s="32">
        <v>74</v>
      </c>
      <c r="O82" t="s" s="32">
        <v>75</v>
      </c>
      <c r="P82" t="s" s="32">
        <v>76</v>
      </c>
      <c r="Q82" s="34">
        <v>0</v>
      </c>
      <c r="R82" s="34">
        <v>7</v>
      </c>
      <c r="S82" s="34">
        <v>18</v>
      </c>
      <c r="T82" t="s" s="32">
        <v>77</v>
      </c>
      <c r="U82" t="s" s="32">
        <v>459</v>
      </c>
      <c r="V82" t="s" s="32">
        <v>438</v>
      </c>
      <c r="W82" t="s" s="32">
        <v>461</v>
      </c>
      <c r="X82" t="s" s="35">
        <v>81</v>
      </c>
      <c r="Y82" s="30"/>
    </row>
    <row r="83" ht="62.5" customHeight="1">
      <c r="A83" t="s" s="36">
        <v>468</v>
      </c>
      <c r="B83" t="s" s="37">
        <v>469</v>
      </c>
      <c r="C83" t="s" s="37">
        <v>65</v>
      </c>
      <c r="D83" t="s" s="37">
        <v>38</v>
      </c>
      <c r="E83" t="s" s="37">
        <v>470</v>
      </c>
      <c r="F83" t="s" s="37">
        <v>470</v>
      </c>
      <c r="G83" t="s" s="37">
        <v>68</v>
      </c>
      <c r="H83" t="s" s="37">
        <v>471</v>
      </c>
      <c r="I83" t="s" s="37">
        <v>70</v>
      </c>
      <c r="J83" t="s" s="37">
        <v>71</v>
      </c>
      <c r="K83" t="s" s="37">
        <v>72</v>
      </c>
      <c r="L83" t="s" s="37">
        <v>73</v>
      </c>
      <c r="M83" s="38"/>
      <c r="N83" t="s" s="37">
        <v>74</v>
      </c>
      <c r="O83" t="s" s="37">
        <v>75</v>
      </c>
      <c r="P83" t="s" s="37">
        <v>76</v>
      </c>
      <c r="Q83" s="39">
        <v>0</v>
      </c>
      <c r="R83" s="39">
        <v>7</v>
      </c>
      <c r="S83" s="39">
        <v>18</v>
      </c>
      <c r="T83" t="s" s="37">
        <v>77</v>
      </c>
      <c r="U83" t="s" s="37">
        <v>470</v>
      </c>
      <c r="V83" t="s" s="37">
        <v>472</v>
      </c>
      <c r="W83" t="s" s="37">
        <v>473</v>
      </c>
      <c r="X83" t="s" s="40">
        <v>81</v>
      </c>
      <c r="Y83" s="30"/>
    </row>
    <row r="84" ht="62.5" customHeight="1">
      <c r="A84" t="s" s="31">
        <v>474</v>
      </c>
      <c r="B84" t="s" s="32">
        <v>475</v>
      </c>
      <c r="C84" t="s" s="32">
        <v>65</v>
      </c>
      <c r="D84" t="s" s="32">
        <v>38</v>
      </c>
      <c r="E84" t="s" s="32">
        <v>470</v>
      </c>
      <c r="F84" t="s" s="32">
        <v>470</v>
      </c>
      <c r="G84" t="s" s="32">
        <v>68</v>
      </c>
      <c r="H84" t="s" s="32">
        <v>476</v>
      </c>
      <c r="I84" t="s" s="32">
        <v>70</v>
      </c>
      <c r="J84" t="s" s="32">
        <v>71</v>
      </c>
      <c r="K84" t="s" s="32">
        <v>72</v>
      </c>
      <c r="L84" t="s" s="32">
        <v>73</v>
      </c>
      <c r="M84" s="33"/>
      <c r="N84" t="s" s="32">
        <v>74</v>
      </c>
      <c r="O84" t="s" s="32">
        <v>75</v>
      </c>
      <c r="P84" t="s" s="32">
        <v>76</v>
      </c>
      <c r="Q84" s="34">
        <v>0</v>
      </c>
      <c r="R84" s="34">
        <v>7</v>
      </c>
      <c r="S84" s="34">
        <v>18</v>
      </c>
      <c r="T84" t="s" s="32">
        <v>77</v>
      </c>
      <c r="U84" t="s" s="32">
        <v>470</v>
      </c>
      <c r="V84" t="s" s="32">
        <v>472</v>
      </c>
      <c r="W84" t="s" s="32">
        <v>473</v>
      </c>
      <c r="X84" t="s" s="35">
        <v>81</v>
      </c>
      <c r="Y84" s="30"/>
    </row>
    <row r="85" ht="62.5" customHeight="1">
      <c r="A85" t="s" s="36">
        <v>477</v>
      </c>
      <c r="B85" t="s" s="37">
        <v>478</v>
      </c>
      <c r="C85" t="s" s="37">
        <v>65</v>
      </c>
      <c r="D85" t="s" s="37">
        <v>38</v>
      </c>
      <c r="E85" t="s" s="37">
        <v>470</v>
      </c>
      <c r="F85" t="s" s="37">
        <v>470</v>
      </c>
      <c r="G85" t="s" s="37">
        <v>68</v>
      </c>
      <c r="H85" t="s" s="37">
        <v>479</v>
      </c>
      <c r="I85" t="s" s="37">
        <v>70</v>
      </c>
      <c r="J85" t="s" s="37">
        <v>71</v>
      </c>
      <c r="K85" t="s" s="37">
        <v>72</v>
      </c>
      <c r="L85" t="s" s="37">
        <v>73</v>
      </c>
      <c r="M85" s="38"/>
      <c r="N85" t="s" s="37">
        <v>74</v>
      </c>
      <c r="O85" t="s" s="37">
        <v>81</v>
      </c>
      <c r="P85" t="s" s="37">
        <v>76</v>
      </c>
      <c r="Q85" s="39">
        <v>0</v>
      </c>
      <c r="R85" s="39">
        <v>7</v>
      </c>
      <c r="S85" s="39">
        <v>18</v>
      </c>
      <c r="T85" t="s" s="37">
        <v>77</v>
      </c>
      <c r="U85" t="s" s="37">
        <v>470</v>
      </c>
      <c r="V85" t="s" s="37">
        <v>472</v>
      </c>
      <c r="W85" t="s" s="37">
        <v>473</v>
      </c>
      <c r="X85" t="s" s="40">
        <v>81</v>
      </c>
      <c r="Y85" s="30"/>
    </row>
    <row r="86" ht="14.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N30"/>
  <sheetViews>
    <sheetView workbookViewId="0" showGridLines="0" defaultGridColor="1"/>
  </sheetViews>
  <sheetFormatPr defaultColWidth="8.83333" defaultRowHeight="15" customHeight="1" outlineLevelRow="0" outlineLevelCol="0"/>
  <cols>
    <col min="1" max="3" width="22" style="43" customWidth="1"/>
    <col min="4" max="4" width="70" style="43" customWidth="1"/>
    <col min="5" max="8" width="26" style="43" customWidth="1"/>
    <col min="9" max="9" width="14.1562" style="43" customWidth="1"/>
    <col min="10" max="10" width="16.3281" style="43" customWidth="1"/>
    <col min="11" max="11" width="16.0312" style="43" customWidth="1"/>
    <col min="12" max="12" width="32.2656" style="43" customWidth="1"/>
    <col min="13" max="13" width="52" style="43" customWidth="1"/>
    <col min="14" max="14" width="8.85156" style="43" customWidth="1"/>
    <col min="15" max="16384" width="8.85156" style="43" customWidth="1"/>
  </cols>
  <sheetData>
    <row r="1" ht="34" customHeight="1">
      <c r="A1" t="s" s="27">
        <v>30</v>
      </c>
      <c r="B1" t="s" s="28">
        <v>43</v>
      </c>
      <c r="C1" t="s" s="28">
        <v>44</v>
      </c>
      <c r="D1" t="s" s="28">
        <v>481</v>
      </c>
      <c r="E1" t="s" s="28">
        <v>482</v>
      </c>
      <c r="F1" t="s" s="28">
        <v>483</v>
      </c>
      <c r="G1" t="s" s="28">
        <v>484</v>
      </c>
      <c r="H1" t="s" s="28">
        <v>485</v>
      </c>
      <c r="I1" t="s" s="28">
        <v>486</v>
      </c>
      <c r="J1" t="s" s="28">
        <v>487</v>
      </c>
      <c r="K1" t="s" s="28">
        <v>488</v>
      </c>
      <c r="L1" t="s" s="28">
        <v>489</v>
      </c>
      <c r="M1" t="s" s="29">
        <v>490</v>
      </c>
      <c r="N1" s="30"/>
    </row>
    <row r="2" ht="26.5" customHeight="1">
      <c r="A2" t="s" s="31">
        <v>32</v>
      </c>
      <c r="B2" t="s" s="32">
        <v>459</v>
      </c>
      <c r="C2" t="s" s="32">
        <v>459</v>
      </c>
      <c r="D2" t="s" s="32">
        <v>491</v>
      </c>
      <c r="E2" t="s" s="32">
        <v>492</v>
      </c>
      <c r="F2" t="s" s="32">
        <v>68</v>
      </c>
      <c r="G2" t="s" s="32">
        <v>493</v>
      </c>
      <c r="H2" t="s" s="32">
        <v>494</v>
      </c>
      <c r="I2" t="s" s="32">
        <v>495</v>
      </c>
      <c r="J2" t="s" s="32">
        <v>496</v>
      </c>
      <c r="K2" t="s" s="32">
        <v>497</v>
      </c>
      <c r="L2" t="s" s="32">
        <v>498</v>
      </c>
      <c r="M2" t="s" s="35">
        <v>499</v>
      </c>
      <c r="N2" s="30"/>
    </row>
    <row r="3" ht="26.5" customHeight="1">
      <c r="A3" t="s" s="36">
        <v>32</v>
      </c>
      <c r="B3" t="s" s="37">
        <v>436</v>
      </c>
      <c r="C3" t="s" s="37">
        <v>436</v>
      </c>
      <c r="D3" t="s" s="37">
        <v>500</v>
      </c>
      <c r="E3" t="s" s="37">
        <v>501</v>
      </c>
      <c r="F3" t="s" s="37">
        <v>68</v>
      </c>
      <c r="G3" t="s" s="37">
        <v>493</v>
      </c>
      <c r="H3" t="s" s="37">
        <v>494</v>
      </c>
      <c r="I3" t="s" s="37">
        <v>495</v>
      </c>
      <c r="J3" t="s" s="37">
        <v>496</v>
      </c>
      <c r="K3" t="s" s="37">
        <v>497</v>
      </c>
      <c r="L3" t="s" s="37">
        <v>498</v>
      </c>
      <c r="M3" t="s" s="40">
        <v>499</v>
      </c>
      <c r="N3" s="30"/>
    </row>
    <row r="4" ht="26.5" customHeight="1">
      <c r="A4" t="s" s="31">
        <v>32</v>
      </c>
      <c r="B4" t="s" s="32">
        <v>448</v>
      </c>
      <c r="C4" t="s" s="32">
        <v>448</v>
      </c>
      <c r="D4" t="s" s="32">
        <v>502</v>
      </c>
      <c r="E4" t="s" s="32">
        <v>503</v>
      </c>
      <c r="F4" t="s" s="32">
        <v>68</v>
      </c>
      <c r="G4" t="s" s="32">
        <v>493</v>
      </c>
      <c r="H4" t="s" s="32">
        <v>494</v>
      </c>
      <c r="I4" t="s" s="32">
        <v>495</v>
      </c>
      <c r="J4" t="s" s="32">
        <v>496</v>
      </c>
      <c r="K4" t="s" s="32">
        <v>497</v>
      </c>
      <c r="L4" t="s" s="32">
        <v>498</v>
      </c>
      <c r="M4" t="s" s="35">
        <v>499</v>
      </c>
      <c r="N4" s="30"/>
    </row>
    <row r="5" ht="26.5" customHeight="1">
      <c r="A5" t="s" s="36">
        <v>33</v>
      </c>
      <c r="B5" t="s" s="37">
        <v>193</v>
      </c>
      <c r="C5" t="s" s="37">
        <v>193</v>
      </c>
      <c r="D5" t="s" s="37">
        <v>504</v>
      </c>
      <c r="E5" t="s" s="37">
        <v>505</v>
      </c>
      <c r="F5" t="s" s="37">
        <v>68</v>
      </c>
      <c r="G5" t="s" s="37">
        <v>493</v>
      </c>
      <c r="H5" t="s" s="37">
        <v>494</v>
      </c>
      <c r="I5" t="s" s="37">
        <v>495</v>
      </c>
      <c r="J5" t="s" s="37">
        <v>496</v>
      </c>
      <c r="K5" t="s" s="37">
        <v>497</v>
      </c>
      <c r="L5" t="s" s="37">
        <v>498</v>
      </c>
      <c r="M5" t="s" s="40">
        <v>506</v>
      </c>
      <c r="N5" s="30"/>
    </row>
    <row r="6" ht="26.5" customHeight="1">
      <c r="A6" t="s" s="31">
        <v>33</v>
      </c>
      <c r="B6" t="s" s="32">
        <v>169</v>
      </c>
      <c r="C6" t="s" s="32">
        <v>169</v>
      </c>
      <c r="D6" t="s" s="32">
        <v>507</v>
      </c>
      <c r="E6" t="s" s="32">
        <v>508</v>
      </c>
      <c r="F6" t="s" s="32">
        <v>68</v>
      </c>
      <c r="G6" t="s" s="32">
        <v>493</v>
      </c>
      <c r="H6" t="s" s="32">
        <v>494</v>
      </c>
      <c r="I6" t="s" s="32">
        <v>495</v>
      </c>
      <c r="J6" t="s" s="32">
        <v>496</v>
      </c>
      <c r="K6" t="s" s="32">
        <v>497</v>
      </c>
      <c r="L6" t="s" s="32">
        <v>498</v>
      </c>
      <c r="M6" t="s" s="35">
        <v>506</v>
      </c>
      <c r="N6" s="30"/>
    </row>
    <row r="7" ht="26.5" customHeight="1">
      <c r="A7" t="s" s="36">
        <v>33</v>
      </c>
      <c r="B7" t="s" s="37">
        <v>181</v>
      </c>
      <c r="C7" t="s" s="37">
        <v>181</v>
      </c>
      <c r="D7" t="s" s="37">
        <v>509</v>
      </c>
      <c r="E7" t="s" s="37">
        <v>510</v>
      </c>
      <c r="F7" t="s" s="37">
        <v>68</v>
      </c>
      <c r="G7" t="s" s="37">
        <v>493</v>
      </c>
      <c r="H7" t="s" s="37">
        <v>494</v>
      </c>
      <c r="I7" t="s" s="37">
        <v>495</v>
      </c>
      <c r="J7" t="s" s="37">
        <v>496</v>
      </c>
      <c r="K7" t="s" s="37">
        <v>497</v>
      </c>
      <c r="L7" t="s" s="37">
        <v>498</v>
      </c>
      <c r="M7" t="s" s="40">
        <v>506</v>
      </c>
      <c r="N7" s="30"/>
    </row>
    <row r="8" ht="26.5" customHeight="1">
      <c r="A8" t="s" s="31">
        <v>33</v>
      </c>
      <c r="B8" t="s" s="32">
        <v>205</v>
      </c>
      <c r="C8" t="s" s="32">
        <v>205</v>
      </c>
      <c r="D8" t="s" s="32">
        <v>511</v>
      </c>
      <c r="E8" t="s" s="32">
        <v>512</v>
      </c>
      <c r="F8" t="s" s="32">
        <v>68</v>
      </c>
      <c r="G8" t="s" s="32">
        <v>493</v>
      </c>
      <c r="H8" t="s" s="32">
        <v>494</v>
      </c>
      <c r="I8" t="s" s="32">
        <v>495</v>
      </c>
      <c r="J8" t="s" s="32">
        <v>496</v>
      </c>
      <c r="K8" t="s" s="32">
        <v>497</v>
      </c>
      <c r="L8" t="s" s="32">
        <v>498</v>
      </c>
      <c r="M8" t="s" s="35">
        <v>506</v>
      </c>
      <c r="N8" s="30"/>
    </row>
    <row r="9" ht="26.5" customHeight="1">
      <c r="A9" t="s" s="36">
        <v>33</v>
      </c>
      <c r="B9" t="s" s="37">
        <v>156</v>
      </c>
      <c r="C9" t="s" s="37">
        <v>156</v>
      </c>
      <c r="D9" t="s" s="37">
        <v>513</v>
      </c>
      <c r="E9" t="s" s="37">
        <v>514</v>
      </c>
      <c r="F9" t="s" s="37">
        <v>68</v>
      </c>
      <c r="G9" t="s" s="37">
        <v>493</v>
      </c>
      <c r="H9" t="s" s="37">
        <v>494</v>
      </c>
      <c r="I9" t="s" s="37">
        <v>495</v>
      </c>
      <c r="J9" t="s" s="37">
        <v>496</v>
      </c>
      <c r="K9" t="s" s="37">
        <v>497</v>
      </c>
      <c r="L9" t="s" s="37">
        <v>498</v>
      </c>
      <c r="M9" t="s" s="40">
        <v>506</v>
      </c>
      <c r="N9" s="30"/>
    </row>
    <row r="10" ht="26.5" customHeight="1">
      <c r="A10" t="s" s="31">
        <v>34</v>
      </c>
      <c r="B10" t="s" s="32">
        <v>295</v>
      </c>
      <c r="C10" t="s" s="32">
        <v>295</v>
      </c>
      <c r="D10" t="s" s="32">
        <v>515</v>
      </c>
      <c r="E10" t="s" s="32">
        <v>516</v>
      </c>
      <c r="F10" t="s" s="32">
        <v>218</v>
      </c>
      <c r="G10" t="s" s="32">
        <v>517</v>
      </c>
      <c r="H10" t="s" s="32">
        <v>518</v>
      </c>
      <c r="I10" t="s" s="32">
        <v>495</v>
      </c>
      <c r="J10" t="s" s="32">
        <v>496</v>
      </c>
      <c r="K10" t="s" s="32">
        <v>497</v>
      </c>
      <c r="L10" t="s" s="32">
        <v>498</v>
      </c>
      <c r="M10" t="s" s="35">
        <v>519</v>
      </c>
      <c r="N10" s="30"/>
    </row>
    <row r="11" ht="26.5" customHeight="1">
      <c r="A11" t="s" s="36">
        <v>34</v>
      </c>
      <c r="B11" t="s" s="37">
        <v>245</v>
      </c>
      <c r="C11" t="s" s="37">
        <v>245</v>
      </c>
      <c r="D11" t="s" s="37">
        <v>520</v>
      </c>
      <c r="E11" t="s" s="37">
        <v>521</v>
      </c>
      <c r="F11" t="s" s="37">
        <v>218</v>
      </c>
      <c r="G11" t="s" s="37">
        <v>517</v>
      </c>
      <c r="H11" t="s" s="37">
        <v>518</v>
      </c>
      <c r="I11" t="s" s="37">
        <v>495</v>
      </c>
      <c r="J11" t="s" s="37">
        <v>496</v>
      </c>
      <c r="K11" t="s" s="37">
        <v>497</v>
      </c>
      <c r="L11" t="s" s="37">
        <v>498</v>
      </c>
      <c r="M11" t="s" s="40">
        <v>519</v>
      </c>
      <c r="N11" s="30"/>
    </row>
    <row r="12" ht="26.5" customHeight="1">
      <c r="A12" t="s" s="31">
        <v>34</v>
      </c>
      <c r="B12" t="s" s="32">
        <v>217</v>
      </c>
      <c r="C12" t="s" s="32">
        <v>217</v>
      </c>
      <c r="D12" t="s" s="32">
        <v>522</v>
      </c>
      <c r="E12" t="s" s="32">
        <v>523</v>
      </c>
      <c r="F12" t="s" s="32">
        <v>218</v>
      </c>
      <c r="G12" t="s" s="32">
        <v>517</v>
      </c>
      <c r="H12" t="s" s="32">
        <v>518</v>
      </c>
      <c r="I12" t="s" s="32">
        <v>495</v>
      </c>
      <c r="J12" t="s" s="32">
        <v>496</v>
      </c>
      <c r="K12" t="s" s="32">
        <v>497</v>
      </c>
      <c r="L12" t="s" s="32">
        <v>498</v>
      </c>
      <c r="M12" t="s" s="35">
        <v>519</v>
      </c>
      <c r="N12" s="30"/>
    </row>
    <row r="13" ht="26.5" customHeight="1">
      <c r="A13" t="s" s="36">
        <v>34</v>
      </c>
      <c r="B13" t="s" s="37">
        <v>317</v>
      </c>
      <c r="C13" t="s" s="37">
        <v>317</v>
      </c>
      <c r="D13" t="s" s="37">
        <v>524</v>
      </c>
      <c r="E13" t="s" s="37">
        <v>525</v>
      </c>
      <c r="F13" t="s" s="37">
        <v>218</v>
      </c>
      <c r="G13" t="s" s="37">
        <v>517</v>
      </c>
      <c r="H13" t="s" s="37">
        <v>518</v>
      </c>
      <c r="I13" t="s" s="37">
        <v>495</v>
      </c>
      <c r="J13" t="s" s="37">
        <v>496</v>
      </c>
      <c r="K13" t="s" s="37">
        <v>497</v>
      </c>
      <c r="L13" t="s" s="37">
        <v>498</v>
      </c>
      <c r="M13" t="s" s="40">
        <v>519</v>
      </c>
      <c r="N13" s="30"/>
    </row>
    <row r="14" ht="26.5" customHeight="1">
      <c r="A14" t="s" s="31">
        <v>34</v>
      </c>
      <c r="B14" t="s" s="32">
        <v>271</v>
      </c>
      <c r="C14" t="s" s="32">
        <v>271</v>
      </c>
      <c r="D14" t="s" s="32">
        <v>526</v>
      </c>
      <c r="E14" t="s" s="32">
        <v>527</v>
      </c>
      <c r="F14" t="s" s="32">
        <v>218</v>
      </c>
      <c r="G14" t="s" s="32">
        <v>517</v>
      </c>
      <c r="H14" t="s" s="32">
        <v>518</v>
      </c>
      <c r="I14" t="s" s="32">
        <v>495</v>
      </c>
      <c r="J14" t="s" s="32">
        <v>496</v>
      </c>
      <c r="K14" t="s" s="32">
        <v>497</v>
      </c>
      <c r="L14" t="s" s="32">
        <v>498</v>
      </c>
      <c r="M14" t="s" s="35">
        <v>519</v>
      </c>
      <c r="N14" s="30"/>
    </row>
    <row r="15" ht="26.5" customHeight="1">
      <c r="A15" t="s" s="36">
        <v>35</v>
      </c>
      <c r="B15" t="s" s="37">
        <v>351</v>
      </c>
      <c r="C15" t="s" s="37">
        <v>351</v>
      </c>
      <c r="D15" t="s" s="37">
        <v>528</v>
      </c>
      <c r="E15" t="s" s="37">
        <v>529</v>
      </c>
      <c r="F15" t="s" s="37">
        <v>68</v>
      </c>
      <c r="G15" t="s" s="37">
        <v>493</v>
      </c>
      <c r="H15" t="s" s="37">
        <v>494</v>
      </c>
      <c r="I15" t="s" s="37">
        <v>495</v>
      </c>
      <c r="J15" t="s" s="37">
        <v>496</v>
      </c>
      <c r="K15" t="s" s="37">
        <v>497</v>
      </c>
      <c r="L15" t="s" s="37">
        <v>498</v>
      </c>
      <c r="M15" t="s" s="40">
        <v>530</v>
      </c>
      <c r="N15" s="30"/>
    </row>
    <row r="16" ht="26.5" customHeight="1">
      <c r="A16" t="s" s="31">
        <v>35</v>
      </c>
      <c r="B16" t="s" s="32">
        <v>375</v>
      </c>
      <c r="C16" t="s" s="32">
        <v>375</v>
      </c>
      <c r="D16" t="s" s="32">
        <v>531</v>
      </c>
      <c r="E16" t="s" s="32">
        <v>532</v>
      </c>
      <c r="F16" t="s" s="32">
        <v>68</v>
      </c>
      <c r="G16" t="s" s="32">
        <v>493</v>
      </c>
      <c r="H16" t="s" s="32">
        <v>494</v>
      </c>
      <c r="I16" t="s" s="32">
        <v>495</v>
      </c>
      <c r="J16" t="s" s="32">
        <v>496</v>
      </c>
      <c r="K16" t="s" s="32">
        <v>497</v>
      </c>
      <c r="L16" t="s" s="32">
        <v>498</v>
      </c>
      <c r="M16" t="s" s="35">
        <v>530</v>
      </c>
      <c r="N16" s="30"/>
    </row>
    <row r="17" ht="26.5" customHeight="1">
      <c r="A17" t="s" s="36">
        <v>35</v>
      </c>
      <c r="B17" t="s" s="37">
        <v>363</v>
      </c>
      <c r="C17" t="s" s="37">
        <v>363</v>
      </c>
      <c r="D17" t="s" s="37">
        <v>533</v>
      </c>
      <c r="E17" t="s" s="37">
        <v>534</v>
      </c>
      <c r="F17" t="s" s="37">
        <v>68</v>
      </c>
      <c r="G17" t="s" s="37">
        <v>493</v>
      </c>
      <c r="H17" t="s" s="37">
        <v>494</v>
      </c>
      <c r="I17" t="s" s="37">
        <v>495</v>
      </c>
      <c r="J17" t="s" s="37">
        <v>496</v>
      </c>
      <c r="K17" t="s" s="37">
        <v>497</v>
      </c>
      <c r="L17" t="s" s="37">
        <v>498</v>
      </c>
      <c r="M17" t="s" s="40">
        <v>530</v>
      </c>
      <c r="N17" s="30"/>
    </row>
    <row r="18" ht="26.5" customHeight="1">
      <c r="A18" t="s" s="31">
        <v>35</v>
      </c>
      <c r="B18" t="s" s="32">
        <v>338</v>
      </c>
      <c r="C18" t="s" s="32">
        <v>338</v>
      </c>
      <c r="D18" t="s" s="32">
        <v>535</v>
      </c>
      <c r="E18" t="s" s="32">
        <v>536</v>
      </c>
      <c r="F18" t="s" s="32">
        <v>68</v>
      </c>
      <c r="G18" t="s" s="32">
        <v>493</v>
      </c>
      <c r="H18" t="s" s="32">
        <v>494</v>
      </c>
      <c r="I18" t="s" s="32">
        <v>495</v>
      </c>
      <c r="J18" t="s" s="32">
        <v>496</v>
      </c>
      <c r="K18" t="s" s="32">
        <v>497</v>
      </c>
      <c r="L18" t="s" s="32">
        <v>498</v>
      </c>
      <c r="M18" t="s" s="35">
        <v>530</v>
      </c>
      <c r="N18" s="30"/>
    </row>
    <row r="19" ht="26.5" customHeight="1">
      <c r="A19" t="s" s="36">
        <v>36</v>
      </c>
      <c r="B19" t="s" s="37">
        <v>400</v>
      </c>
      <c r="C19" t="s" s="37">
        <v>400</v>
      </c>
      <c r="D19" t="s" s="37">
        <v>537</v>
      </c>
      <c r="E19" t="s" s="37">
        <v>538</v>
      </c>
      <c r="F19" t="s" s="37">
        <v>68</v>
      </c>
      <c r="G19" t="s" s="37">
        <v>493</v>
      </c>
      <c r="H19" t="s" s="37">
        <v>494</v>
      </c>
      <c r="I19" t="s" s="37">
        <v>495</v>
      </c>
      <c r="J19" t="s" s="37">
        <v>496</v>
      </c>
      <c r="K19" t="s" s="37">
        <v>497</v>
      </c>
      <c r="L19" t="s" s="37">
        <v>498</v>
      </c>
      <c r="M19" t="s" s="40">
        <v>539</v>
      </c>
      <c r="N19" s="30"/>
    </row>
    <row r="20" ht="26.5" customHeight="1">
      <c r="A20" t="s" s="31">
        <v>36</v>
      </c>
      <c r="B20" t="s" s="32">
        <v>412</v>
      </c>
      <c r="C20" t="s" s="32">
        <v>412</v>
      </c>
      <c r="D20" t="s" s="32">
        <v>540</v>
      </c>
      <c r="E20" t="s" s="32">
        <v>541</v>
      </c>
      <c r="F20" t="s" s="32">
        <v>68</v>
      </c>
      <c r="G20" t="s" s="32">
        <v>493</v>
      </c>
      <c r="H20" t="s" s="32">
        <v>494</v>
      </c>
      <c r="I20" t="s" s="32">
        <v>495</v>
      </c>
      <c r="J20" t="s" s="32">
        <v>496</v>
      </c>
      <c r="K20" t="s" s="32">
        <v>497</v>
      </c>
      <c r="L20" t="s" s="32">
        <v>498</v>
      </c>
      <c r="M20" t="s" s="35">
        <v>539</v>
      </c>
      <c r="N20" s="30"/>
    </row>
    <row r="21" ht="26.5" customHeight="1">
      <c r="A21" t="s" s="36">
        <v>36</v>
      </c>
      <c r="B21" t="s" s="37">
        <v>424</v>
      </c>
      <c r="C21" t="s" s="37">
        <v>424</v>
      </c>
      <c r="D21" t="s" s="37">
        <v>542</v>
      </c>
      <c r="E21" t="s" s="37">
        <v>543</v>
      </c>
      <c r="F21" t="s" s="37">
        <v>68</v>
      </c>
      <c r="G21" t="s" s="37">
        <v>493</v>
      </c>
      <c r="H21" t="s" s="37">
        <v>494</v>
      </c>
      <c r="I21" t="s" s="37">
        <v>495</v>
      </c>
      <c r="J21" t="s" s="37">
        <v>496</v>
      </c>
      <c r="K21" t="s" s="37">
        <v>497</v>
      </c>
      <c r="L21" t="s" s="37">
        <v>498</v>
      </c>
      <c r="M21" t="s" s="40">
        <v>539</v>
      </c>
      <c r="N21" s="30"/>
    </row>
    <row r="22" ht="26.5" customHeight="1">
      <c r="A22" t="s" s="31">
        <v>36</v>
      </c>
      <c r="B22" t="s" s="32">
        <v>387</v>
      </c>
      <c r="C22" t="s" s="32">
        <v>387</v>
      </c>
      <c r="D22" t="s" s="32">
        <v>544</v>
      </c>
      <c r="E22" t="s" s="32">
        <v>545</v>
      </c>
      <c r="F22" t="s" s="32">
        <v>68</v>
      </c>
      <c r="G22" t="s" s="32">
        <v>493</v>
      </c>
      <c r="H22" t="s" s="32">
        <v>494</v>
      </c>
      <c r="I22" t="s" s="32">
        <v>495</v>
      </c>
      <c r="J22" t="s" s="32">
        <v>496</v>
      </c>
      <c r="K22" t="s" s="32">
        <v>497</v>
      </c>
      <c r="L22" t="s" s="32">
        <v>498</v>
      </c>
      <c r="M22" t="s" s="35">
        <v>539</v>
      </c>
      <c r="N22" s="30"/>
    </row>
    <row r="23" ht="26.5" customHeight="1">
      <c r="A23" t="s" s="36">
        <v>37</v>
      </c>
      <c r="B23" t="s" s="37">
        <v>104</v>
      </c>
      <c r="C23" t="s" s="37">
        <v>105</v>
      </c>
      <c r="D23" t="s" s="37">
        <v>546</v>
      </c>
      <c r="E23" t="s" s="37">
        <v>547</v>
      </c>
      <c r="F23" t="s" s="37">
        <v>68</v>
      </c>
      <c r="G23" t="s" s="37">
        <v>493</v>
      </c>
      <c r="H23" t="s" s="37">
        <v>494</v>
      </c>
      <c r="I23" t="s" s="37">
        <v>495</v>
      </c>
      <c r="J23" t="s" s="37">
        <v>496</v>
      </c>
      <c r="K23" t="s" s="37">
        <v>497</v>
      </c>
      <c r="L23" t="s" s="37">
        <v>498</v>
      </c>
      <c r="M23" t="s" s="40">
        <v>548</v>
      </c>
      <c r="N23" s="30"/>
    </row>
    <row r="24" ht="26.5" customHeight="1">
      <c r="A24" t="s" s="31">
        <v>37</v>
      </c>
      <c r="B24" t="s" s="32">
        <v>143</v>
      </c>
      <c r="C24" t="s" s="32">
        <v>144</v>
      </c>
      <c r="D24" t="s" s="32">
        <v>549</v>
      </c>
      <c r="E24" t="s" s="32">
        <v>550</v>
      </c>
      <c r="F24" t="s" s="32">
        <v>68</v>
      </c>
      <c r="G24" t="s" s="32">
        <v>493</v>
      </c>
      <c r="H24" t="s" s="32">
        <v>494</v>
      </c>
      <c r="I24" t="s" s="32">
        <v>495</v>
      </c>
      <c r="J24" t="s" s="32">
        <v>496</v>
      </c>
      <c r="K24" t="s" s="32">
        <v>497</v>
      </c>
      <c r="L24" t="s" s="32">
        <v>498</v>
      </c>
      <c r="M24" t="s" s="35">
        <v>548</v>
      </c>
      <c r="N24" s="30"/>
    </row>
    <row r="25" ht="26.5" customHeight="1">
      <c r="A25" t="s" s="36">
        <v>37</v>
      </c>
      <c r="B25" t="s" s="37">
        <v>130</v>
      </c>
      <c r="C25" t="s" s="37">
        <v>131</v>
      </c>
      <c r="D25" t="s" s="37">
        <v>551</v>
      </c>
      <c r="E25" t="s" s="37">
        <v>552</v>
      </c>
      <c r="F25" t="s" s="37">
        <v>68</v>
      </c>
      <c r="G25" t="s" s="37">
        <v>493</v>
      </c>
      <c r="H25" t="s" s="37">
        <v>494</v>
      </c>
      <c r="I25" t="s" s="37">
        <v>495</v>
      </c>
      <c r="J25" t="s" s="37">
        <v>496</v>
      </c>
      <c r="K25" t="s" s="37">
        <v>497</v>
      </c>
      <c r="L25" t="s" s="37">
        <v>498</v>
      </c>
      <c r="M25" t="s" s="40">
        <v>548</v>
      </c>
      <c r="N25" s="30"/>
    </row>
    <row r="26" ht="26.5" customHeight="1">
      <c r="A26" t="s" s="31">
        <v>37</v>
      </c>
      <c r="B26" t="s" s="32">
        <v>91</v>
      </c>
      <c r="C26" t="s" s="32">
        <v>92</v>
      </c>
      <c r="D26" t="s" s="32">
        <v>553</v>
      </c>
      <c r="E26" t="s" s="32">
        <v>554</v>
      </c>
      <c r="F26" t="s" s="32">
        <v>68</v>
      </c>
      <c r="G26" t="s" s="32">
        <v>493</v>
      </c>
      <c r="H26" t="s" s="32">
        <v>494</v>
      </c>
      <c r="I26" t="s" s="32">
        <v>495</v>
      </c>
      <c r="J26" t="s" s="32">
        <v>496</v>
      </c>
      <c r="K26" t="s" s="32">
        <v>497</v>
      </c>
      <c r="L26" t="s" s="32">
        <v>498</v>
      </c>
      <c r="M26" t="s" s="35">
        <v>548</v>
      </c>
      <c r="N26" s="30"/>
    </row>
    <row r="27" ht="26.5" customHeight="1">
      <c r="A27" t="s" s="36">
        <v>37</v>
      </c>
      <c r="B27" t="s" s="37">
        <v>66</v>
      </c>
      <c r="C27" t="s" s="37">
        <v>67</v>
      </c>
      <c r="D27" t="s" s="37">
        <v>555</v>
      </c>
      <c r="E27" t="s" s="37">
        <v>556</v>
      </c>
      <c r="F27" t="s" s="37">
        <v>68</v>
      </c>
      <c r="G27" t="s" s="37">
        <v>493</v>
      </c>
      <c r="H27" t="s" s="37">
        <v>494</v>
      </c>
      <c r="I27" t="s" s="37">
        <v>495</v>
      </c>
      <c r="J27" t="s" s="37">
        <v>496</v>
      </c>
      <c r="K27" t="s" s="37">
        <v>497</v>
      </c>
      <c r="L27" t="s" s="37">
        <v>498</v>
      </c>
      <c r="M27" t="s" s="40">
        <v>548</v>
      </c>
      <c r="N27" s="30"/>
    </row>
    <row r="28" ht="26.5" customHeight="1">
      <c r="A28" t="s" s="31">
        <v>37</v>
      </c>
      <c r="B28" t="s" s="32">
        <v>117</v>
      </c>
      <c r="C28" t="s" s="32">
        <v>118</v>
      </c>
      <c r="D28" t="s" s="32">
        <v>557</v>
      </c>
      <c r="E28" t="s" s="32">
        <v>558</v>
      </c>
      <c r="F28" t="s" s="32">
        <v>68</v>
      </c>
      <c r="G28" t="s" s="32">
        <v>493</v>
      </c>
      <c r="H28" t="s" s="32">
        <v>494</v>
      </c>
      <c r="I28" t="s" s="32">
        <v>495</v>
      </c>
      <c r="J28" t="s" s="32">
        <v>496</v>
      </c>
      <c r="K28" t="s" s="32">
        <v>497</v>
      </c>
      <c r="L28" t="s" s="32">
        <v>498</v>
      </c>
      <c r="M28" t="s" s="35">
        <v>548</v>
      </c>
      <c r="N28" s="30"/>
    </row>
    <row r="29" ht="26.5" customHeight="1">
      <c r="A29" t="s" s="36">
        <v>38</v>
      </c>
      <c r="B29" t="s" s="37">
        <v>470</v>
      </c>
      <c r="C29" t="s" s="37">
        <v>470</v>
      </c>
      <c r="D29" t="s" s="37">
        <v>559</v>
      </c>
      <c r="E29" t="s" s="37">
        <v>560</v>
      </c>
      <c r="F29" t="s" s="37">
        <v>68</v>
      </c>
      <c r="G29" t="s" s="37">
        <v>493</v>
      </c>
      <c r="H29" t="s" s="37">
        <v>494</v>
      </c>
      <c r="I29" t="s" s="37">
        <v>495</v>
      </c>
      <c r="J29" t="s" s="37">
        <v>496</v>
      </c>
      <c r="K29" t="s" s="37">
        <v>497</v>
      </c>
      <c r="L29" t="s" s="37">
        <v>498</v>
      </c>
      <c r="M29" t="s" s="40">
        <v>499</v>
      </c>
      <c r="N29" s="30"/>
    </row>
    <row r="30" ht="14.5" customHeight="1">
      <c r="A30" s="41"/>
      <c r="B30" s="41"/>
      <c r="C30" s="41"/>
      <c r="D30" s="41"/>
      <c r="E30" s="41"/>
      <c r="F30" s="41"/>
      <c r="G30" s="41"/>
      <c r="H30" s="41"/>
      <c r="I30" s="41"/>
      <c r="J30" s="41"/>
      <c r="K30" s="41"/>
      <c r="L30" s="41"/>
      <c r="M30" s="41"/>
      <c r="N30" s="4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R86"/>
  <sheetViews>
    <sheetView workbookViewId="0" showGridLines="0" defaultGridColor="1"/>
  </sheetViews>
  <sheetFormatPr defaultColWidth="8.83333" defaultRowHeight="15" customHeight="1" outlineLevelRow="0" outlineLevelCol="0"/>
  <cols>
    <col min="1" max="1" width="14" style="44" customWidth="1"/>
    <col min="2" max="6" width="18" style="44" customWidth="1"/>
    <col min="7" max="7" width="48" style="44" customWidth="1"/>
    <col min="8" max="9" width="18" style="44" customWidth="1"/>
    <col min="10" max="12" width="20" style="44" customWidth="1"/>
    <col min="13" max="18" width="8.85156" style="44" customWidth="1"/>
    <col min="19" max="16384" width="8.85156" style="44" customWidth="1"/>
  </cols>
  <sheetData>
    <row r="1" ht="34" customHeight="1">
      <c r="A1" t="s" s="27">
        <v>562</v>
      </c>
      <c r="B1" t="s" s="28">
        <v>40</v>
      </c>
      <c r="C1" t="s" s="28">
        <v>30</v>
      </c>
      <c r="D1" t="s" s="28">
        <v>43</v>
      </c>
      <c r="E1" t="s" s="28">
        <v>44</v>
      </c>
      <c r="F1" t="s" s="28">
        <v>45</v>
      </c>
      <c r="G1" t="s" s="28">
        <v>46</v>
      </c>
      <c r="H1" t="s" s="28">
        <v>563</v>
      </c>
      <c r="I1" t="s" s="28">
        <v>564</v>
      </c>
      <c r="J1" t="s" s="28">
        <v>565</v>
      </c>
      <c r="K1" t="s" s="28">
        <v>566</v>
      </c>
      <c r="L1" t="s" s="28">
        <v>567</v>
      </c>
      <c r="M1" t="s" s="28">
        <v>51</v>
      </c>
      <c r="N1" t="s" s="28">
        <v>53</v>
      </c>
      <c r="O1" t="s" s="28">
        <v>568</v>
      </c>
      <c r="P1" t="s" s="28">
        <v>569</v>
      </c>
      <c r="Q1" t="s" s="29">
        <v>570</v>
      </c>
      <c r="R1" s="30"/>
    </row>
    <row r="2" ht="14.5" customHeight="1">
      <c r="A2" s="45"/>
      <c r="B2" t="s" s="32">
        <v>63</v>
      </c>
      <c r="C2" t="s" s="32">
        <v>37</v>
      </c>
      <c r="D2" t="s" s="32">
        <v>66</v>
      </c>
      <c r="E2" t="s" s="32">
        <v>67</v>
      </c>
      <c r="F2" t="s" s="32">
        <v>68</v>
      </c>
      <c r="G2" t="s" s="32">
        <v>69</v>
      </c>
      <c r="H2" s="33"/>
      <c r="I2" s="46"/>
      <c r="J2" t="str" s="33" cm="1">
        <f t="array" ref="J2">IF(H2="","",IF(F2="Likert",IF(N2="Yes",((6-H2)-1)/4*100,(H2-1)/4*100),IF(UPPER(H2)=UPPER(M2),100,0)))</f>
      </c>
      <c r="K2" t="str" s="33" cm="1">
        <f t="array" ref="K2">IF(I2="","",IF(I2&lt;=O2,"Low",IF(I2&lt;=P2,"Moderate","High")))</f>
      </c>
      <c r="L2" t="str" s="33" cm="1">
        <f t="array" ref="L2">IF(K2="High","Review","")</f>
      </c>
      <c r="M2" s="33"/>
      <c r="N2" t="s" s="32">
        <v>75</v>
      </c>
      <c r="O2" s="34">
        <v>0</v>
      </c>
      <c r="P2" s="34">
        <v>7</v>
      </c>
      <c r="Q2" s="47">
        <v>18</v>
      </c>
      <c r="R2" s="30"/>
    </row>
    <row r="3" ht="14.5" customHeight="1">
      <c r="A3" s="48"/>
      <c r="B3" t="s" s="37">
        <v>82</v>
      </c>
      <c r="C3" t="s" s="37">
        <v>37</v>
      </c>
      <c r="D3" t="s" s="37">
        <v>66</v>
      </c>
      <c r="E3" t="s" s="37">
        <v>67</v>
      </c>
      <c r="F3" t="s" s="37">
        <v>68</v>
      </c>
      <c r="G3" t="s" s="37">
        <v>84</v>
      </c>
      <c r="H3" s="38"/>
      <c r="I3" s="49"/>
      <c r="J3" t="str" s="38" cm="1">
        <f t="array" ref="J3">IF(H3="","",IF(F3="Likert",IF(N3="Yes",((6-H3)-1)/4*100,(H3-1)/4*100),IF(UPPER(H3)=UPPER(M3),100,0)))</f>
      </c>
      <c r="K3" t="str" s="38" cm="1">
        <f t="array" ref="K3">IF(I3="","",IF(I3&lt;=O3,"Low",IF(I3&lt;=P3,"Moderate","High")))</f>
      </c>
      <c r="L3" t="str" s="38" cm="1">
        <f t="array" ref="L3">IF(K3="High","Review","")</f>
      </c>
      <c r="M3" s="38"/>
      <c r="N3" t="s" s="37">
        <v>75</v>
      </c>
      <c r="O3" s="39">
        <v>0</v>
      </c>
      <c r="P3" s="39">
        <v>10</v>
      </c>
      <c r="Q3" s="50">
        <v>25</v>
      </c>
      <c r="R3" s="30"/>
    </row>
    <row r="4" ht="14.5" customHeight="1">
      <c r="A4" s="45"/>
      <c r="B4" t="s" s="32">
        <v>86</v>
      </c>
      <c r="C4" t="s" s="32">
        <v>37</v>
      </c>
      <c r="D4" t="s" s="32">
        <v>66</v>
      </c>
      <c r="E4" t="s" s="32">
        <v>67</v>
      </c>
      <c r="F4" t="s" s="32">
        <v>68</v>
      </c>
      <c r="G4" t="s" s="32">
        <v>88</v>
      </c>
      <c r="H4" s="33"/>
      <c r="I4" s="46"/>
      <c r="J4" t="str" s="33" cm="1">
        <f t="array" ref="J4">IF(H4="","",IF(F4="Likert",IF(N4="Yes",((6-H4)-1)/4*100,(H4-1)/4*100),IF(UPPER(H4)=UPPER(M4),100,0)))</f>
      </c>
      <c r="K4" t="str" s="33" cm="1">
        <f t="array" ref="K4">IF(I4="","",IF(I4&lt;=O4,"Low",IF(I4&lt;=P4,"Moderate","High")))</f>
      </c>
      <c r="L4" t="str" s="33" cm="1">
        <f t="array" ref="L4">IF(K4="High","Review","")</f>
      </c>
      <c r="M4" s="33"/>
      <c r="N4" t="s" s="32">
        <v>75</v>
      </c>
      <c r="O4" s="34">
        <v>0</v>
      </c>
      <c r="P4" s="34">
        <v>7</v>
      </c>
      <c r="Q4" s="47">
        <v>18</v>
      </c>
      <c r="R4" s="30"/>
    </row>
    <row r="5" ht="14.5" customHeight="1">
      <c r="A5" s="48"/>
      <c r="B5" t="s" s="37">
        <v>89</v>
      </c>
      <c r="C5" t="s" s="37">
        <v>37</v>
      </c>
      <c r="D5" t="s" s="37">
        <v>91</v>
      </c>
      <c r="E5" t="s" s="37">
        <v>92</v>
      </c>
      <c r="F5" t="s" s="37">
        <v>68</v>
      </c>
      <c r="G5" t="s" s="37">
        <v>93</v>
      </c>
      <c r="H5" s="38"/>
      <c r="I5" s="49"/>
      <c r="J5" t="str" s="38" cm="1">
        <f t="array" ref="J5">IF(H5="","",IF(F5="Likert",IF(N5="Yes",((6-H5)-1)/4*100,(H5-1)/4*100),IF(UPPER(H5)=UPPER(M5),100,0)))</f>
      </c>
      <c r="K5" t="str" s="38" cm="1">
        <f t="array" ref="K5">IF(I5="","",IF(I5&lt;=O5,"Low",IF(I5&lt;=P5,"Moderate","High")))</f>
      </c>
      <c r="L5" t="str" s="38" cm="1">
        <f t="array" ref="L5">IF(K5="High","Review","")</f>
      </c>
      <c r="M5" s="38"/>
      <c r="N5" t="s" s="37">
        <v>75</v>
      </c>
      <c r="O5" s="39">
        <v>0</v>
      </c>
      <c r="P5" s="39">
        <v>7</v>
      </c>
      <c r="Q5" s="50">
        <v>18</v>
      </c>
      <c r="R5" s="30"/>
    </row>
    <row r="6" ht="14.5" customHeight="1">
      <c r="A6" s="45"/>
      <c r="B6" t="s" s="32">
        <v>96</v>
      </c>
      <c r="C6" t="s" s="32">
        <v>37</v>
      </c>
      <c r="D6" t="s" s="32">
        <v>91</v>
      </c>
      <c r="E6" t="s" s="32">
        <v>92</v>
      </c>
      <c r="F6" t="s" s="32">
        <v>68</v>
      </c>
      <c r="G6" t="s" s="32">
        <v>98</v>
      </c>
      <c r="H6" s="33"/>
      <c r="I6" s="46"/>
      <c r="J6" t="str" s="33" cm="1">
        <f t="array" ref="J6">IF(H6="","",IF(F6="Likert",IF(N6="Yes",((6-H6)-1)/4*100,(H6-1)/4*100),IF(UPPER(H6)=UPPER(M6),100,0)))</f>
      </c>
      <c r="K6" t="str" s="33" cm="1">
        <f t="array" ref="K6">IF(I6="","",IF(I6&lt;=O6,"Low",IF(I6&lt;=P6,"Moderate","High")))</f>
      </c>
      <c r="L6" t="str" s="33" cm="1">
        <f t="array" ref="L6">IF(K6="High","Review","")</f>
      </c>
      <c r="M6" s="33"/>
      <c r="N6" t="s" s="32">
        <v>75</v>
      </c>
      <c r="O6" s="34">
        <v>0</v>
      </c>
      <c r="P6" s="34">
        <v>10</v>
      </c>
      <c r="Q6" s="47">
        <v>25</v>
      </c>
      <c r="R6" s="30"/>
    </row>
    <row r="7" ht="14.5" customHeight="1">
      <c r="A7" s="48"/>
      <c r="B7" t="s" s="37">
        <v>99</v>
      </c>
      <c r="C7" t="s" s="37">
        <v>37</v>
      </c>
      <c r="D7" t="s" s="37">
        <v>91</v>
      </c>
      <c r="E7" t="s" s="37">
        <v>92</v>
      </c>
      <c r="F7" t="s" s="37">
        <v>68</v>
      </c>
      <c r="G7" t="s" s="37">
        <v>101</v>
      </c>
      <c r="H7" s="38"/>
      <c r="I7" s="49"/>
      <c r="J7" t="str" s="38" cm="1">
        <f t="array" ref="J7">IF(H7="","",IF(F7="Likert",IF(N7="Yes",((6-H7)-1)/4*100,(H7-1)/4*100),IF(UPPER(H7)=UPPER(M7),100,0)))</f>
      </c>
      <c r="K7" t="str" s="38" cm="1">
        <f t="array" ref="K7">IF(I7="","",IF(I7&lt;=O7,"Low",IF(I7&lt;=P7,"Moderate","High")))</f>
      </c>
      <c r="L7" t="str" s="38" cm="1">
        <f t="array" ref="L7">IF(K7="High","Review","")</f>
      </c>
      <c r="M7" s="38"/>
      <c r="N7" t="s" s="37">
        <v>75</v>
      </c>
      <c r="O7" s="39">
        <v>0</v>
      </c>
      <c r="P7" s="39">
        <v>7</v>
      </c>
      <c r="Q7" s="50">
        <v>18</v>
      </c>
      <c r="R7" s="30"/>
    </row>
    <row r="8" ht="14.5" customHeight="1">
      <c r="A8" s="45"/>
      <c r="B8" t="s" s="32">
        <v>102</v>
      </c>
      <c r="C8" t="s" s="32">
        <v>37</v>
      </c>
      <c r="D8" t="s" s="32">
        <v>104</v>
      </c>
      <c r="E8" t="s" s="32">
        <v>105</v>
      </c>
      <c r="F8" t="s" s="32">
        <v>68</v>
      </c>
      <c r="G8" t="s" s="32">
        <v>106</v>
      </c>
      <c r="H8" s="33"/>
      <c r="I8" s="46"/>
      <c r="J8" t="str" s="33" cm="1">
        <f t="array" ref="J8">IF(H8="","",IF(F8="Likert",IF(N8="Yes",((6-H8)-1)/4*100,(H8-1)/4*100),IF(UPPER(H8)=UPPER(M8),100,0)))</f>
      </c>
      <c r="K8" t="str" s="33" cm="1">
        <f t="array" ref="K8">IF(I8="","",IF(I8&lt;=O8,"Low",IF(I8&lt;=P8,"Moderate","High")))</f>
      </c>
      <c r="L8" t="str" s="33" cm="1">
        <f t="array" ref="L8">IF(K8="High","Review","")</f>
      </c>
      <c r="M8" s="33"/>
      <c r="N8" t="s" s="32">
        <v>75</v>
      </c>
      <c r="O8" s="34">
        <v>0</v>
      </c>
      <c r="P8" s="34">
        <v>7</v>
      </c>
      <c r="Q8" s="47">
        <v>18</v>
      </c>
      <c r="R8" s="30"/>
    </row>
    <row r="9" ht="14.5" customHeight="1">
      <c r="A9" s="48"/>
      <c r="B9" t="s" s="37">
        <v>109</v>
      </c>
      <c r="C9" t="s" s="37">
        <v>37</v>
      </c>
      <c r="D9" t="s" s="37">
        <v>104</v>
      </c>
      <c r="E9" t="s" s="37">
        <v>105</v>
      </c>
      <c r="F9" t="s" s="37">
        <v>68</v>
      </c>
      <c r="G9" t="s" s="37">
        <v>111</v>
      </c>
      <c r="H9" s="38"/>
      <c r="I9" s="49"/>
      <c r="J9" t="str" s="38" cm="1">
        <f t="array" ref="J9">IF(H9="","",IF(F9="Likert",IF(N9="Yes",((6-H9)-1)/4*100,(H9-1)/4*100),IF(UPPER(H9)=UPPER(M9),100,0)))</f>
      </c>
      <c r="K9" t="str" s="38" cm="1">
        <f t="array" ref="K9">IF(I9="","",IF(I9&lt;=O9,"Low",IF(I9&lt;=P9,"Moderate","High")))</f>
      </c>
      <c r="L9" t="str" s="38" cm="1">
        <f t="array" ref="L9">IF(K9="High","Review","")</f>
      </c>
      <c r="M9" s="38"/>
      <c r="N9" t="s" s="37">
        <v>75</v>
      </c>
      <c r="O9" s="39">
        <v>0</v>
      </c>
      <c r="P9" s="39">
        <v>10</v>
      </c>
      <c r="Q9" s="50">
        <v>25</v>
      </c>
      <c r="R9" s="30"/>
    </row>
    <row r="10" ht="14.5" customHeight="1">
      <c r="A10" s="45"/>
      <c r="B10" t="s" s="32">
        <v>112</v>
      </c>
      <c r="C10" t="s" s="32">
        <v>37</v>
      </c>
      <c r="D10" t="s" s="32">
        <v>104</v>
      </c>
      <c r="E10" t="s" s="32">
        <v>105</v>
      </c>
      <c r="F10" t="s" s="32">
        <v>68</v>
      </c>
      <c r="G10" t="s" s="32">
        <v>114</v>
      </c>
      <c r="H10" s="33"/>
      <c r="I10" s="46"/>
      <c r="J10" t="str" s="33" cm="1">
        <f t="array" ref="J10">IF(H10="","",IF(F10="Likert",IF(N10="Yes",((6-H10)-1)/4*100,(H10-1)/4*100),IF(UPPER(H10)=UPPER(M10),100,0)))</f>
      </c>
      <c r="K10" t="str" s="33" cm="1">
        <f t="array" ref="K10">IF(I10="","",IF(I10&lt;=O10,"Low",IF(I10&lt;=P10,"Moderate","High")))</f>
      </c>
      <c r="L10" t="str" s="33" cm="1">
        <f t="array" ref="L10">IF(K10="High","Review","")</f>
      </c>
      <c r="M10" s="33"/>
      <c r="N10" t="s" s="32">
        <v>75</v>
      </c>
      <c r="O10" s="34">
        <v>0</v>
      </c>
      <c r="P10" s="34">
        <v>7</v>
      </c>
      <c r="Q10" s="47">
        <v>18</v>
      </c>
      <c r="R10" s="30"/>
    </row>
    <row r="11" ht="14.5" customHeight="1">
      <c r="A11" s="48"/>
      <c r="B11" t="s" s="37">
        <v>115</v>
      </c>
      <c r="C11" t="s" s="37">
        <v>37</v>
      </c>
      <c r="D11" t="s" s="37">
        <v>117</v>
      </c>
      <c r="E11" t="s" s="37">
        <v>118</v>
      </c>
      <c r="F11" t="s" s="37">
        <v>68</v>
      </c>
      <c r="G11" t="s" s="37">
        <v>119</v>
      </c>
      <c r="H11" s="38"/>
      <c r="I11" s="49"/>
      <c r="J11" t="str" s="38" cm="1">
        <f t="array" ref="J11">IF(H11="","",IF(F11="Likert",IF(N11="Yes",((6-H11)-1)/4*100,(H11-1)/4*100),IF(UPPER(H11)=UPPER(M11),100,0)))</f>
      </c>
      <c r="K11" t="str" s="38" cm="1">
        <f t="array" ref="K11">IF(I11="","",IF(I11&lt;=O11,"Low",IF(I11&lt;=P11,"Moderate","High")))</f>
      </c>
      <c r="L11" t="str" s="38" cm="1">
        <f t="array" ref="L11">IF(K11="High","Review","")</f>
      </c>
      <c r="M11" s="38"/>
      <c r="N11" t="s" s="37">
        <v>75</v>
      </c>
      <c r="O11" s="39">
        <v>0</v>
      </c>
      <c r="P11" s="39">
        <v>7</v>
      </c>
      <c r="Q11" s="50">
        <v>18</v>
      </c>
      <c r="R11" s="30"/>
    </row>
    <row r="12" ht="14.5" customHeight="1">
      <c r="A12" s="45"/>
      <c r="B12" t="s" s="32">
        <v>122</v>
      </c>
      <c r="C12" t="s" s="32">
        <v>37</v>
      </c>
      <c r="D12" t="s" s="32">
        <v>117</v>
      </c>
      <c r="E12" t="s" s="32">
        <v>118</v>
      </c>
      <c r="F12" t="s" s="32">
        <v>68</v>
      </c>
      <c r="G12" t="s" s="32">
        <v>124</v>
      </c>
      <c r="H12" s="33"/>
      <c r="I12" s="46"/>
      <c r="J12" t="str" s="33" cm="1">
        <f t="array" ref="J12">IF(H12="","",IF(F12="Likert",IF(N12="Yes",((6-H12)-1)/4*100,(H12-1)/4*100),IF(UPPER(H12)=UPPER(M12),100,0)))</f>
      </c>
      <c r="K12" t="str" s="33" cm="1">
        <f t="array" ref="K12">IF(I12="","",IF(I12&lt;=O12,"Low",IF(I12&lt;=P12,"Moderate","High")))</f>
      </c>
      <c r="L12" t="str" s="33" cm="1">
        <f t="array" ref="L12">IF(K12="High","Review","")</f>
      </c>
      <c r="M12" s="33"/>
      <c r="N12" t="s" s="32">
        <v>75</v>
      </c>
      <c r="O12" s="34">
        <v>0</v>
      </c>
      <c r="P12" s="34">
        <v>10</v>
      </c>
      <c r="Q12" s="47">
        <v>25</v>
      </c>
      <c r="R12" s="30"/>
    </row>
    <row r="13" ht="14.5" customHeight="1">
      <c r="A13" s="48"/>
      <c r="B13" t="s" s="37">
        <v>125</v>
      </c>
      <c r="C13" t="s" s="37">
        <v>37</v>
      </c>
      <c r="D13" t="s" s="37">
        <v>117</v>
      </c>
      <c r="E13" t="s" s="37">
        <v>118</v>
      </c>
      <c r="F13" t="s" s="37">
        <v>68</v>
      </c>
      <c r="G13" t="s" s="37">
        <v>127</v>
      </c>
      <c r="H13" s="38"/>
      <c r="I13" s="49"/>
      <c r="J13" t="str" s="38" cm="1">
        <f t="array" ref="J13">IF(H13="","",IF(F13="Likert",IF(N13="Yes",((6-H13)-1)/4*100,(H13-1)/4*100),IF(UPPER(H13)=UPPER(M13),100,0)))</f>
      </c>
      <c r="K13" t="str" s="38" cm="1">
        <f t="array" ref="K13">IF(I13="","",IF(I13&lt;=O13,"Low",IF(I13&lt;=P13,"Moderate","High")))</f>
      </c>
      <c r="L13" t="str" s="38" cm="1">
        <f t="array" ref="L13">IF(K13="High","Review","")</f>
      </c>
      <c r="M13" s="38"/>
      <c r="N13" t="s" s="37">
        <v>75</v>
      </c>
      <c r="O13" s="39">
        <v>0</v>
      </c>
      <c r="P13" s="39">
        <v>7</v>
      </c>
      <c r="Q13" s="50">
        <v>18</v>
      </c>
      <c r="R13" s="30"/>
    </row>
    <row r="14" ht="14.5" customHeight="1">
      <c r="A14" s="45"/>
      <c r="B14" t="s" s="32">
        <v>128</v>
      </c>
      <c r="C14" t="s" s="32">
        <v>37</v>
      </c>
      <c r="D14" t="s" s="32">
        <v>130</v>
      </c>
      <c r="E14" t="s" s="32">
        <v>131</v>
      </c>
      <c r="F14" t="s" s="32">
        <v>68</v>
      </c>
      <c r="G14" t="s" s="32">
        <v>132</v>
      </c>
      <c r="H14" s="33"/>
      <c r="I14" s="46"/>
      <c r="J14" t="str" s="33" cm="1">
        <f t="array" ref="J14">IF(H14="","",IF(F14="Likert",IF(N14="Yes",((6-H14)-1)/4*100,(H14-1)/4*100),IF(UPPER(H14)=UPPER(M14),100,0)))</f>
      </c>
      <c r="K14" t="str" s="33" cm="1">
        <f t="array" ref="K14">IF(I14="","",IF(I14&lt;=O14,"Low",IF(I14&lt;=P14,"Moderate","High")))</f>
      </c>
      <c r="L14" t="str" s="33" cm="1">
        <f t="array" ref="L14">IF(K14="High","Review","")</f>
      </c>
      <c r="M14" s="33"/>
      <c r="N14" t="s" s="32">
        <v>75</v>
      </c>
      <c r="O14" s="34">
        <v>0</v>
      </c>
      <c r="P14" s="34">
        <v>7</v>
      </c>
      <c r="Q14" s="47">
        <v>18</v>
      </c>
      <c r="R14" s="30"/>
    </row>
    <row r="15" ht="14.5" customHeight="1">
      <c r="A15" s="48"/>
      <c r="B15" t="s" s="37">
        <v>135</v>
      </c>
      <c r="C15" t="s" s="37">
        <v>37</v>
      </c>
      <c r="D15" t="s" s="37">
        <v>130</v>
      </c>
      <c r="E15" t="s" s="37">
        <v>131</v>
      </c>
      <c r="F15" t="s" s="37">
        <v>68</v>
      </c>
      <c r="G15" t="s" s="37">
        <v>137</v>
      </c>
      <c r="H15" s="38"/>
      <c r="I15" s="49"/>
      <c r="J15" t="str" s="38" cm="1">
        <f t="array" ref="J15">IF(H15="","",IF(F15="Likert",IF(N15="Yes",((6-H15)-1)/4*100,(H15-1)/4*100),IF(UPPER(H15)=UPPER(M15),100,0)))</f>
      </c>
      <c r="K15" t="str" s="38" cm="1">
        <f t="array" ref="K15">IF(I15="","",IF(I15&lt;=O15,"Low",IF(I15&lt;=P15,"Moderate","High")))</f>
      </c>
      <c r="L15" t="str" s="38" cm="1">
        <f t="array" ref="L15">IF(K15="High","Review","")</f>
      </c>
      <c r="M15" s="38"/>
      <c r="N15" t="s" s="37">
        <v>75</v>
      </c>
      <c r="O15" s="39">
        <v>0</v>
      </c>
      <c r="P15" s="39">
        <v>10</v>
      </c>
      <c r="Q15" s="50">
        <v>25</v>
      </c>
      <c r="R15" s="30"/>
    </row>
    <row r="16" ht="14.5" customHeight="1">
      <c r="A16" s="45"/>
      <c r="B16" t="s" s="32">
        <v>138</v>
      </c>
      <c r="C16" t="s" s="32">
        <v>37</v>
      </c>
      <c r="D16" t="s" s="32">
        <v>130</v>
      </c>
      <c r="E16" t="s" s="32">
        <v>131</v>
      </c>
      <c r="F16" t="s" s="32">
        <v>68</v>
      </c>
      <c r="G16" t="s" s="32">
        <v>140</v>
      </c>
      <c r="H16" s="33"/>
      <c r="I16" s="46"/>
      <c r="J16" t="str" s="33" cm="1">
        <f t="array" ref="J16">IF(H16="","",IF(F16="Likert",IF(N16="Yes",((6-H16)-1)/4*100,(H16-1)/4*100),IF(UPPER(H16)=UPPER(M16),100,0)))</f>
      </c>
      <c r="K16" t="str" s="33" cm="1">
        <f t="array" ref="K16">IF(I16="","",IF(I16&lt;=O16,"Low",IF(I16&lt;=P16,"Moderate","High")))</f>
      </c>
      <c r="L16" t="str" s="33" cm="1">
        <f t="array" ref="L16">IF(K16="High","Review","")</f>
      </c>
      <c r="M16" s="33"/>
      <c r="N16" t="s" s="32">
        <v>75</v>
      </c>
      <c r="O16" s="34">
        <v>0</v>
      </c>
      <c r="P16" s="34">
        <v>7</v>
      </c>
      <c r="Q16" s="47">
        <v>18</v>
      </c>
      <c r="R16" s="30"/>
    </row>
    <row r="17" ht="14.5" customHeight="1">
      <c r="A17" s="48"/>
      <c r="B17" t="s" s="37">
        <v>141</v>
      </c>
      <c r="C17" t="s" s="37">
        <v>37</v>
      </c>
      <c r="D17" t="s" s="37">
        <v>143</v>
      </c>
      <c r="E17" t="s" s="37">
        <v>144</v>
      </c>
      <c r="F17" t="s" s="37">
        <v>68</v>
      </c>
      <c r="G17" t="s" s="37">
        <v>145</v>
      </c>
      <c r="H17" s="38"/>
      <c r="I17" s="49"/>
      <c r="J17" t="str" s="38" cm="1">
        <f t="array" ref="J17">IF(H17="","",IF(F17="Likert",IF(N17="Yes",((6-H17)-1)/4*100,(H17-1)/4*100),IF(UPPER(H17)=UPPER(M17),100,0)))</f>
      </c>
      <c r="K17" t="str" s="38" cm="1">
        <f t="array" ref="K17">IF(I17="","",IF(I17&lt;=O17,"Low",IF(I17&lt;=P17,"Moderate","High")))</f>
      </c>
      <c r="L17" t="str" s="38" cm="1">
        <f t="array" ref="L17">IF(K17="High","Review","")</f>
      </c>
      <c r="M17" s="38"/>
      <c r="N17" t="s" s="37">
        <v>75</v>
      </c>
      <c r="O17" s="39">
        <v>0</v>
      </c>
      <c r="P17" s="39">
        <v>7</v>
      </c>
      <c r="Q17" s="50">
        <v>18</v>
      </c>
      <c r="R17" s="30"/>
    </row>
    <row r="18" ht="14.5" customHeight="1">
      <c r="A18" s="45"/>
      <c r="B18" t="s" s="32">
        <v>148</v>
      </c>
      <c r="C18" t="s" s="32">
        <v>37</v>
      </c>
      <c r="D18" t="s" s="32">
        <v>143</v>
      </c>
      <c r="E18" t="s" s="32">
        <v>144</v>
      </c>
      <c r="F18" t="s" s="32">
        <v>68</v>
      </c>
      <c r="G18" t="s" s="32">
        <v>150</v>
      </c>
      <c r="H18" s="33"/>
      <c r="I18" s="46"/>
      <c r="J18" t="str" s="33" cm="1">
        <f t="array" ref="J18">IF(H18="","",IF(F18="Likert",IF(N18="Yes",((6-H18)-1)/4*100,(H18-1)/4*100),IF(UPPER(H18)=UPPER(M18),100,0)))</f>
      </c>
      <c r="K18" t="str" s="33" cm="1">
        <f t="array" ref="K18">IF(I18="","",IF(I18&lt;=O18,"Low",IF(I18&lt;=P18,"Moderate","High")))</f>
      </c>
      <c r="L18" t="str" s="33" cm="1">
        <f t="array" ref="L18">IF(K18="High","Review","")</f>
      </c>
      <c r="M18" s="33"/>
      <c r="N18" t="s" s="32">
        <v>75</v>
      </c>
      <c r="O18" s="34">
        <v>0</v>
      </c>
      <c r="P18" s="34">
        <v>10</v>
      </c>
      <c r="Q18" s="47">
        <v>25</v>
      </c>
      <c r="R18" s="30"/>
    </row>
    <row r="19" ht="14.5" customHeight="1">
      <c r="A19" s="48"/>
      <c r="B19" t="s" s="37">
        <v>151</v>
      </c>
      <c r="C19" t="s" s="37">
        <v>37</v>
      </c>
      <c r="D19" t="s" s="37">
        <v>143</v>
      </c>
      <c r="E19" t="s" s="37">
        <v>144</v>
      </c>
      <c r="F19" t="s" s="37">
        <v>68</v>
      </c>
      <c r="G19" t="s" s="37">
        <v>153</v>
      </c>
      <c r="H19" s="38"/>
      <c r="I19" s="49"/>
      <c r="J19" t="str" s="38" cm="1">
        <f t="array" ref="J19">IF(H19="","",IF(F19="Likert",IF(N19="Yes",((6-H19)-1)/4*100,(H19-1)/4*100),IF(UPPER(H19)=UPPER(M19),100,0)))</f>
      </c>
      <c r="K19" t="str" s="38" cm="1">
        <f t="array" ref="K19">IF(I19="","",IF(I19&lt;=O19,"Low",IF(I19&lt;=P19,"Moderate","High")))</f>
      </c>
      <c r="L19" t="str" s="38" cm="1">
        <f t="array" ref="L19">IF(K19="High","Review","")</f>
      </c>
      <c r="M19" s="38"/>
      <c r="N19" t="s" s="37">
        <v>75</v>
      </c>
      <c r="O19" s="39">
        <v>0</v>
      </c>
      <c r="P19" s="39">
        <v>7</v>
      </c>
      <c r="Q19" s="50">
        <v>18</v>
      </c>
      <c r="R19" s="30"/>
    </row>
    <row r="20" ht="14.5" customHeight="1">
      <c r="A20" s="45"/>
      <c r="B20" t="s" s="32">
        <v>154</v>
      </c>
      <c r="C20" t="s" s="32">
        <v>33</v>
      </c>
      <c r="D20" t="s" s="32">
        <v>156</v>
      </c>
      <c r="E20" t="s" s="32">
        <v>156</v>
      </c>
      <c r="F20" t="s" s="32">
        <v>68</v>
      </c>
      <c r="G20" t="s" s="32">
        <v>157</v>
      </c>
      <c r="H20" s="33"/>
      <c r="I20" s="46"/>
      <c r="J20" t="str" s="33" cm="1">
        <f t="array" ref="J20">IF(H20="","",IF(F20="Likert",IF(N20="Yes",((6-H20)-1)/4*100,(H20-1)/4*100),IF(UPPER(H20)=UPPER(M20),100,0)))</f>
      </c>
      <c r="K20" t="str" s="33" cm="1">
        <f t="array" ref="K20">IF(I20="","",IF(I20&lt;=O20,"Low",IF(I20&lt;=P20,"Moderate","High")))</f>
      </c>
      <c r="L20" t="str" s="33" cm="1">
        <f t="array" ref="L20">IF(K20="High","Review","")</f>
      </c>
      <c r="M20" s="33"/>
      <c r="N20" t="s" s="32">
        <v>75</v>
      </c>
      <c r="O20" s="34">
        <v>0</v>
      </c>
      <c r="P20" s="34">
        <v>10</v>
      </c>
      <c r="Q20" s="47">
        <v>25</v>
      </c>
      <c r="R20" s="30"/>
    </row>
    <row r="21" ht="14.5" customHeight="1">
      <c r="A21" s="48"/>
      <c r="B21" t="s" s="37">
        <v>161</v>
      </c>
      <c r="C21" t="s" s="37">
        <v>33</v>
      </c>
      <c r="D21" t="s" s="37">
        <v>156</v>
      </c>
      <c r="E21" t="s" s="37">
        <v>156</v>
      </c>
      <c r="F21" t="s" s="37">
        <v>68</v>
      </c>
      <c r="G21" t="s" s="37">
        <v>163</v>
      </c>
      <c r="H21" s="38"/>
      <c r="I21" s="49"/>
      <c r="J21" t="str" s="38" cm="1">
        <f t="array" ref="J21">IF(H21="","",IF(F21="Likert",IF(N21="Yes",((6-H21)-1)/4*100,(H21-1)/4*100),IF(UPPER(H21)=UPPER(M21),100,0)))</f>
      </c>
      <c r="K21" t="str" s="38" cm="1">
        <f t="array" ref="K21">IF(I21="","",IF(I21&lt;=O21,"Low",IF(I21&lt;=P21,"Moderate","High")))</f>
      </c>
      <c r="L21" t="str" s="38" cm="1">
        <f t="array" ref="L21">IF(K21="High","Review","")</f>
      </c>
      <c r="M21" s="38"/>
      <c r="N21" t="s" s="37">
        <v>75</v>
      </c>
      <c r="O21" s="39">
        <v>0</v>
      </c>
      <c r="P21" s="39">
        <v>10</v>
      </c>
      <c r="Q21" s="50">
        <v>25</v>
      </c>
      <c r="R21" s="30"/>
    </row>
    <row r="22" ht="14.5" customHeight="1">
      <c r="A22" s="45"/>
      <c r="B22" t="s" s="32">
        <v>164</v>
      </c>
      <c r="C22" t="s" s="32">
        <v>33</v>
      </c>
      <c r="D22" t="s" s="32">
        <v>156</v>
      </c>
      <c r="E22" t="s" s="32">
        <v>156</v>
      </c>
      <c r="F22" t="s" s="32">
        <v>68</v>
      </c>
      <c r="G22" t="s" s="32">
        <v>166</v>
      </c>
      <c r="H22" s="33"/>
      <c r="I22" s="46"/>
      <c r="J22" t="str" s="33" cm="1">
        <f t="array" ref="J22">IF(H22="","",IF(F22="Likert",IF(N22="Yes",((6-H22)-1)/4*100,(H22-1)/4*100),IF(UPPER(H22)=UPPER(M22),100,0)))</f>
      </c>
      <c r="K22" t="str" s="33" cm="1">
        <f t="array" ref="K22">IF(I22="","",IF(I22&lt;=O22,"Low",IF(I22&lt;=P22,"Moderate","High")))</f>
      </c>
      <c r="L22" t="str" s="33" cm="1">
        <f t="array" ref="L22">IF(K22="High","Review","")</f>
      </c>
      <c r="M22" s="33"/>
      <c r="N22" t="s" s="32">
        <v>75</v>
      </c>
      <c r="O22" s="34">
        <v>0</v>
      </c>
      <c r="P22" s="34">
        <v>10</v>
      </c>
      <c r="Q22" s="47">
        <v>25</v>
      </c>
      <c r="R22" s="30"/>
    </row>
    <row r="23" ht="14.5" customHeight="1">
      <c r="A23" s="48"/>
      <c r="B23" t="s" s="37">
        <v>167</v>
      </c>
      <c r="C23" t="s" s="37">
        <v>33</v>
      </c>
      <c r="D23" t="s" s="37">
        <v>169</v>
      </c>
      <c r="E23" t="s" s="37">
        <v>169</v>
      </c>
      <c r="F23" t="s" s="37">
        <v>68</v>
      </c>
      <c r="G23" t="s" s="37">
        <v>170</v>
      </c>
      <c r="H23" s="38"/>
      <c r="I23" s="49"/>
      <c r="J23" t="str" s="38" cm="1">
        <f t="array" ref="J23">IF(H23="","",IF(F23="Likert",IF(N23="Yes",((6-H23)-1)/4*100,(H23-1)/4*100),IF(UPPER(H23)=UPPER(M23),100,0)))</f>
      </c>
      <c r="K23" t="str" s="38" cm="1">
        <f t="array" ref="K23">IF(I23="","",IF(I23&lt;=O23,"Low",IF(I23&lt;=P23,"Moderate","High")))</f>
      </c>
      <c r="L23" t="str" s="38" cm="1">
        <f t="array" ref="L23">IF(K23="High","Review","")</f>
      </c>
      <c r="M23" s="38"/>
      <c r="N23" t="s" s="37">
        <v>75</v>
      </c>
      <c r="O23" s="39">
        <v>0</v>
      </c>
      <c r="P23" s="39">
        <v>10</v>
      </c>
      <c r="Q23" s="50">
        <v>25</v>
      </c>
      <c r="R23" s="30"/>
    </row>
    <row r="24" ht="14.5" customHeight="1">
      <c r="A24" s="45"/>
      <c r="B24" t="s" s="32">
        <v>173</v>
      </c>
      <c r="C24" t="s" s="32">
        <v>33</v>
      </c>
      <c r="D24" t="s" s="32">
        <v>169</v>
      </c>
      <c r="E24" t="s" s="32">
        <v>169</v>
      </c>
      <c r="F24" t="s" s="32">
        <v>68</v>
      </c>
      <c r="G24" t="s" s="32">
        <v>175</v>
      </c>
      <c r="H24" s="33"/>
      <c r="I24" s="46"/>
      <c r="J24" t="str" s="33" cm="1">
        <f t="array" ref="J24">IF(H24="","",IF(F24="Likert",IF(N24="Yes",((6-H24)-1)/4*100,(H24-1)/4*100),IF(UPPER(H24)=UPPER(M24),100,0)))</f>
      </c>
      <c r="K24" t="str" s="33" cm="1">
        <f t="array" ref="K24">IF(I24="","",IF(I24&lt;=O24,"Low",IF(I24&lt;=P24,"Moderate","High")))</f>
      </c>
      <c r="L24" t="str" s="33" cm="1">
        <f t="array" ref="L24">IF(K24="High","Review","")</f>
      </c>
      <c r="M24" s="33"/>
      <c r="N24" t="s" s="32">
        <v>75</v>
      </c>
      <c r="O24" s="34">
        <v>0</v>
      </c>
      <c r="P24" s="34">
        <v>10</v>
      </c>
      <c r="Q24" s="47">
        <v>25</v>
      </c>
      <c r="R24" s="30"/>
    </row>
    <row r="25" ht="14.5" customHeight="1">
      <c r="A25" s="48"/>
      <c r="B25" t="s" s="37">
        <v>176</v>
      </c>
      <c r="C25" t="s" s="37">
        <v>33</v>
      </c>
      <c r="D25" t="s" s="37">
        <v>169</v>
      </c>
      <c r="E25" t="s" s="37">
        <v>169</v>
      </c>
      <c r="F25" t="s" s="37">
        <v>68</v>
      </c>
      <c r="G25" t="s" s="37">
        <v>178</v>
      </c>
      <c r="H25" s="38"/>
      <c r="I25" s="49"/>
      <c r="J25" t="str" s="38" cm="1">
        <f t="array" ref="J25">IF(H25="","",IF(F25="Likert",IF(N25="Yes",((6-H25)-1)/4*100,(H25-1)/4*100),IF(UPPER(H25)=UPPER(M25),100,0)))</f>
      </c>
      <c r="K25" t="str" s="38" cm="1">
        <f t="array" ref="K25">IF(I25="","",IF(I25&lt;=O25,"Low",IF(I25&lt;=P25,"Moderate","High")))</f>
      </c>
      <c r="L25" t="str" s="38" cm="1">
        <f t="array" ref="L25">IF(K25="High","Review","")</f>
      </c>
      <c r="M25" s="38"/>
      <c r="N25" t="s" s="37">
        <v>75</v>
      </c>
      <c r="O25" s="39">
        <v>0</v>
      </c>
      <c r="P25" s="39">
        <v>10</v>
      </c>
      <c r="Q25" s="50">
        <v>25</v>
      </c>
      <c r="R25" s="30"/>
    </row>
    <row r="26" ht="14.5" customHeight="1">
      <c r="A26" s="45"/>
      <c r="B26" t="s" s="32">
        <v>179</v>
      </c>
      <c r="C26" t="s" s="32">
        <v>33</v>
      </c>
      <c r="D26" t="s" s="32">
        <v>181</v>
      </c>
      <c r="E26" t="s" s="32">
        <v>181</v>
      </c>
      <c r="F26" t="s" s="32">
        <v>68</v>
      </c>
      <c r="G26" t="s" s="32">
        <v>182</v>
      </c>
      <c r="H26" s="33"/>
      <c r="I26" s="46"/>
      <c r="J26" t="str" s="33" cm="1">
        <f t="array" ref="J26">IF(H26="","",IF(F26="Likert",IF(N26="Yes",((6-H26)-1)/4*100,(H26-1)/4*100),IF(UPPER(H26)=UPPER(M26),100,0)))</f>
      </c>
      <c r="K26" t="str" s="33" cm="1">
        <f t="array" ref="K26">IF(I26="","",IF(I26&lt;=O26,"Low",IF(I26&lt;=P26,"Moderate","High")))</f>
      </c>
      <c r="L26" t="str" s="33" cm="1">
        <f t="array" ref="L26">IF(K26="High","Review","")</f>
      </c>
      <c r="M26" s="33"/>
      <c r="N26" t="s" s="32">
        <v>75</v>
      </c>
      <c r="O26" s="34">
        <v>0</v>
      </c>
      <c r="P26" s="34">
        <v>10</v>
      </c>
      <c r="Q26" s="47">
        <v>25</v>
      </c>
      <c r="R26" s="30"/>
    </row>
    <row r="27" ht="14.5" customHeight="1">
      <c r="A27" s="48"/>
      <c r="B27" t="s" s="37">
        <v>185</v>
      </c>
      <c r="C27" t="s" s="37">
        <v>33</v>
      </c>
      <c r="D27" t="s" s="37">
        <v>181</v>
      </c>
      <c r="E27" t="s" s="37">
        <v>181</v>
      </c>
      <c r="F27" t="s" s="37">
        <v>68</v>
      </c>
      <c r="G27" t="s" s="37">
        <v>187</v>
      </c>
      <c r="H27" s="38"/>
      <c r="I27" s="49"/>
      <c r="J27" t="str" s="38" cm="1">
        <f t="array" ref="J27">IF(H27="","",IF(F27="Likert",IF(N27="Yes",((6-H27)-1)/4*100,(H27-1)/4*100),IF(UPPER(H27)=UPPER(M27),100,0)))</f>
      </c>
      <c r="K27" t="str" s="38" cm="1">
        <f t="array" ref="K27">IF(I27="","",IF(I27&lt;=O27,"Low",IF(I27&lt;=P27,"Moderate","High")))</f>
      </c>
      <c r="L27" t="str" s="38" cm="1">
        <f t="array" ref="L27">IF(K27="High","Review","")</f>
      </c>
      <c r="M27" s="38"/>
      <c r="N27" t="s" s="37">
        <v>75</v>
      </c>
      <c r="O27" s="39">
        <v>0</v>
      </c>
      <c r="P27" s="39">
        <v>10</v>
      </c>
      <c r="Q27" s="50">
        <v>25</v>
      </c>
      <c r="R27" s="30"/>
    </row>
    <row r="28" ht="14.5" customHeight="1">
      <c r="A28" s="45"/>
      <c r="B28" t="s" s="32">
        <v>188</v>
      </c>
      <c r="C28" t="s" s="32">
        <v>33</v>
      </c>
      <c r="D28" t="s" s="32">
        <v>181</v>
      </c>
      <c r="E28" t="s" s="32">
        <v>181</v>
      </c>
      <c r="F28" t="s" s="32">
        <v>68</v>
      </c>
      <c r="G28" t="s" s="32">
        <v>190</v>
      </c>
      <c r="H28" s="33"/>
      <c r="I28" s="46"/>
      <c r="J28" t="str" s="33" cm="1">
        <f t="array" ref="J28">IF(H28="","",IF(F28="Likert",IF(N28="Yes",((6-H28)-1)/4*100,(H28-1)/4*100),IF(UPPER(H28)=UPPER(M28),100,0)))</f>
      </c>
      <c r="K28" t="str" s="33" cm="1">
        <f t="array" ref="K28">IF(I28="","",IF(I28&lt;=O28,"Low",IF(I28&lt;=P28,"Moderate","High")))</f>
      </c>
      <c r="L28" t="str" s="33" cm="1">
        <f t="array" ref="L28">IF(K28="High","Review","")</f>
      </c>
      <c r="M28" s="33"/>
      <c r="N28" t="s" s="32">
        <v>75</v>
      </c>
      <c r="O28" s="34">
        <v>0</v>
      </c>
      <c r="P28" s="34">
        <v>10</v>
      </c>
      <c r="Q28" s="47">
        <v>25</v>
      </c>
      <c r="R28" s="30"/>
    </row>
    <row r="29" ht="14.5" customHeight="1">
      <c r="A29" s="48"/>
      <c r="B29" t="s" s="37">
        <v>191</v>
      </c>
      <c r="C29" t="s" s="37">
        <v>33</v>
      </c>
      <c r="D29" t="s" s="37">
        <v>193</v>
      </c>
      <c r="E29" t="s" s="37">
        <v>193</v>
      </c>
      <c r="F29" t="s" s="37">
        <v>68</v>
      </c>
      <c r="G29" t="s" s="37">
        <v>194</v>
      </c>
      <c r="H29" s="38"/>
      <c r="I29" s="49"/>
      <c r="J29" t="str" s="38" cm="1">
        <f t="array" ref="J29">IF(H29="","",IF(F29="Likert",IF(N29="Yes",((6-H29)-1)/4*100,(H29-1)/4*100),IF(UPPER(H29)=UPPER(M29),100,0)))</f>
      </c>
      <c r="K29" t="str" s="38" cm="1">
        <f t="array" ref="K29">IF(I29="","",IF(I29&lt;=O29,"Low",IF(I29&lt;=P29,"Moderate","High")))</f>
      </c>
      <c r="L29" t="str" s="38" cm="1">
        <f t="array" ref="L29">IF(K29="High","Review","")</f>
      </c>
      <c r="M29" s="38"/>
      <c r="N29" t="s" s="37">
        <v>75</v>
      </c>
      <c r="O29" s="39">
        <v>0</v>
      </c>
      <c r="P29" s="39">
        <v>10</v>
      </c>
      <c r="Q29" s="50">
        <v>25</v>
      </c>
      <c r="R29" s="30"/>
    </row>
    <row r="30" ht="14.5" customHeight="1">
      <c r="A30" s="45"/>
      <c r="B30" t="s" s="32">
        <v>197</v>
      </c>
      <c r="C30" t="s" s="32">
        <v>33</v>
      </c>
      <c r="D30" t="s" s="32">
        <v>193</v>
      </c>
      <c r="E30" t="s" s="32">
        <v>193</v>
      </c>
      <c r="F30" t="s" s="32">
        <v>68</v>
      </c>
      <c r="G30" t="s" s="32">
        <v>199</v>
      </c>
      <c r="H30" s="33"/>
      <c r="I30" s="46"/>
      <c r="J30" t="str" s="33" cm="1">
        <f t="array" ref="J30">IF(H30="","",IF(F30="Likert",IF(N30="Yes",((6-H30)-1)/4*100,(H30-1)/4*100),IF(UPPER(H30)=UPPER(M30),100,0)))</f>
      </c>
      <c r="K30" t="str" s="33" cm="1">
        <f t="array" ref="K30">IF(I30="","",IF(I30&lt;=O30,"Low",IF(I30&lt;=P30,"Moderate","High")))</f>
      </c>
      <c r="L30" t="str" s="33" cm="1">
        <f t="array" ref="L30">IF(K30="High","Review","")</f>
      </c>
      <c r="M30" s="33"/>
      <c r="N30" t="s" s="32">
        <v>75</v>
      </c>
      <c r="O30" s="34">
        <v>0</v>
      </c>
      <c r="P30" s="34">
        <v>10</v>
      </c>
      <c r="Q30" s="47">
        <v>25</v>
      </c>
      <c r="R30" s="30"/>
    </row>
    <row r="31" ht="14.5" customHeight="1">
      <c r="A31" s="48"/>
      <c r="B31" t="s" s="37">
        <v>200</v>
      </c>
      <c r="C31" t="s" s="37">
        <v>33</v>
      </c>
      <c r="D31" t="s" s="37">
        <v>193</v>
      </c>
      <c r="E31" t="s" s="37">
        <v>193</v>
      </c>
      <c r="F31" t="s" s="37">
        <v>68</v>
      </c>
      <c r="G31" t="s" s="37">
        <v>202</v>
      </c>
      <c r="H31" s="38"/>
      <c r="I31" s="49"/>
      <c r="J31" t="str" s="38" cm="1">
        <f t="array" ref="J31">IF(H31="","",IF(F31="Likert",IF(N31="Yes",((6-H31)-1)/4*100,(H31-1)/4*100),IF(UPPER(H31)=UPPER(M31),100,0)))</f>
      </c>
      <c r="K31" t="str" s="38" cm="1">
        <f t="array" ref="K31">IF(I31="","",IF(I31&lt;=O31,"Low",IF(I31&lt;=P31,"Moderate","High")))</f>
      </c>
      <c r="L31" t="str" s="38" cm="1">
        <f t="array" ref="L31">IF(K31="High","Review","")</f>
      </c>
      <c r="M31" s="38"/>
      <c r="N31" t="s" s="37">
        <v>75</v>
      </c>
      <c r="O31" s="39">
        <v>0</v>
      </c>
      <c r="P31" s="39">
        <v>10</v>
      </c>
      <c r="Q31" s="50">
        <v>25</v>
      </c>
      <c r="R31" s="30"/>
    </row>
    <row r="32" ht="14.5" customHeight="1">
      <c r="A32" s="45"/>
      <c r="B32" t="s" s="32">
        <v>203</v>
      </c>
      <c r="C32" t="s" s="32">
        <v>33</v>
      </c>
      <c r="D32" t="s" s="32">
        <v>205</v>
      </c>
      <c r="E32" t="s" s="32">
        <v>205</v>
      </c>
      <c r="F32" t="s" s="32">
        <v>68</v>
      </c>
      <c r="G32" t="s" s="32">
        <v>206</v>
      </c>
      <c r="H32" s="33"/>
      <c r="I32" s="46"/>
      <c r="J32" t="str" s="33" cm="1">
        <f t="array" ref="J32">IF(H32="","",IF(F32="Likert",IF(N32="Yes",((6-H32)-1)/4*100,(H32-1)/4*100),IF(UPPER(H32)=UPPER(M32),100,0)))</f>
      </c>
      <c r="K32" t="str" s="33" cm="1">
        <f t="array" ref="K32">IF(I32="","",IF(I32&lt;=O32,"Low",IF(I32&lt;=P32,"Moderate","High")))</f>
      </c>
      <c r="L32" t="str" s="33" cm="1">
        <f t="array" ref="L32">IF(K32="High","Review","")</f>
      </c>
      <c r="M32" s="33"/>
      <c r="N32" t="s" s="32">
        <v>75</v>
      </c>
      <c r="O32" s="34">
        <v>0</v>
      </c>
      <c r="P32" s="34">
        <v>10</v>
      </c>
      <c r="Q32" s="47">
        <v>25</v>
      </c>
      <c r="R32" s="30"/>
    </row>
    <row r="33" ht="14.5" customHeight="1">
      <c r="A33" s="48"/>
      <c r="B33" t="s" s="37">
        <v>209</v>
      </c>
      <c r="C33" t="s" s="37">
        <v>33</v>
      </c>
      <c r="D33" t="s" s="37">
        <v>205</v>
      </c>
      <c r="E33" t="s" s="37">
        <v>205</v>
      </c>
      <c r="F33" t="s" s="37">
        <v>68</v>
      </c>
      <c r="G33" t="s" s="37">
        <v>211</v>
      </c>
      <c r="H33" s="38"/>
      <c r="I33" s="49"/>
      <c r="J33" t="str" s="38" cm="1">
        <f t="array" ref="J33">IF(H33="","",IF(F33="Likert",IF(N33="Yes",((6-H33)-1)/4*100,(H33-1)/4*100),IF(UPPER(H33)=UPPER(M33),100,0)))</f>
      </c>
      <c r="K33" t="str" s="38" cm="1">
        <f t="array" ref="K33">IF(I33="","",IF(I33&lt;=O33,"Low",IF(I33&lt;=P33,"Moderate","High")))</f>
      </c>
      <c r="L33" t="str" s="38" cm="1">
        <f t="array" ref="L33">IF(K33="High","Review","")</f>
      </c>
      <c r="M33" s="38"/>
      <c r="N33" t="s" s="37">
        <v>75</v>
      </c>
      <c r="O33" s="39">
        <v>0</v>
      </c>
      <c r="P33" s="39">
        <v>10</v>
      </c>
      <c r="Q33" s="50">
        <v>25</v>
      </c>
      <c r="R33" s="30"/>
    </row>
    <row r="34" ht="14.5" customHeight="1">
      <c r="A34" s="45"/>
      <c r="B34" t="s" s="32">
        <v>212</v>
      </c>
      <c r="C34" t="s" s="32">
        <v>33</v>
      </c>
      <c r="D34" t="s" s="32">
        <v>205</v>
      </c>
      <c r="E34" t="s" s="32">
        <v>205</v>
      </c>
      <c r="F34" t="s" s="32">
        <v>68</v>
      </c>
      <c r="G34" t="s" s="32">
        <v>214</v>
      </c>
      <c r="H34" s="33"/>
      <c r="I34" s="46"/>
      <c r="J34" t="str" s="33" cm="1">
        <f t="array" ref="J34">IF(H34="","",IF(F34="Likert",IF(N34="Yes",((6-H34)-1)/4*100,(H34-1)/4*100),IF(UPPER(H34)=UPPER(M34),100,0)))</f>
      </c>
      <c r="K34" t="str" s="33" cm="1">
        <f t="array" ref="K34">IF(I34="","",IF(I34&lt;=O34,"Low",IF(I34&lt;=P34,"Moderate","High")))</f>
      </c>
      <c r="L34" t="str" s="33" cm="1">
        <f t="array" ref="L34">IF(K34="High","Review","")</f>
      </c>
      <c r="M34" s="33"/>
      <c r="N34" t="s" s="32">
        <v>75</v>
      </c>
      <c r="O34" s="34">
        <v>0</v>
      </c>
      <c r="P34" s="34">
        <v>10</v>
      </c>
      <c r="Q34" s="47">
        <v>25</v>
      </c>
      <c r="R34" s="30"/>
    </row>
    <row r="35" ht="14.5" customHeight="1">
      <c r="A35" s="48"/>
      <c r="B35" t="s" s="37">
        <v>215</v>
      </c>
      <c r="C35" t="s" s="37">
        <v>34</v>
      </c>
      <c r="D35" t="s" s="37">
        <v>217</v>
      </c>
      <c r="E35" t="s" s="37">
        <v>217</v>
      </c>
      <c r="F35" t="s" s="37">
        <v>218</v>
      </c>
      <c r="G35" t="s" s="37">
        <v>219</v>
      </c>
      <c r="H35" s="38"/>
      <c r="I35" s="49"/>
      <c r="J35" t="str" s="38" cm="1">
        <f t="array" ref="J35">IF(H35="","",IF(F35="Likert",IF(N35="Yes",((6-H35)-1)/4*100,(H35-1)/4*100),IF(UPPER(H35)=UPPER(M35),100,0)))</f>
      </c>
      <c r="K35" t="str" s="38" cm="1">
        <f t="array" ref="K35">IF(I35="","",IF(I35&lt;=O35,"Low",IF(I35&lt;=P35,"Moderate","High")))</f>
      </c>
      <c r="L35" t="str" s="38" cm="1">
        <f t="array" ref="L35">IF(K35="High","Review","")</f>
      </c>
      <c r="M35" t="s" s="37">
        <v>144</v>
      </c>
      <c r="N35" t="s" s="37">
        <v>75</v>
      </c>
      <c r="O35" s="39">
        <v>0</v>
      </c>
      <c r="P35" s="39">
        <v>10</v>
      </c>
      <c r="Q35" s="50">
        <v>25</v>
      </c>
      <c r="R35" s="30"/>
    </row>
    <row r="36" ht="19" customHeight="1">
      <c r="A36" s="45"/>
      <c r="B36" t="s" s="32">
        <v>229</v>
      </c>
      <c r="C36" t="s" s="32">
        <v>34</v>
      </c>
      <c r="D36" t="s" s="32">
        <v>217</v>
      </c>
      <c r="E36" t="s" s="32">
        <v>217</v>
      </c>
      <c r="F36" t="s" s="32">
        <v>218</v>
      </c>
      <c r="G36" t="s" s="32">
        <v>231</v>
      </c>
      <c r="H36" s="33"/>
      <c r="I36" s="46"/>
      <c r="J36" t="str" s="33" cm="1">
        <f t="array" ref="J36">IF(H36="","",IF(F36="Likert",IF(N36="Yes",((6-H36)-1)/4*100,(H36-1)/4*100),IF(UPPER(H36)=UPPER(M36),100,0)))</f>
      </c>
      <c r="K36" t="str" s="33" cm="1">
        <f t="array" ref="K36">IF(I36="","",IF(I36&lt;=O36,"Low",IF(I36&lt;=P36,"Moderate","High")))</f>
      </c>
      <c r="L36" t="str" s="33" cm="1">
        <f t="array" ref="L36">IF(K36="High","Review","")</f>
      </c>
      <c r="M36" t="s" s="32">
        <v>144</v>
      </c>
      <c r="N36" t="s" s="32">
        <v>75</v>
      </c>
      <c r="O36" s="34">
        <v>0</v>
      </c>
      <c r="P36" s="34">
        <v>10</v>
      </c>
      <c r="Q36" s="47">
        <v>25</v>
      </c>
      <c r="R36" s="30"/>
    </row>
    <row r="37" ht="14.5" customHeight="1">
      <c r="A37" s="48"/>
      <c r="B37" t="s" s="37">
        <v>236</v>
      </c>
      <c r="C37" t="s" s="37">
        <v>34</v>
      </c>
      <c r="D37" t="s" s="37">
        <v>217</v>
      </c>
      <c r="E37" t="s" s="37">
        <v>217</v>
      </c>
      <c r="F37" t="s" s="37">
        <v>218</v>
      </c>
      <c r="G37" t="s" s="37">
        <v>238</v>
      </c>
      <c r="H37" s="38"/>
      <c r="I37" s="49"/>
      <c r="J37" t="str" s="38" cm="1">
        <f t="array" ref="J37">IF(H37="","",IF(F37="Likert",IF(N37="Yes",((6-H37)-1)/4*100,(H37-1)/4*100),IF(UPPER(H37)=UPPER(M37),100,0)))</f>
      </c>
      <c r="K37" t="str" s="38" cm="1">
        <f t="array" ref="K37">IF(I37="","",IF(I37&lt;=O37,"Low",IF(I37&lt;=P37,"Moderate","High")))</f>
      </c>
      <c r="L37" t="str" s="38" cm="1">
        <f t="array" ref="L37">IF(K37="High","Review","")</f>
      </c>
      <c r="M37" t="s" s="37">
        <v>144</v>
      </c>
      <c r="N37" t="s" s="37">
        <v>75</v>
      </c>
      <c r="O37" s="39">
        <v>0</v>
      </c>
      <c r="P37" s="39">
        <v>10</v>
      </c>
      <c r="Q37" s="50">
        <v>25</v>
      </c>
      <c r="R37" s="30"/>
    </row>
    <row r="38" ht="14.5" customHeight="1">
      <c r="A38" s="45"/>
      <c r="B38" t="s" s="32">
        <v>243</v>
      </c>
      <c r="C38" t="s" s="32">
        <v>34</v>
      </c>
      <c r="D38" t="s" s="32">
        <v>245</v>
      </c>
      <c r="E38" t="s" s="32">
        <v>245</v>
      </c>
      <c r="F38" t="s" s="32">
        <v>218</v>
      </c>
      <c r="G38" t="s" s="32">
        <v>246</v>
      </c>
      <c r="H38" s="33"/>
      <c r="I38" s="46"/>
      <c r="J38" t="str" s="33" cm="1">
        <f t="array" ref="J38">IF(H38="","",IF(F38="Likert",IF(N38="Yes",((6-H38)-1)/4*100,(H38-1)/4*100),IF(UPPER(H38)=UPPER(M38),100,0)))</f>
      </c>
      <c r="K38" t="str" s="33" cm="1">
        <f t="array" ref="K38">IF(I38="","",IF(I38&lt;=O38,"Low",IF(I38&lt;=P38,"Moderate","High")))</f>
      </c>
      <c r="L38" t="str" s="33" cm="1">
        <f t="array" ref="L38">IF(K38="High","Review","")</f>
      </c>
      <c r="M38" t="s" s="32">
        <v>144</v>
      </c>
      <c r="N38" t="s" s="32">
        <v>75</v>
      </c>
      <c r="O38" s="34">
        <v>0</v>
      </c>
      <c r="P38" s="34">
        <v>10</v>
      </c>
      <c r="Q38" s="47">
        <v>25</v>
      </c>
      <c r="R38" s="30"/>
    </row>
    <row r="39" ht="14.5" customHeight="1">
      <c r="A39" s="48"/>
      <c r="B39" t="s" s="37">
        <v>253</v>
      </c>
      <c r="C39" t="s" s="37">
        <v>34</v>
      </c>
      <c r="D39" t="s" s="37">
        <v>245</v>
      </c>
      <c r="E39" t="s" s="37">
        <v>245</v>
      </c>
      <c r="F39" t="s" s="37">
        <v>218</v>
      </c>
      <c r="G39" t="s" s="37">
        <v>255</v>
      </c>
      <c r="H39" s="38"/>
      <c r="I39" s="49"/>
      <c r="J39" t="str" s="38" cm="1">
        <f t="array" ref="J39">IF(H39="","",IF(F39="Likert",IF(N39="Yes",((6-H39)-1)/4*100,(H39-1)/4*100),IF(UPPER(H39)=UPPER(M39),100,0)))</f>
      </c>
      <c r="K39" t="str" s="38" cm="1">
        <f t="array" ref="K39">IF(I39="","",IF(I39&lt;=O39,"Low",IF(I39&lt;=P39,"Moderate","High")))</f>
      </c>
      <c r="L39" t="str" s="38" cm="1">
        <f t="array" ref="L39">IF(K39="High","Review","")</f>
      </c>
      <c r="M39" t="s" s="37">
        <v>260</v>
      </c>
      <c r="N39" t="s" s="37">
        <v>75</v>
      </c>
      <c r="O39" s="39">
        <v>0</v>
      </c>
      <c r="P39" s="39">
        <v>10</v>
      </c>
      <c r="Q39" s="50">
        <v>25</v>
      </c>
      <c r="R39" s="30"/>
    </row>
    <row r="40" ht="14.5" customHeight="1">
      <c r="A40" s="45"/>
      <c r="B40" t="s" s="32">
        <v>261</v>
      </c>
      <c r="C40" t="s" s="32">
        <v>34</v>
      </c>
      <c r="D40" t="s" s="32">
        <v>245</v>
      </c>
      <c r="E40" t="s" s="32">
        <v>245</v>
      </c>
      <c r="F40" t="s" s="32">
        <v>218</v>
      </c>
      <c r="G40" t="s" s="32">
        <v>263</v>
      </c>
      <c r="H40" s="33"/>
      <c r="I40" s="46"/>
      <c r="J40" t="str" s="33" cm="1">
        <f t="array" ref="J40">IF(H40="","",IF(F40="Likert",IF(N40="Yes",((6-H40)-1)/4*100,(H40-1)/4*100),IF(UPPER(H40)=UPPER(M40),100,0)))</f>
      </c>
      <c r="K40" t="str" s="33" cm="1">
        <f t="array" ref="K40">IF(I40="","",IF(I40&lt;=O40,"Low",IF(I40&lt;=P40,"Moderate","High")))</f>
      </c>
      <c r="L40" t="str" s="33" cm="1">
        <f t="array" ref="L40">IF(K40="High","Review","")</f>
      </c>
      <c r="M40" t="s" s="32">
        <v>268</v>
      </c>
      <c r="N40" t="s" s="32">
        <v>75</v>
      </c>
      <c r="O40" s="34">
        <v>0</v>
      </c>
      <c r="P40" s="34">
        <v>10</v>
      </c>
      <c r="Q40" s="47">
        <v>25</v>
      </c>
      <c r="R40" s="30"/>
    </row>
    <row r="41" ht="14.5" customHeight="1">
      <c r="A41" s="48"/>
      <c r="B41" t="s" s="37">
        <v>269</v>
      </c>
      <c r="C41" t="s" s="37">
        <v>34</v>
      </c>
      <c r="D41" t="s" s="37">
        <v>271</v>
      </c>
      <c r="E41" t="s" s="37">
        <v>271</v>
      </c>
      <c r="F41" t="s" s="37">
        <v>218</v>
      </c>
      <c r="G41" t="s" s="37">
        <v>272</v>
      </c>
      <c r="H41" s="38"/>
      <c r="I41" s="49"/>
      <c r="J41" t="str" s="38" cm="1">
        <f t="array" ref="J41">IF(H41="","",IF(F41="Likert",IF(N41="Yes",((6-H41)-1)/4*100,(H41-1)/4*100),IF(UPPER(H41)=UPPER(M41),100,0)))</f>
      </c>
      <c r="K41" t="str" s="38" cm="1">
        <f t="array" ref="K41">IF(I41="","",IF(I41&lt;=O41,"Low",IF(I41&lt;=P41,"Moderate","High")))</f>
      </c>
      <c r="L41" t="str" s="38" cm="1">
        <f t="array" ref="L41">IF(K41="High","Review","")</f>
      </c>
      <c r="M41" t="s" s="37">
        <v>260</v>
      </c>
      <c r="N41" t="s" s="37">
        <v>75</v>
      </c>
      <c r="O41" s="39">
        <v>0</v>
      </c>
      <c r="P41" s="39">
        <v>10</v>
      </c>
      <c r="Q41" s="50">
        <v>25</v>
      </c>
      <c r="R41" s="30"/>
    </row>
    <row r="42" ht="14.5" customHeight="1">
      <c r="A42" s="45"/>
      <c r="B42" t="s" s="32">
        <v>279</v>
      </c>
      <c r="C42" t="s" s="32">
        <v>34</v>
      </c>
      <c r="D42" t="s" s="32">
        <v>271</v>
      </c>
      <c r="E42" t="s" s="32">
        <v>271</v>
      </c>
      <c r="F42" t="s" s="32">
        <v>218</v>
      </c>
      <c r="G42" t="s" s="32">
        <v>281</v>
      </c>
      <c r="H42" s="33"/>
      <c r="I42" s="46"/>
      <c r="J42" t="str" s="33" cm="1">
        <f t="array" ref="J42">IF(H42="","",IF(F42="Likert",IF(N42="Yes",((6-H42)-1)/4*100,(H42-1)/4*100),IF(UPPER(H42)=UPPER(M42),100,0)))</f>
      </c>
      <c r="K42" t="str" s="33" cm="1">
        <f t="array" ref="K42">IF(I42="","",IF(I42&lt;=O42,"Low",IF(I42&lt;=P42,"Moderate","High")))</f>
      </c>
      <c r="L42" t="str" s="33" cm="1">
        <f t="array" ref="L42">IF(K42="High","Review","")</f>
      </c>
      <c r="M42" t="s" s="32">
        <v>144</v>
      </c>
      <c r="N42" t="s" s="32">
        <v>75</v>
      </c>
      <c r="O42" s="34">
        <v>0</v>
      </c>
      <c r="P42" s="34">
        <v>10</v>
      </c>
      <c r="Q42" s="47">
        <v>25</v>
      </c>
      <c r="R42" s="30"/>
    </row>
    <row r="43" ht="14.5" customHeight="1">
      <c r="A43" s="48"/>
      <c r="B43" t="s" s="37">
        <v>286</v>
      </c>
      <c r="C43" t="s" s="37">
        <v>34</v>
      </c>
      <c r="D43" t="s" s="37">
        <v>271</v>
      </c>
      <c r="E43" t="s" s="37">
        <v>271</v>
      </c>
      <c r="F43" t="s" s="37">
        <v>218</v>
      </c>
      <c r="G43" t="s" s="37">
        <v>288</v>
      </c>
      <c r="H43" s="38"/>
      <c r="I43" s="49"/>
      <c r="J43" t="str" s="38" cm="1">
        <f t="array" ref="J43">IF(H43="","",IF(F43="Likert",IF(N43="Yes",((6-H43)-1)/4*100,(H43-1)/4*100),IF(UPPER(H43)=UPPER(M43),100,0)))</f>
      </c>
      <c r="K43" t="str" s="38" cm="1">
        <f t="array" ref="K43">IF(I43="","",IF(I43&lt;=O43,"Low",IF(I43&lt;=P43,"Moderate","High")))</f>
      </c>
      <c r="L43" t="str" s="38" cm="1">
        <f t="array" ref="L43">IF(K43="High","Review","")</f>
      </c>
      <c r="M43" t="s" s="37">
        <v>260</v>
      </c>
      <c r="N43" t="s" s="37">
        <v>75</v>
      </c>
      <c r="O43" s="39">
        <v>0</v>
      </c>
      <c r="P43" s="39">
        <v>10</v>
      </c>
      <c r="Q43" s="50">
        <v>25</v>
      </c>
      <c r="R43" s="30"/>
    </row>
    <row r="44" ht="14.5" customHeight="1">
      <c r="A44" s="45"/>
      <c r="B44" t="s" s="32">
        <v>293</v>
      </c>
      <c r="C44" t="s" s="32">
        <v>34</v>
      </c>
      <c r="D44" t="s" s="32">
        <v>295</v>
      </c>
      <c r="E44" t="s" s="32">
        <v>295</v>
      </c>
      <c r="F44" t="s" s="32">
        <v>218</v>
      </c>
      <c r="G44" t="s" s="32">
        <v>296</v>
      </c>
      <c r="H44" s="33"/>
      <c r="I44" s="46"/>
      <c r="J44" t="str" s="33" cm="1">
        <f t="array" ref="J44">IF(H44="","",IF(F44="Likert",IF(N44="Yes",((6-H44)-1)/4*100,(H44-1)/4*100),IF(UPPER(H44)=UPPER(M44),100,0)))</f>
      </c>
      <c r="K44" t="str" s="33" cm="1">
        <f t="array" ref="K44">IF(I44="","",IF(I44&lt;=O44,"Low",IF(I44&lt;=P44,"Moderate","High")))</f>
      </c>
      <c r="L44" t="str" s="33" cm="1">
        <f t="array" ref="L44">IF(K44="High","Review","")</f>
      </c>
      <c r="M44" t="s" s="32">
        <v>105</v>
      </c>
      <c r="N44" t="s" s="32">
        <v>75</v>
      </c>
      <c r="O44" s="34">
        <v>0</v>
      </c>
      <c r="P44" s="34">
        <v>10</v>
      </c>
      <c r="Q44" s="47">
        <v>25</v>
      </c>
      <c r="R44" s="30"/>
    </row>
    <row r="45" ht="14.5" customHeight="1">
      <c r="A45" s="48"/>
      <c r="B45" t="s" s="37">
        <v>303</v>
      </c>
      <c r="C45" t="s" s="37">
        <v>34</v>
      </c>
      <c r="D45" t="s" s="37">
        <v>295</v>
      </c>
      <c r="E45" t="s" s="37">
        <v>295</v>
      </c>
      <c r="F45" t="s" s="37">
        <v>218</v>
      </c>
      <c r="G45" t="s" s="37">
        <v>305</v>
      </c>
      <c r="H45" s="38"/>
      <c r="I45" s="49"/>
      <c r="J45" t="str" s="38" cm="1">
        <f t="array" ref="J45">IF(H45="","",IF(F45="Likert",IF(N45="Yes",((6-H45)-1)/4*100,(H45-1)/4*100),IF(UPPER(H45)=UPPER(M45),100,0)))</f>
      </c>
      <c r="K45" t="str" s="38" cm="1">
        <f t="array" ref="K45">IF(I45="","",IF(I45&lt;=O45,"Low",IF(I45&lt;=P45,"Moderate","High")))</f>
      </c>
      <c r="L45" t="str" s="38" cm="1">
        <f t="array" ref="L45">IF(K45="High","Review","")</f>
      </c>
      <c r="M45" t="s" s="37">
        <v>260</v>
      </c>
      <c r="N45" t="s" s="37">
        <v>75</v>
      </c>
      <c r="O45" s="39">
        <v>0</v>
      </c>
      <c r="P45" s="39">
        <v>10</v>
      </c>
      <c r="Q45" s="50">
        <v>25</v>
      </c>
      <c r="R45" s="30"/>
    </row>
    <row r="46" ht="14.5" customHeight="1">
      <c r="A46" s="45"/>
      <c r="B46" t="s" s="32">
        <v>309</v>
      </c>
      <c r="C46" t="s" s="32">
        <v>34</v>
      </c>
      <c r="D46" t="s" s="32">
        <v>295</v>
      </c>
      <c r="E46" t="s" s="32">
        <v>295</v>
      </c>
      <c r="F46" t="s" s="32">
        <v>218</v>
      </c>
      <c r="G46" t="s" s="32">
        <v>311</v>
      </c>
      <c r="H46" s="33"/>
      <c r="I46" s="46"/>
      <c r="J46" t="str" s="33" cm="1">
        <f t="array" ref="J46">IF(H46="","",IF(F46="Likert",IF(N46="Yes",((6-H46)-1)/4*100,(H46-1)/4*100),IF(UPPER(H46)=UPPER(M46),100,0)))</f>
      </c>
      <c r="K46" t="str" s="33" cm="1">
        <f t="array" ref="K46">IF(I46="","",IF(I46&lt;=O46,"Low",IF(I46&lt;=P46,"Moderate","High")))</f>
      </c>
      <c r="L46" t="str" s="33" cm="1">
        <f t="array" ref="L46">IF(K46="High","Review","")</f>
      </c>
      <c r="M46" t="s" s="32">
        <v>268</v>
      </c>
      <c r="N46" t="s" s="32">
        <v>75</v>
      </c>
      <c r="O46" s="34">
        <v>0</v>
      </c>
      <c r="P46" s="34">
        <v>10</v>
      </c>
      <c r="Q46" s="47">
        <v>25</v>
      </c>
      <c r="R46" s="30"/>
    </row>
    <row r="47" ht="14.5" customHeight="1">
      <c r="A47" s="48"/>
      <c r="B47" t="s" s="37">
        <v>315</v>
      </c>
      <c r="C47" t="s" s="37">
        <v>34</v>
      </c>
      <c r="D47" t="s" s="37">
        <v>317</v>
      </c>
      <c r="E47" t="s" s="37">
        <v>317</v>
      </c>
      <c r="F47" t="s" s="37">
        <v>218</v>
      </c>
      <c r="G47" t="s" s="37">
        <v>318</v>
      </c>
      <c r="H47" s="38"/>
      <c r="I47" s="49"/>
      <c r="J47" t="str" s="38" cm="1">
        <f t="array" ref="J47">IF(H47="","",IF(F47="Likert",IF(N47="Yes",((6-H47)-1)/4*100,(H47-1)/4*100),IF(UPPER(H47)=UPPER(M47),100,0)))</f>
      </c>
      <c r="K47" t="str" s="38" cm="1">
        <f t="array" ref="K47">IF(I47="","",IF(I47&lt;=O47,"Low",IF(I47&lt;=P47,"Moderate","High")))</f>
      </c>
      <c r="L47" t="str" s="38" cm="1">
        <f t="array" ref="L47">IF(K47="High","Review","")</f>
      </c>
      <c r="M47" t="s" s="37">
        <v>260</v>
      </c>
      <c r="N47" t="s" s="37">
        <v>75</v>
      </c>
      <c r="O47" s="39">
        <v>0</v>
      </c>
      <c r="P47" s="39">
        <v>10</v>
      </c>
      <c r="Q47" s="50">
        <v>25</v>
      </c>
      <c r="R47" s="30"/>
    </row>
    <row r="48" ht="14.5" customHeight="1">
      <c r="A48" s="45"/>
      <c r="B48" t="s" s="32">
        <v>325</v>
      </c>
      <c r="C48" t="s" s="32">
        <v>34</v>
      </c>
      <c r="D48" t="s" s="32">
        <v>317</v>
      </c>
      <c r="E48" t="s" s="32">
        <v>317</v>
      </c>
      <c r="F48" t="s" s="32">
        <v>218</v>
      </c>
      <c r="G48" t="s" s="32">
        <v>327</v>
      </c>
      <c r="H48" s="33"/>
      <c r="I48" s="46"/>
      <c r="J48" t="str" s="33" cm="1">
        <f t="array" ref="J48">IF(H48="","",IF(F48="Likert",IF(N48="Yes",((6-H48)-1)/4*100,(H48-1)/4*100),IF(UPPER(H48)=UPPER(M48),100,0)))</f>
      </c>
      <c r="K48" t="str" s="33" cm="1">
        <f t="array" ref="K48">IF(I48="","",IF(I48&lt;=O48,"Low",IF(I48&lt;=P48,"Moderate","High")))</f>
      </c>
      <c r="L48" t="str" s="33" cm="1">
        <f t="array" ref="L48">IF(K48="High","Review","")</f>
      </c>
      <c r="M48" t="s" s="32">
        <v>260</v>
      </c>
      <c r="N48" t="s" s="32">
        <v>75</v>
      </c>
      <c r="O48" s="34">
        <v>0</v>
      </c>
      <c r="P48" s="34">
        <v>10</v>
      </c>
      <c r="Q48" s="47">
        <v>25</v>
      </c>
      <c r="R48" s="30"/>
    </row>
    <row r="49" ht="14.5" customHeight="1">
      <c r="A49" s="48"/>
      <c r="B49" t="s" s="37">
        <v>332</v>
      </c>
      <c r="C49" t="s" s="37">
        <v>34</v>
      </c>
      <c r="D49" t="s" s="37">
        <v>317</v>
      </c>
      <c r="E49" t="s" s="37">
        <v>317</v>
      </c>
      <c r="F49" t="s" s="37">
        <v>218</v>
      </c>
      <c r="G49" t="s" s="37">
        <v>334</v>
      </c>
      <c r="H49" s="38"/>
      <c r="I49" s="49"/>
      <c r="J49" t="str" s="38" cm="1">
        <f t="array" ref="J49">IF(H49="","",IF(F49="Likert",IF(N49="Yes",((6-H49)-1)/4*100,(H49-1)/4*100),IF(UPPER(H49)=UPPER(M49),100,0)))</f>
      </c>
      <c r="K49" t="str" s="38" cm="1">
        <f t="array" ref="K49">IF(I49="","",IF(I49&lt;=O49,"Low",IF(I49&lt;=P49,"Moderate","High")))</f>
      </c>
      <c r="L49" t="str" s="38" cm="1">
        <f t="array" ref="L49">IF(K49="High","Review","")</f>
      </c>
      <c r="M49" t="s" s="37">
        <v>260</v>
      </c>
      <c r="N49" t="s" s="37">
        <v>75</v>
      </c>
      <c r="O49" s="39">
        <v>0</v>
      </c>
      <c r="P49" s="39">
        <v>10</v>
      </c>
      <c r="Q49" s="50">
        <v>25</v>
      </c>
      <c r="R49" s="30"/>
    </row>
    <row r="50" ht="14.5" customHeight="1">
      <c r="A50" s="45"/>
      <c r="B50" t="s" s="32">
        <v>336</v>
      </c>
      <c r="C50" t="s" s="32">
        <v>35</v>
      </c>
      <c r="D50" t="s" s="32">
        <v>338</v>
      </c>
      <c r="E50" t="s" s="32">
        <v>338</v>
      </c>
      <c r="F50" t="s" s="32">
        <v>68</v>
      </c>
      <c r="G50" t="s" s="32">
        <v>339</v>
      </c>
      <c r="H50" s="33"/>
      <c r="I50" s="46"/>
      <c r="J50" t="str" s="33" cm="1">
        <f t="array" ref="J50">IF(H50="","",IF(F50="Likert",IF(N50="Yes",((6-H50)-1)/4*100,(H50-1)/4*100),IF(UPPER(H50)=UPPER(M50),100,0)))</f>
      </c>
      <c r="K50" t="str" s="33" cm="1">
        <f t="array" ref="K50">IF(I50="","",IF(I50&lt;=O50,"Low",IF(I50&lt;=P50,"Moderate","High")))</f>
      </c>
      <c r="L50" t="str" s="33" cm="1">
        <f t="array" ref="L50">IF(K50="High","Review","")</f>
      </c>
      <c r="M50" s="33"/>
      <c r="N50" t="s" s="32">
        <v>75</v>
      </c>
      <c r="O50" s="34">
        <v>0</v>
      </c>
      <c r="P50" s="34">
        <v>10</v>
      </c>
      <c r="Q50" s="47">
        <v>25</v>
      </c>
      <c r="R50" s="30"/>
    </row>
    <row r="51" ht="14.5" customHeight="1">
      <c r="A51" s="48"/>
      <c r="B51" t="s" s="37">
        <v>343</v>
      </c>
      <c r="C51" t="s" s="37">
        <v>35</v>
      </c>
      <c r="D51" t="s" s="37">
        <v>338</v>
      </c>
      <c r="E51" t="s" s="37">
        <v>338</v>
      </c>
      <c r="F51" t="s" s="37">
        <v>68</v>
      </c>
      <c r="G51" t="s" s="37">
        <v>345</v>
      </c>
      <c r="H51" s="38"/>
      <c r="I51" s="49"/>
      <c r="J51" t="str" s="38" cm="1">
        <f t="array" ref="J51">IF(H51="","",IF(F51="Likert",IF(N51="Yes",((6-H51)-1)/4*100,(H51-1)/4*100),IF(UPPER(H51)=UPPER(M51),100,0)))</f>
      </c>
      <c r="K51" t="str" s="38" cm="1">
        <f t="array" ref="K51">IF(I51="","",IF(I51&lt;=O51,"Low",IF(I51&lt;=P51,"Moderate","High")))</f>
      </c>
      <c r="L51" t="str" s="38" cm="1">
        <f t="array" ref="L51">IF(K51="High","Review","")</f>
      </c>
      <c r="M51" s="38"/>
      <c r="N51" t="s" s="37">
        <v>75</v>
      </c>
      <c r="O51" s="39">
        <v>0</v>
      </c>
      <c r="P51" s="39">
        <v>10</v>
      </c>
      <c r="Q51" s="50">
        <v>25</v>
      </c>
      <c r="R51" s="30"/>
    </row>
    <row r="52" ht="14.5" customHeight="1">
      <c r="A52" s="45"/>
      <c r="B52" t="s" s="32">
        <v>346</v>
      </c>
      <c r="C52" t="s" s="32">
        <v>35</v>
      </c>
      <c r="D52" t="s" s="32">
        <v>338</v>
      </c>
      <c r="E52" t="s" s="32">
        <v>338</v>
      </c>
      <c r="F52" t="s" s="32">
        <v>68</v>
      </c>
      <c r="G52" t="s" s="32">
        <v>348</v>
      </c>
      <c r="H52" s="33"/>
      <c r="I52" s="46"/>
      <c r="J52" t="str" s="33" cm="1">
        <f t="array" ref="J52">IF(H52="","",IF(F52="Likert",IF(N52="Yes",((6-H52)-1)/4*100,(H52-1)/4*100),IF(UPPER(H52)=UPPER(M52),100,0)))</f>
      </c>
      <c r="K52" t="str" s="33" cm="1">
        <f t="array" ref="K52">IF(I52="","",IF(I52&lt;=O52,"Low",IF(I52&lt;=P52,"Moderate","High")))</f>
      </c>
      <c r="L52" t="str" s="33" cm="1">
        <f t="array" ref="L52">IF(K52="High","Review","")</f>
      </c>
      <c r="M52" s="33"/>
      <c r="N52" t="s" s="32">
        <v>75</v>
      </c>
      <c r="O52" s="34">
        <v>0</v>
      </c>
      <c r="P52" s="34">
        <v>10</v>
      </c>
      <c r="Q52" s="47">
        <v>25</v>
      </c>
      <c r="R52" s="30"/>
    </row>
    <row r="53" ht="14.5" customHeight="1">
      <c r="A53" s="48"/>
      <c r="B53" t="s" s="37">
        <v>349</v>
      </c>
      <c r="C53" t="s" s="37">
        <v>35</v>
      </c>
      <c r="D53" t="s" s="37">
        <v>351</v>
      </c>
      <c r="E53" t="s" s="37">
        <v>351</v>
      </c>
      <c r="F53" t="s" s="37">
        <v>68</v>
      </c>
      <c r="G53" t="s" s="37">
        <v>352</v>
      </c>
      <c r="H53" s="38"/>
      <c r="I53" s="49"/>
      <c r="J53" t="str" s="38" cm="1">
        <f t="array" ref="J53">IF(H53="","",IF(F53="Likert",IF(N53="Yes",((6-H53)-1)/4*100,(H53-1)/4*100),IF(UPPER(H53)=UPPER(M53),100,0)))</f>
      </c>
      <c r="K53" t="str" s="38" cm="1">
        <f t="array" ref="K53">IF(I53="","",IF(I53&lt;=O53,"Low",IF(I53&lt;=P53,"Moderate","High")))</f>
      </c>
      <c r="L53" t="str" s="38" cm="1">
        <f t="array" ref="L53">IF(K53="High","Review","")</f>
      </c>
      <c r="M53" s="38"/>
      <c r="N53" t="s" s="37">
        <v>75</v>
      </c>
      <c r="O53" s="39">
        <v>0</v>
      </c>
      <c r="P53" s="39">
        <v>10</v>
      </c>
      <c r="Q53" s="50">
        <v>25</v>
      </c>
      <c r="R53" s="30"/>
    </row>
    <row r="54" ht="14.5" customHeight="1">
      <c r="A54" s="45"/>
      <c r="B54" t="s" s="32">
        <v>355</v>
      </c>
      <c r="C54" t="s" s="32">
        <v>35</v>
      </c>
      <c r="D54" t="s" s="32">
        <v>351</v>
      </c>
      <c r="E54" t="s" s="32">
        <v>351</v>
      </c>
      <c r="F54" t="s" s="32">
        <v>68</v>
      </c>
      <c r="G54" t="s" s="32">
        <v>357</v>
      </c>
      <c r="H54" s="33"/>
      <c r="I54" s="46"/>
      <c r="J54" t="str" s="33" cm="1">
        <f t="array" ref="J54">IF(H54="","",IF(F54="Likert",IF(N54="Yes",((6-H54)-1)/4*100,(H54-1)/4*100),IF(UPPER(H54)=UPPER(M54),100,0)))</f>
      </c>
      <c r="K54" t="str" s="33" cm="1">
        <f t="array" ref="K54">IF(I54="","",IF(I54&lt;=O54,"Low",IF(I54&lt;=P54,"Moderate","High")))</f>
      </c>
      <c r="L54" t="str" s="33" cm="1">
        <f t="array" ref="L54">IF(K54="High","Review","")</f>
      </c>
      <c r="M54" s="33"/>
      <c r="N54" t="s" s="32">
        <v>75</v>
      </c>
      <c r="O54" s="34">
        <v>0</v>
      </c>
      <c r="P54" s="34">
        <v>10</v>
      </c>
      <c r="Q54" s="47">
        <v>25</v>
      </c>
      <c r="R54" s="30"/>
    </row>
    <row r="55" ht="14.5" customHeight="1">
      <c r="A55" s="48"/>
      <c r="B55" t="s" s="37">
        <v>358</v>
      </c>
      <c r="C55" t="s" s="37">
        <v>35</v>
      </c>
      <c r="D55" t="s" s="37">
        <v>351</v>
      </c>
      <c r="E55" t="s" s="37">
        <v>351</v>
      </c>
      <c r="F55" t="s" s="37">
        <v>68</v>
      </c>
      <c r="G55" t="s" s="37">
        <v>360</v>
      </c>
      <c r="H55" s="38"/>
      <c r="I55" s="49"/>
      <c r="J55" t="str" s="38" cm="1">
        <f t="array" ref="J55">IF(H55="","",IF(F55="Likert",IF(N55="Yes",((6-H55)-1)/4*100,(H55-1)/4*100),IF(UPPER(H55)=UPPER(M55),100,0)))</f>
      </c>
      <c r="K55" t="str" s="38" cm="1">
        <f t="array" ref="K55">IF(I55="","",IF(I55&lt;=O55,"Low",IF(I55&lt;=P55,"Moderate","High")))</f>
      </c>
      <c r="L55" t="str" s="38" cm="1">
        <f t="array" ref="L55">IF(K55="High","Review","")</f>
      </c>
      <c r="M55" s="38"/>
      <c r="N55" t="s" s="37">
        <v>75</v>
      </c>
      <c r="O55" s="39">
        <v>0</v>
      </c>
      <c r="P55" s="39">
        <v>10</v>
      </c>
      <c r="Q55" s="50">
        <v>25</v>
      </c>
      <c r="R55" s="30"/>
    </row>
    <row r="56" ht="14.5" customHeight="1">
      <c r="A56" s="45"/>
      <c r="B56" t="s" s="32">
        <v>361</v>
      </c>
      <c r="C56" t="s" s="32">
        <v>35</v>
      </c>
      <c r="D56" t="s" s="32">
        <v>363</v>
      </c>
      <c r="E56" t="s" s="32">
        <v>363</v>
      </c>
      <c r="F56" t="s" s="32">
        <v>68</v>
      </c>
      <c r="G56" t="s" s="32">
        <v>364</v>
      </c>
      <c r="H56" s="33"/>
      <c r="I56" s="46"/>
      <c r="J56" t="str" s="33" cm="1">
        <f t="array" ref="J56">IF(H56="","",IF(F56="Likert",IF(N56="Yes",((6-H56)-1)/4*100,(H56-1)/4*100),IF(UPPER(H56)=UPPER(M56),100,0)))</f>
      </c>
      <c r="K56" t="str" s="33" cm="1">
        <f t="array" ref="K56">IF(I56="","",IF(I56&lt;=O56,"Low",IF(I56&lt;=P56,"Moderate","High")))</f>
      </c>
      <c r="L56" t="str" s="33" cm="1">
        <f t="array" ref="L56">IF(K56="High","Review","")</f>
      </c>
      <c r="M56" s="33"/>
      <c r="N56" t="s" s="32">
        <v>75</v>
      </c>
      <c r="O56" s="34">
        <v>0</v>
      </c>
      <c r="P56" s="34">
        <v>10</v>
      </c>
      <c r="Q56" s="47">
        <v>25</v>
      </c>
      <c r="R56" s="30"/>
    </row>
    <row r="57" ht="14.5" customHeight="1">
      <c r="A57" s="48"/>
      <c r="B57" t="s" s="37">
        <v>367</v>
      </c>
      <c r="C57" t="s" s="37">
        <v>35</v>
      </c>
      <c r="D57" t="s" s="37">
        <v>363</v>
      </c>
      <c r="E57" t="s" s="37">
        <v>363</v>
      </c>
      <c r="F57" t="s" s="37">
        <v>68</v>
      </c>
      <c r="G57" t="s" s="37">
        <v>369</v>
      </c>
      <c r="H57" s="38"/>
      <c r="I57" s="49"/>
      <c r="J57" t="str" s="38" cm="1">
        <f t="array" ref="J57">IF(H57="","",IF(F57="Likert",IF(N57="Yes",((6-H57)-1)/4*100,(H57-1)/4*100),IF(UPPER(H57)=UPPER(M57),100,0)))</f>
      </c>
      <c r="K57" t="str" s="38" cm="1">
        <f t="array" ref="K57">IF(I57="","",IF(I57&lt;=O57,"Low",IF(I57&lt;=P57,"Moderate","High")))</f>
      </c>
      <c r="L57" t="str" s="38" cm="1">
        <f t="array" ref="L57">IF(K57="High","Review","")</f>
      </c>
      <c r="M57" s="38"/>
      <c r="N57" t="s" s="37">
        <v>75</v>
      </c>
      <c r="O57" s="39">
        <v>0</v>
      </c>
      <c r="P57" s="39">
        <v>10</v>
      </c>
      <c r="Q57" s="50">
        <v>25</v>
      </c>
      <c r="R57" s="30"/>
    </row>
    <row r="58" ht="14.5" customHeight="1">
      <c r="A58" s="45"/>
      <c r="B58" t="s" s="32">
        <v>370</v>
      </c>
      <c r="C58" t="s" s="32">
        <v>35</v>
      </c>
      <c r="D58" t="s" s="32">
        <v>363</v>
      </c>
      <c r="E58" t="s" s="32">
        <v>363</v>
      </c>
      <c r="F58" t="s" s="32">
        <v>68</v>
      </c>
      <c r="G58" t="s" s="32">
        <v>372</v>
      </c>
      <c r="H58" s="33"/>
      <c r="I58" s="46"/>
      <c r="J58" t="str" s="33" cm="1">
        <f t="array" ref="J58">IF(H58="","",IF(F58="Likert",IF(N58="Yes",((6-H58)-1)/4*100,(H58-1)/4*100),IF(UPPER(H58)=UPPER(M58),100,0)))</f>
      </c>
      <c r="K58" t="str" s="33" cm="1">
        <f t="array" ref="K58">IF(I58="","",IF(I58&lt;=O58,"Low",IF(I58&lt;=P58,"Moderate","High")))</f>
      </c>
      <c r="L58" t="str" s="33" cm="1">
        <f t="array" ref="L58">IF(K58="High","Review","")</f>
      </c>
      <c r="M58" s="33"/>
      <c r="N58" t="s" s="32">
        <v>75</v>
      </c>
      <c r="O58" s="34">
        <v>0</v>
      </c>
      <c r="P58" s="34">
        <v>10</v>
      </c>
      <c r="Q58" s="47">
        <v>25</v>
      </c>
      <c r="R58" s="30"/>
    </row>
    <row r="59" ht="14.5" customHeight="1">
      <c r="A59" s="48"/>
      <c r="B59" t="s" s="37">
        <v>373</v>
      </c>
      <c r="C59" t="s" s="37">
        <v>35</v>
      </c>
      <c r="D59" t="s" s="37">
        <v>375</v>
      </c>
      <c r="E59" t="s" s="37">
        <v>375</v>
      </c>
      <c r="F59" t="s" s="37">
        <v>68</v>
      </c>
      <c r="G59" t="s" s="37">
        <v>376</v>
      </c>
      <c r="H59" s="38"/>
      <c r="I59" s="49"/>
      <c r="J59" t="str" s="38" cm="1">
        <f t="array" ref="J59">IF(H59="","",IF(F59="Likert",IF(N59="Yes",((6-H59)-1)/4*100,(H59-1)/4*100),IF(UPPER(H59)=UPPER(M59),100,0)))</f>
      </c>
      <c r="K59" t="str" s="38" cm="1">
        <f t="array" ref="K59">IF(I59="","",IF(I59&lt;=O59,"Low",IF(I59&lt;=P59,"Moderate","High")))</f>
      </c>
      <c r="L59" t="str" s="38" cm="1">
        <f t="array" ref="L59">IF(K59="High","Review","")</f>
      </c>
      <c r="M59" s="38"/>
      <c r="N59" t="s" s="37">
        <v>75</v>
      </c>
      <c r="O59" s="39">
        <v>0</v>
      </c>
      <c r="P59" s="39">
        <v>10</v>
      </c>
      <c r="Q59" s="50">
        <v>25</v>
      </c>
      <c r="R59" s="30"/>
    </row>
    <row r="60" ht="14.5" customHeight="1">
      <c r="A60" s="45"/>
      <c r="B60" t="s" s="32">
        <v>379</v>
      </c>
      <c r="C60" t="s" s="32">
        <v>35</v>
      </c>
      <c r="D60" t="s" s="32">
        <v>375</v>
      </c>
      <c r="E60" t="s" s="32">
        <v>375</v>
      </c>
      <c r="F60" t="s" s="32">
        <v>68</v>
      </c>
      <c r="G60" t="s" s="32">
        <v>381</v>
      </c>
      <c r="H60" s="33"/>
      <c r="I60" s="46"/>
      <c r="J60" t="str" s="33" cm="1">
        <f t="array" ref="J60">IF(H60="","",IF(F60="Likert",IF(N60="Yes",((6-H60)-1)/4*100,(H60-1)/4*100),IF(UPPER(H60)=UPPER(M60),100,0)))</f>
      </c>
      <c r="K60" t="str" s="33" cm="1">
        <f t="array" ref="K60">IF(I60="","",IF(I60&lt;=O60,"Low",IF(I60&lt;=P60,"Moderate","High")))</f>
      </c>
      <c r="L60" t="str" s="33" cm="1">
        <f t="array" ref="L60">IF(K60="High","Review","")</f>
      </c>
      <c r="M60" s="33"/>
      <c r="N60" t="s" s="32">
        <v>75</v>
      </c>
      <c r="O60" s="34">
        <v>0</v>
      </c>
      <c r="P60" s="34">
        <v>10</v>
      </c>
      <c r="Q60" s="47">
        <v>25</v>
      </c>
      <c r="R60" s="30"/>
    </row>
    <row r="61" ht="14.5" customHeight="1">
      <c r="A61" s="48"/>
      <c r="B61" t="s" s="37">
        <v>382</v>
      </c>
      <c r="C61" t="s" s="37">
        <v>35</v>
      </c>
      <c r="D61" t="s" s="37">
        <v>375</v>
      </c>
      <c r="E61" t="s" s="37">
        <v>375</v>
      </c>
      <c r="F61" t="s" s="37">
        <v>68</v>
      </c>
      <c r="G61" t="s" s="37">
        <v>384</v>
      </c>
      <c r="H61" s="38"/>
      <c r="I61" s="49"/>
      <c r="J61" t="str" s="38" cm="1">
        <f t="array" ref="J61">IF(H61="","",IF(F61="Likert",IF(N61="Yes",((6-H61)-1)/4*100,(H61-1)/4*100),IF(UPPER(H61)=UPPER(M61),100,0)))</f>
      </c>
      <c r="K61" t="str" s="38" cm="1">
        <f t="array" ref="K61">IF(I61="","",IF(I61&lt;=O61,"Low",IF(I61&lt;=P61,"Moderate","High")))</f>
      </c>
      <c r="L61" t="str" s="38" cm="1">
        <f t="array" ref="L61">IF(K61="High","Review","")</f>
      </c>
      <c r="M61" s="38"/>
      <c r="N61" t="s" s="37">
        <v>75</v>
      </c>
      <c r="O61" s="39">
        <v>0</v>
      </c>
      <c r="P61" s="39">
        <v>10</v>
      </c>
      <c r="Q61" s="50">
        <v>25</v>
      </c>
      <c r="R61" s="30"/>
    </row>
    <row r="62" ht="14.5" customHeight="1">
      <c r="A62" s="45"/>
      <c r="B62" t="s" s="32">
        <v>385</v>
      </c>
      <c r="C62" t="s" s="32">
        <v>36</v>
      </c>
      <c r="D62" t="s" s="32">
        <v>387</v>
      </c>
      <c r="E62" t="s" s="32">
        <v>387</v>
      </c>
      <c r="F62" t="s" s="32">
        <v>68</v>
      </c>
      <c r="G62" t="s" s="32">
        <v>388</v>
      </c>
      <c r="H62" s="33"/>
      <c r="I62" s="46"/>
      <c r="J62" t="str" s="33" cm="1">
        <f t="array" ref="J62">IF(H62="","",IF(F62="Likert",IF(N62="Yes",((6-H62)-1)/4*100,(H62-1)/4*100),IF(UPPER(H62)=UPPER(M62),100,0)))</f>
      </c>
      <c r="K62" t="str" s="33" cm="1">
        <f t="array" ref="K62">IF(I62="","",IF(I62&lt;=O62,"Low",IF(I62&lt;=P62,"Moderate","High")))</f>
      </c>
      <c r="L62" t="str" s="33" cm="1">
        <f t="array" ref="L62">IF(K62="High","Review","")</f>
      </c>
      <c r="M62" s="33"/>
      <c r="N62" t="s" s="32">
        <v>75</v>
      </c>
      <c r="O62" s="34">
        <v>0</v>
      </c>
      <c r="P62" s="34">
        <v>7</v>
      </c>
      <c r="Q62" s="47">
        <v>18</v>
      </c>
      <c r="R62" s="30"/>
    </row>
    <row r="63" ht="14.5" customHeight="1">
      <c r="A63" s="48"/>
      <c r="B63" t="s" s="37">
        <v>392</v>
      </c>
      <c r="C63" t="s" s="37">
        <v>36</v>
      </c>
      <c r="D63" t="s" s="37">
        <v>387</v>
      </c>
      <c r="E63" t="s" s="37">
        <v>387</v>
      </c>
      <c r="F63" t="s" s="37">
        <v>68</v>
      </c>
      <c r="G63" t="s" s="37">
        <v>394</v>
      </c>
      <c r="H63" s="38"/>
      <c r="I63" s="49"/>
      <c r="J63" t="str" s="38" cm="1">
        <f t="array" ref="J63">IF(H63="","",IF(F63="Likert",IF(N63="Yes",((6-H63)-1)/4*100,(H63-1)/4*100),IF(UPPER(H63)=UPPER(M63),100,0)))</f>
      </c>
      <c r="K63" t="str" s="38" cm="1">
        <f t="array" ref="K63">IF(I63="","",IF(I63&lt;=O63,"Low",IF(I63&lt;=P63,"Moderate","High")))</f>
      </c>
      <c r="L63" t="str" s="38" cm="1">
        <f t="array" ref="L63">IF(K63="High","Review","")</f>
      </c>
      <c r="M63" s="38"/>
      <c r="N63" t="s" s="37">
        <v>75</v>
      </c>
      <c r="O63" s="39">
        <v>0</v>
      </c>
      <c r="P63" s="39">
        <v>7</v>
      </c>
      <c r="Q63" s="50">
        <v>18</v>
      </c>
      <c r="R63" s="30"/>
    </row>
    <row r="64" ht="14.5" customHeight="1">
      <c r="A64" s="45"/>
      <c r="B64" t="s" s="32">
        <v>395</v>
      </c>
      <c r="C64" t="s" s="32">
        <v>36</v>
      </c>
      <c r="D64" t="s" s="32">
        <v>387</v>
      </c>
      <c r="E64" t="s" s="32">
        <v>387</v>
      </c>
      <c r="F64" t="s" s="32">
        <v>68</v>
      </c>
      <c r="G64" t="s" s="32">
        <v>397</v>
      </c>
      <c r="H64" s="33"/>
      <c r="I64" s="46"/>
      <c r="J64" t="str" s="33" cm="1">
        <f t="array" ref="J64">IF(H64="","",IF(F64="Likert",IF(N64="Yes",((6-H64)-1)/4*100,(H64-1)/4*100),IF(UPPER(H64)=UPPER(M64),100,0)))</f>
      </c>
      <c r="K64" t="str" s="33" cm="1">
        <f t="array" ref="K64">IF(I64="","",IF(I64&lt;=O64,"Low",IF(I64&lt;=P64,"Moderate","High")))</f>
      </c>
      <c r="L64" t="str" s="33" cm="1">
        <f t="array" ref="L64">IF(K64="High","Review","")</f>
      </c>
      <c r="M64" s="33"/>
      <c r="N64" t="s" s="32">
        <v>75</v>
      </c>
      <c r="O64" s="34">
        <v>0</v>
      </c>
      <c r="P64" s="34">
        <v>7</v>
      </c>
      <c r="Q64" s="47">
        <v>18</v>
      </c>
      <c r="R64" s="30"/>
    </row>
    <row r="65" ht="14.5" customHeight="1">
      <c r="A65" s="48"/>
      <c r="B65" t="s" s="37">
        <v>398</v>
      </c>
      <c r="C65" t="s" s="37">
        <v>36</v>
      </c>
      <c r="D65" t="s" s="37">
        <v>400</v>
      </c>
      <c r="E65" t="s" s="37">
        <v>400</v>
      </c>
      <c r="F65" t="s" s="37">
        <v>68</v>
      </c>
      <c r="G65" t="s" s="37">
        <v>401</v>
      </c>
      <c r="H65" s="38"/>
      <c r="I65" s="49"/>
      <c r="J65" t="str" s="38" cm="1">
        <f t="array" ref="J65">IF(H65="","",IF(F65="Likert",IF(N65="Yes",((6-H65)-1)/4*100,(H65-1)/4*100),IF(UPPER(H65)=UPPER(M65),100,0)))</f>
      </c>
      <c r="K65" t="str" s="38" cm="1">
        <f t="array" ref="K65">IF(I65="","",IF(I65&lt;=O65,"Low",IF(I65&lt;=P65,"Moderate","High")))</f>
      </c>
      <c r="L65" t="str" s="38" cm="1">
        <f t="array" ref="L65">IF(K65="High","Review","")</f>
      </c>
      <c r="M65" s="38"/>
      <c r="N65" t="s" s="37">
        <v>75</v>
      </c>
      <c r="O65" s="39">
        <v>0</v>
      </c>
      <c r="P65" s="39">
        <v>7</v>
      </c>
      <c r="Q65" s="50">
        <v>18</v>
      </c>
      <c r="R65" s="30"/>
    </row>
    <row r="66" ht="14.5" customHeight="1">
      <c r="A66" s="45"/>
      <c r="B66" t="s" s="32">
        <v>404</v>
      </c>
      <c r="C66" t="s" s="32">
        <v>36</v>
      </c>
      <c r="D66" t="s" s="32">
        <v>400</v>
      </c>
      <c r="E66" t="s" s="32">
        <v>400</v>
      </c>
      <c r="F66" t="s" s="32">
        <v>68</v>
      </c>
      <c r="G66" t="s" s="32">
        <v>406</v>
      </c>
      <c r="H66" s="33"/>
      <c r="I66" s="46"/>
      <c r="J66" t="str" s="33" cm="1">
        <f t="array" ref="J66">IF(H66="","",IF(F66="Likert",IF(N66="Yes",((6-H66)-1)/4*100,(H66-1)/4*100),IF(UPPER(H66)=UPPER(M66),100,0)))</f>
      </c>
      <c r="K66" t="str" s="33" cm="1">
        <f t="array" ref="K66">IF(I66="","",IF(I66&lt;=O66,"Low",IF(I66&lt;=P66,"Moderate","High")))</f>
      </c>
      <c r="L66" t="str" s="33" cm="1">
        <f t="array" ref="L66">IF(K66="High","Review","")</f>
      </c>
      <c r="M66" s="33"/>
      <c r="N66" t="s" s="32">
        <v>75</v>
      </c>
      <c r="O66" s="34">
        <v>0</v>
      </c>
      <c r="P66" s="34">
        <v>7</v>
      </c>
      <c r="Q66" s="47">
        <v>18</v>
      </c>
      <c r="R66" s="30"/>
    </row>
    <row r="67" ht="14.5" customHeight="1">
      <c r="A67" s="48"/>
      <c r="B67" t="s" s="37">
        <v>407</v>
      </c>
      <c r="C67" t="s" s="37">
        <v>36</v>
      </c>
      <c r="D67" t="s" s="37">
        <v>400</v>
      </c>
      <c r="E67" t="s" s="37">
        <v>400</v>
      </c>
      <c r="F67" t="s" s="37">
        <v>68</v>
      </c>
      <c r="G67" t="s" s="37">
        <v>409</v>
      </c>
      <c r="H67" s="38"/>
      <c r="I67" s="49"/>
      <c r="J67" t="str" s="38" cm="1">
        <f t="array" ref="J67">IF(H67="","",IF(F67="Likert",IF(N67="Yes",((6-H67)-1)/4*100,(H67-1)/4*100),IF(UPPER(H67)=UPPER(M67),100,0)))</f>
      </c>
      <c r="K67" t="str" s="38" cm="1">
        <f t="array" ref="K67">IF(I67="","",IF(I67&lt;=O67,"Low",IF(I67&lt;=P67,"Moderate","High")))</f>
      </c>
      <c r="L67" t="str" s="38" cm="1">
        <f t="array" ref="L67">IF(K67="High","Review","")</f>
      </c>
      <c r="M67" s="38"/>
      <c r="N67" t="s" s="37">
        <v>75</v>
      </c>
      <c r="O67" s="39">
        <v>0</v>
      </c>
      <c r="P67" s="39">
        <v>7</v>
      </c>
      <c r="Q67" s="50">
        <v>18</v>
      </c>
      <c r="R67" s="30"/>
    </row>
    <row r="68" ht="14.5" customHeight="1">
      <c r="A68" s="45"/>
      <c r="B68" t="s" s="32">
        <v>410</v>
      </c>
      <c r="C68" t="s" s="32">
        <v>36</v>
      </c>
      <c r="D68" t="s" s="32">
        <v>412</v>
      </c>
      <c r="E68" t="s" s="32">
        <v>412</v>
      </c>
      <c r="F68" t="s" s="32">
        <v>68</v>
      </c>
      <c r="G68" t="s" s="32">
        <v>413</v>
      </c>
      <c r="H68" s="33"/>
      <c r="I68" s="46"/>
      <c r="J68" t="str" s="33" cm="1">
        <f t="array" ref="J68">IF(H68="","",IF(F68="Likert",IF(N68="Yes",((6-H68)-1)/4*100,(H68-1)/4*100),IF(UPPER(H68)=UPPER(M68),100,0)))</f>
      </c>
      <c r="K68" t="str" s="33" cm="1">
        <f t="array" ref="K68">IF(I68="","",IF(I68&lt;=O68,"Low",IF(I68&lt;=P68,"Moderate","High")))</f>
      </c>
      <c r="L68" t="str" s="33" cm="1">
        <f t="array" ref="L68">IF(K68="High","Review","")</f>
      </c>
      <c r="M68" s="33"/>
      <c r="N68" t="s" s="32">
        <v>75</v>
      </c>
      <c r="O68" s="34">
        <v>0</v>
      </c>
      <c r="P68" s="34">
        <v>7</v>
      </c>
      <c r="Q68" s="47">
        <v>18</v>
      </c>
      <c r="R68" s="30"/>
    </row>
    <row r="69" ht="14.5" customHeight="1">
      <c r="A69" s="48"/>
      <c r="B69" t="s" s="37">
        <v>416</v>
      </c>
      <c r="C69" t="s" s="37">
        <v>36</v>
      </c>
      <c r="D69" t="s" s="37">
        <v>412</v>
      </c>
      <c r="E69" t="s" s="37">
        <v>412</v>
      </c>
      <c r="F69" t="s" s="37">
        <v>68</v>
      </c>
      <c r="G69" t="s" s="37">
        <v>418</v>
      </c>
      <c r="H69" s="38"/>
      <c r="I69" s="49"/>
      <c r="J69" t="str" s="38" cm="1">
        <f t="array" ref="J69">IF(H69="","",IF(F69="Likert",IF(N69="Yes",((6-H69)-1)/4*100,(H69-1)/4*100),IF(UPPER(H69)=UPPER(M69),100,0)))</f>
      </c>
      <c r="K69" t="str" s="38" cm="1">
        <f t="array" ref="K69">IF(I69="","",IF(I69&lt;=O69,"Low",IF(I69&lt;=P69,"Moderate","High")))</f>
      </c>
      <c r="L69" t="str" s="38" cm="1">
        <f t="array" ref="L69">IF(K69="High","Review","")</f>
      </c>
      <c r="M69" s="38"/>
      <c r="N69" t="s" s="37">
        <v>75</v>
      </c>
      <c r="O69" s="39">
        <v>0</v>
      </c>
      <c r="P69" s="39">
        <v>7</v>
      </c>
      <c r="Q69" s="50">
        <v>18</v>
      </c>
      <c r="R69" s="30"/>
    </row>
    <row r="70" ht="14.5" customHeight="1">
      <c r="A70" s="45"/>
      <c r="B70" t="s" s="32">
        <v>419</v>
      </c>
      <c r="C70" t="s" s="32">
        <v>36</v>
      </c>
      <c r="D70" t="s" s="32">
        <v>412</v>
      </c>
      <c r="E70" t="s" s="32">
        <v>412</v>
      </c>
      <c r="F70" t="s" s="32">
        <v>68</v>
      </c>
      <c r="G70" t="s" s="32">
        <v>421</v>
      </c>
      <c r="H70" s="33"/>
      <c r="I70" s="46"/>
      <c r="J70" t="str" s="33" cm="1">
        <f t="array" ref="J70">IF(H70="","",IF(F70="Likert",IF(N70="Yes",((6-H70)-1)/4*100,(H70-1)/4*100),IF(UPPER(H70)=UPPER(M70),100,0)))</f>
      </c>
      <c r="K70" t="str" s="33" cm="1">
        <f t="array" ref="K70">IF(I70="","",IF(I70&lt;=O70,"Low",IF(I70&lt;=P70,"Moderate","High")))</f>
      </c>
      <c r="L70" t="str" s="33" cm="1">
        <f t="array" ref="L70">IF(K70="High","Review","")</f>
      </c>
      <c r="M70" s="33"/>
      <c r="N70" t="s" s="32">
        <v>75</v>
      </c>
      <c r="O70" s="34">
        <v>0</v>
      </c>
      <c r="P70" s="34">
        <v>7</v>
      </c>
      <c r="Q70" s="47">
        <v>18</v>
      </c>
      <c r="R70" s="30"/>
    </row>
    <row r="71" ht="14.5" customHeight="1">
      <c r="A71" s="48"/>
      <c r="B71" t="s" s="37">
        <v>422</v>
      </c>
      <c r="C71" t="s" s="37">
        <v>36</v>
      </c>
      <c r="D71" t="s" s="37">
        <v>424</v>
      </c>
      <c r="E71" t="s" s="37">
        <v>424</v>
      </c>
      <c r="F71" t="s" s="37">
        <v>68</v>
      </c>
      <c r="G71" t="s" s="37">
        <v>425</v>
      </c>
      <c r="H71" s="38"/>
      <c r="I71" s="49"/>
      <c r="J71" t="str" s="38" cm="1">
        <f t="array" ref="J71">IF(H71="","",IF(F71="Likert",IF(N71="Yes",((6-H71)-1)/4*100,(H71-1)/4*100),IF(UPPER(H71)=UPPER(M71),100,0)))</f>
      </c>
      <c r="K71" t="str" s="38" cm="1">
        <f t="array" ref="K71">IF(I71="","",IF(I71&lt;=O71,"Low",IF(I71&lt;=P71,"Moderate","High")))</f>
      </c>
      <c r="L71" t="str" s="38" cm="1">
        <f t="array" ref="L71">IF(K71="High","Review","")</f>
      </c>
      <c r="M71" s="38"/>
      <c r="N71" t="s" s="37">
        <v>75</v>
      </c>
      <c r="O71" s="39">
        <v>0</v>
      </c>
      <c r="P71" s="39">
        <v>7</v>
      </c>
      <c r="Q71" s="50">
        <v>18</v>
      </c>
      <c r="R71" s="30"/>
    </row>
    <row r="72" ht="14.5" customHeight="1">
      <c r="A72" s="45"/>
      <c r="B72" t="s" s="32">
        <v>428</v>
      </c>
      <c r="C72" t="s" s="32">
        <v>36</v>
      </c>
      <c r="D72" t="s" s="32">
        <v>424</v>
      </c>
      <c r="E72" t="s" s="32">
        <v>424</v>
      </c>
      <c r="F72" t="s" s="32">
        <v>68</v>
      </c>
      <c r="G72" t="s" s="32">
        <v>430</v>
      </c>
      <c r="H72" s="33"/>
      <c r="I72" s="46"/>
      <c r="J72" t="str" s="33" cm="1">
        <f t="array" ref="J72">IF(H72="","",IF(F72="Likert",IF(N72="Yes",((6-H72)-1)/4*100,(H72-1)/4*100),IF(UPPER(H72)=UPPER(M72),100,0)))</f>
      </c>
      <c r="K72" t="str" s="33" cm="1">
        <f t="array" ref="K72">IF(I72="","",IF(I72&lt;=O72,"Low",IF(I72&lt;=P72,"Moderate","High")))</f>
      </c>
      <c r="L72" t="str" s="33" cm="1">
        <f t="array" ref="L72">IF(K72="High","Review","")</f>
      </c>
      <c r="M72" s="33"/>
      <c r="N72" t="s" s="32">
        <v>75</v>
      </c>
      <c r="O72" s="34">
        <v>0</v>
      </c>
      <c r="P72" s="34">
        <v>7</v>
      </c>
      <c r="Q72" s="47">
        <v>18</v>
      </c>
      <c r="R72" s="30"/>
    </row>
    <row r="73" ht="14.5" customHeight="1">
      <c r="A73" s="48"/>
      <c r="B73" t="s" s="37">
        <v>431</v>
      </c>
      <c r="C73" t="s" s="37">
        <v>36</v>
      </c>
      <c r="D73" t="s" s="37">
        <v>424</v>
      </c>
      <c r="E73" t="s" s="37">
        <v>424</v>
      </c>
      <c r="F73" t="s" s="37">
        <v>68</v>
      </c>
      <c r="G73" t="s" s="37">
        <v>433</v>
      </c>
      <c r="H73" s="38"/>
      <c r="I73" s="49"/>
      <c r="J73" t="str" s="38" cm="1">
        <f t="array" ref="J73">IF(H73="","",IF(F73="Likert",IF(N73="Yes",((6-H73)-1)/4*100,(H73-1)/4*100),IF(UPPER(H73)=UPPER(M73),100,0)))</f>
      </c>
      <c r="K73" t="str" s="38" cm="1">
        <f t="array" ref="K73">IF(I73="","",IF(I73&lt;=O73,"Low",IF(I73&lt;=P73,"Moderate","High")))</f>
      </c>
      <c r="L73" t="str" s="38" cm="1">
        <f t="array" ref="L73">IF(K73="High","Review","")</f>
      </c>
      <c r="M73" s="38"/>
      <c r="N73" t="s" s="37">
        <v>75</v>
      </c>
      <c r="O73" s="39">
        <v>0</v>
      </c>
      <c r="P73" s="39">
        <v>7</v>
      </c>
      <c r="Q73" s="50">
        <v>18</v>
      </c>
      <c r="R73" s="30"/>
    </row>
    <row r="74" ht="26.5" customHeight="1">
      <c r="A74" s="45"/>
      <c r="B74" t="s" s="32">
        <v>434</v>
      </c>
      <c r="C74" t="s" s="32">
        <v>32</v>
      </c>
      <c r="D74" t="s" s="32">
        <v>436</v>
      </c>
      <c r="E74" t="s" s="32">
        <v>436</v>
      </c>
      <c r="F74" t="s" s="32">
        <v>68</v>
      </c>
      <c r="G74" t="s" s="32">
        <v>437</v>
      </c>
      <c r="H74" s="33"/>
      <c r="I74" s="46"/>
      <c r="J74" t="str" s="33" cm="1">
        <f t="array" ref="J74">IF(H74="","",IF(F74="Likert",IF(N74="Yes",((6-H74)-1)/4*100,(H74-1)/4*100),IF(UPPER(H74)=UPPER(M74),100,0)))</f>
      </c>
      <c r="K74" t="str" s="33" cm="1">
        <f t="array" ref="K74">IF(I74="","",IF(I74&lt;=O74,"Low",IF(I74&lt;=P74,"Moderate","High")))</f>
      </c>
      <c r="L74" t="str" s="33" cm="1">
        <f t="array" ref="L74">IF(K74="High","Review","")</f>
      </c>
      <c r="M74" s="33"/>
      <c r="N74" t="s" s="32">
        <v>75</v>
      </c>
      <c r="O74" s="34">
        <v>0</v>
      </c>
      <c r="P74" s="34">
        <v>7</v>
      </c>
      <c r="Q74" s="47">
        <v>18</v>
      </c>
      <c r="R74" s="30"/>
    </row>
    <row r="75" ht="26.5" customHeight="1">
      <c r="A75" s="48"/>
      <c r="B75" t="s" s="37">
        <v>440</v>
      </c>
      <c r="C75" t="s" s="37">
        <v>32</v>
      </c>
      <c r="D75" t="s" s="37">
        <v>436</v>
      </c>
      <c r="E75" t="s" s="37">
        <v>436</v>
      </c>
      <c r="F75" t="s" s="37">
        <v>68</v>
      </c>
      <c r="G75" t="s" s="37">
        <v>442</v>
      </c>
      <c r="H75" s="38"/>
      <c r="I75" s="49"/>
      <c r="J75" t="str" s="38" cm="1">
        <f t="array" ref="J75">IF(H75="","",IF(F75="Likert",IF(N75="Yes",((6-H75)-1)/4*100,(H75-1)/4*100),IF(UPPER(H75)=UPPER(M75),100,0)))</f>
      </c>
      <c r="K75" t="str" s="38" cm="1">
        <f t="array" ref="K75">IF(I75="","",IF(I75&lt;=O75,"Low",IF(I75&lt;=P75,"Moderate","High")))</f>
      </c>
      <c r="L75" t="str" s="38" cm="1">
        <f t="array" ref="L75">IF(K75="High","Review","")</f>
      </c>
      <c r="M75" s="38"/>
      <c r="N75" t="s" s="37">
        <v>75</v>
      </c>
      <c r="O75" s="39">
        <v>0</v>
      </c>
      <c r="P75" s="39">
        <v>7</v>
      </c>
      <c r="Q75" s="50">
        <v>18</v>
      </c>
      <c r="R75" s="30"/>
    </row>
    <row r="76" ht="26.5" customHeight="1">
      <c r="A76" s="45"/>
      <c r="B76" t="s" s="32">
        <v>443</v>
      </c>
      <c r="C76" t="s" s="32">
        <v>32</v>
      </c>
      <c r="D76" t="s" s="32">
        <v>436</v>
      </c>
      <c r="E76" t="s" s="32">
        <v>436</v>
      </c>
      <c r="F76" t="s" s="32">
        <v>68</v>
      </c>
      <c r="G76" t="s" s="32">
        <v>445</v>
      </c>
      <c r="H76" s="33"/>
      <c r="I76" s="46"/>
      <c r="J76" t="str" s="33" cm="1">
        <f t="array" ref="J76">IF(H76="","",IF(F76="Likert",IF(N76="Yes",((6-H76)-1)/4*100,(H76-1)/4*100),IF(UPPER(H76)=UPPER(M76),100,0)))</f>
      </c>
      <c r="K76" t="str" s="33" cm="1">
        <f t="array" ref="K76">IF(I76="","",IF(I76&lt;=O76,"Low",IF(I76&lt;=P76,"Moderate","High")))</f>
      </c>
      <c r="L76" t="str" s="33" cm="1">
        <f t="array" ref="L76">IF(K76="High","Review","")</f>
      </c>
      <c r="M76" s="33"/>
      <c r="N76" t="s" s="32">
        <v>75</v>
      </c>
      <c r="O76" s="34">
        <v>0</v>
      </c>
      <c r="P76" s="34">
        <v>7</v>
      </c>
      <c r="Q76" s="47">
        <v>18</v>
      </c>
      <c r="R76" s="30"/>
    </row>
    <row r="77" ht="26.5" customHeight="1">
      <c r="A77" s="48"/>
      <c r="B77" t="s" s="37">
        <v>446</v>
      </c>
      <c r="C77" t="s" s="37">
        <v>32</v>
      </c>
      <c r="D77" t="s" s="37">
        <v>448</v>
      </c>
      <c r="E77" t="s" s="37">
        <v>448</v>
      </c>
      <c r="F77" t="s" s="37">
        <v>68</v>
      </c>
      <c r="G77" t="s" s="37">
        <v>449</v>
      </c>
      <c r="H77" s="38"/>
      <c r="I77" s="49"/>
      <c r="J77" t="str" s="38" cm="1">
        <f t="array" ref="J77">IF(H77="","",IF(F77="Likert",IF(N77="Yes",((6-H77)-1)/4*100,(H77-1)/4*100),IF(UPPER(H77)=UPPER(M77),100,0)))</f>
      </c>
      <c r="K77" t="str" s="38" cm="1">
        <f t="array" ref="K77">IF(I77="","",IF(I77&lt;=O77,"Low",IF(I77&lt;=P77,"Moderate","High")))</f>
      </c>
      <c r="L77" t="str" s="38" cm="1">
        <f t="array" ref="L77">IF(K77="High","Review","")</f>
      </c>
      <c r="M77" s="38"/>
      <c r="N77" t="s" s="37">
        <v>75</v>
      </c>
      <c r="O77" s="39">
        <v>0</v>
      </c>
      <c r="P77" s="39">
        <v>7</v>
      </c>
      <c r="Q77" s="50">
        <v>18</v>
      </c>
      <c r="R77" s="30"/>
    </row>
    <row r="78" ht="26.5" customHeight="1">
      <c r="A78" s="45"/>
      <c r="B78" t="s" s="32">
        <v>451</v>
      </c>
      <c r="C78" t="s" s="32">
        <v>32</v>
      </c>
      <c r="D78" t="s" s="32">
        <v>448</v>
      </c>
      <c r="E78" t="s" s="32">
        <v>448</v>
      </c>
      <c r="F78" t="s" s="32">
        <v>68</v>
      </c>
      <c r="G78" t="s" s="32">
        <v>453</v>
      </c>
      <c r="H78" s="33"/>
      <c r="I78" s="46"/>
      <c r="J78" t="str" s="33" cm="1">
        <f t="array" ref="J78">IF(H78="","",IF(F78="Likert",IF(N78="Yes",((6-H78)-1)/4*100,(H78-1)/4*100),IF(UPPER(H78)=UPPER(M78),100,0)))</f>
      </c>
      <c r="K78" t="str" s="33" cm="1">
        <f t="array" ref="K78">IF(I78="","",IF(I78&lt;=O78,"Low",IF(I78&lt;=P78,"Moderate","High")))</f>
      </c>
      <c r="L78" t="str" s="33" cm="1">
        <f t="array" ref="L78">IF(K78="High","Review","")</f>
      </c>
      <c r="M78" s="33"/>
      <c r="N78" t="s" s="32">
        <v>75</v>
      </c>
      <c r="O78" s="34">
        <v>0</v>
      </c>
      <c r="P78" s="34">
        <v>7</v>
      </c>
      <c r="Q78" s="47">
        <v>18</v>
      </c>
      <c r="R78" s="30"/>
    </row>
    <row r="79" ht="26.5" customHeight="1">
      <c r="A79" s="48"/>
      <c r="B79" t="s" s="37">
        <v>454</v>
      </c>
      <c r="C79" t="s" s="37">
        <v>32</v>
      </c>
      <c r="D79" t="s" s="37">
        <v>448</v>
      </c>
      <c r="E79" t="s" s="37">
        <v>448</v>
      </c>
      <c r="F79" t="s" s="37">
        <v>68</v>
      </c>
      <c r="G79" t="s" s="37">
        <v>456</v>
      </c>
      <c r="H79" s="38"/>
      <c r="I79" s="49"/>
      <c r="J79" t="str" s="38" cm="1">
        <f t="array" ref="J79">IF(H79="","",IF(F79="Likert",IF(N79="Yes",((6-H79)-1)/4*100,(H79-1)/4*100),IF(UPPER(H79)=UPPER(M79),100,0)))</f>
      </c>
      <c r="K79" t="str" s="38" cm="1">
        <f t="array" ref="K79">IF(I79="","",IF(I79&lt;=O79,"Low",IF(I79&lt;=P79,"Moderate","High")))</f>
      </c>
      <c r="L79" t="str" s="38" cm="1">
        <f t="array" ref="L79">IF(K79="High","Review","")</f>
      </c>
      <c r="M79" s="38"/>
      <c r="N79" t="s" s="37">
        <v>75</v>
      </c>
      <c r="O79" s="39">
        <v>0</v>
      </c>
      <c r="P79" s="39">
        <v>7</v>
      </c>
      <c r="Q79" s="50">
        <v>18</v>
      </c>
      <c r="R79" s="30"/>
    </row>
    <row r="80" ht="26.5" customHeight="1">
      <c r="A80" s="45"/>
      <c r="B80" t="s" s="32">
        <v>457</v>
      </c>
      <c r="C80" t="s" s="32">
        <v>32</v>
      </c>
      <c r="D80" t="s" s="32">
        <v>459</v>
      </c>
      <c r="E80" t="s" s="32">
        <v>459</v>
      </c>
      <c r="F80" t="s" s="32">
        <v>68</v>
      </c>
      <c r="G80" t="s" s="32">
        <v>460</v>
      </c>
      <c r="H80" s="33"/>
      <c r="I80" s="46"/>
      <c r="J80" t="str" s="33" cm="1">
        <f t="array" ref="J80">IF(H80="","",IF(F80="Likert",IF(N80="Yes",((6-H80)-1)/4*100,(H80-1)/4*100),IF(UPPER(H80)=UPPER(M80),100,0)))</f>
      </c>
      <c r="K80" t="str" s="33" cm="1">
        <f t="array" ref="K80">IF(I80="","",IF(I80&lt;=O80,"Low",IF(I80&lt;=P80,"Moderate","High")))</f>
      </c>
      <c r="L80" t="str" s="33" cm="1">
        <f t="array" ref="L80">IF(K80="High","Review","")</f>
      </c>
      <c r="M80" s="33"/>
      <c r="N80" t="s" s="32">
        <v>75</v>
      </c>
      <c r="O80" s="34">
        <v>0</v>
      </c>
      <c r="P80" s="34">
        <v>7</v>
      </c>
      <c r="Q80" s="47">
        <v>18</v>
      </c>
      <c r="R80" s="30"/>
    </row>
    <row r="81" ht="26.5" customHeight="1">
      <c r="A81" s="48"/>
      <c r="B81" t="s" s="37">
        <v>462</v>
      </c>
      <c r="C81" t="s" s="37">
        <v>32</v>
      </c>
      <c r="D81" t="s" s="37">
        <v>459</v>
      </c>
      <c r="E81" t="s" s="37">
        <v>459</v>
      </c>
      <c r="F81" t="s" s="37">
        <v>68</v>
      </c>
      <c r="G81" t="s" s="37">
        <v>464</v>
      </c>
      <c r="H81" s="38"/>
      <c r="I81" s="49"/>
      <c r="J81" t="str" s="38" cm="1">
        <f t="array" ref="J81">IF(H81="","",IF(F81="Likert",IF(N81="Yes",((6-H81)-1)/4*100,(H81-1)/4*100),IF(UPPER(H81)=UPPER(M81),100,0)))</f>
      </c>
      <c r="K81" t="str" s="38" cm="1">
        <f t="array" ref="K81">IF(I81="","",IF(I81&lt;=O81,"Low",IF(I81&lt;=P81,"Moderate","High")))</f>
      </c>
      <c r="L81" t="str" s="38" cm="1">
        <f t="array" ref="L81">IF(K81="High","Review","")</f>
      </c>
      <c r="M81" s="38"/>
      <c r="N81" t="s" s="37">
        <v>75</v>
      </c>
      <c r="O81" s="39">
        <v>0</v>
      </c>
      <c r="P81" s="39">
        <v>7</v>
      </c>
      <c r="Q81" s="50">
        <v>18</v>
      </c>
      <c r="R81" s="30"/>
    </row>
    <row r="82" ht="26.5" customHeight="1">
      <c r="A82" s="45"/>
      <c r="B82" t="s" s="32">
        <v>465</v>
      </c>
      <c r="C82" t="s" s="32">
        <v>32</v>
      </c>
      <c r="D82" t="s" s="32">
        <v>459</v>
      </c>
      <c r="E82" t="s" s="32">
        <v>459</v>
      </c>
      <c r="F82" t="s" s="32">
        <v>68</v>
      </c>
      <c r="G82" t="s" s="32">
        <v>467</v>
      </c>
      <c r="H82" s="33"/>
      <c r="I82" s="46"/>
      <c r="J82" t="str" s="33" cm="1">
        <f t="array" ref="J82">IF(H82="","",IF(F82="Likert",IF(N82="Yes",((6-H82)-1)/4*100,(H82-1)/4*100),IF(UPPER(H82)=UPPER(M82),100,0)))</f>
      </c>
      <c r="K82" t="str" s="33" cm="1">
        <f t="array" ref="K82">IF(I82="","",IF(I82&lt;=O82,"Low",IF(I82&lt;=P82,"Moderate","High")))</f>
      </c>
      <c r="L82" t="str" s="33" cm="1">
        <f t="array" ref="L82">IF(K82="High","Review","")</f>
      </c>
      <c r="M82" s="33"/>
      <c r="N82" t="s" s="32">
        <v>75</v>
      </c>
      <c r="O82" s="34">
        <v>0</v>
      </c>
      <c r="P82" s="34">
        <v>7</v>
      </c>
      <c r="Q82" s="47">
        <v>18</v>
      </c>
      <c r="R82" s="30"/>
    </row>
    <row r="83" ht="14.5" customHeight="1">
      <c r="A83" s="48"/>
      <c r="B83" t="s" s="37">
        <v>468</v>
      </c>
      <c r="C83" t="s" s="37">
        <v>38</v>
      </c>
      <c r="D83" t="s" s="37">
        <v>470</v>
      </c>
      <c r="E83" t="s" s="37">
        <v>470</v>
      </c>
      <c r="F83" t="s" s="37">
        <v>68</v>
      </c>
      <c r="G83" t="s" s="37">
        <v>471</v>
      </c>
      <c r="H83" s="38"/>
      <c r="I83" s="49"/>
      <c r="J83" t="str" s="38" cm="1">
        <f t="array" ref="J83">IF(H83="","",IF(F83="Likert",IF(N83="Yes",((6-H83)-1)/4*100,(H83-1)/4*100),IF(UPPER(H83)=UPPER(M83),100,0)))</f>
      </c>
      <c r="K83" t="str" s="38" cm="1">
        <f t="array" ref="K83">IF(I83="","",IF(I83&lt;=O83,"Low",IF(I83&lt;=P83,"Moderate","High")))</f>
      </c>
      <c r="L83" t="str" s="38" cm="1">
        <f t="array" ref="L83">IF(K83="High","Review","")</f>
      </c>
      <c r="M83" s="38"/>
      <c r="N83" t="s" s="37">
        <v>75</v>
      </c>
      <c r="O83" s="39">
        <v>0</v>
      </c>
      <c r="P83" s="39">
        <v>7</v>
      </c>
      <c r="Q83" s="50">
        <v>18</v>
      </c>
      <c r="R83" s="30"/>
    </row>
    <row r="84" ht="14.5" customHeight="1">
      <c r="A84" s="45"/>
      <c r="B84" t="s" s="32">
        <v>474</v>
      </c>
      <c r="C84" t="s" s="32">
        <v>38</v>
      </c>
      <c r="D84" t="s" s="32">
        <v>470</v>
      </c>
      <c r="E84" t="s" s="32">
        <v>470</v>
      </c>
      <c r="F84" t="s" s="32">
        <v>68</v>
      </c>
      <c r="G84" t="s" s="32">
        <v>476</v>
      </c>
      <c r="H84" s="33"/>
      <c r="I84" s="46"/>
      <c r="J84" t="str" s="33" cm="1">
        <f t="array" ref="J84">IF(H84="","",IF(F84="Likert",IF(N84="Yes",((6-H84)-1)/4*100,(H84-1)/4*100),IF(UPPER(H84)=UPPER(M84),100,0)))</f>
      </c>
      <c r="K84" t="str" s="33" cm="1">
        <f t="array" ref="K84">IF(I84="","",IF(I84&lt;=O84,"Low",IF(I84&lt;=P84,"Moderate","High")))</f>
      </c>
      <c r="L84" t="str" s="33" cm="1">
        <f t="array" ref="L84">IF(K84="High","Review","")</f>
      </c>
      <c r="M84" s="33"/>
      <c r="N84" t="s" s="32">
        <v>75</v>
      </c>
      <c r="O84" s="34">
        <v>0</v>
      </c>
      <c r="P84" s="34">
        <v>7</v>
      </c>
      <c r="Q84" s="47">
        <v>18</v>
      </c>
      <c r="R84" s="30"/>
    </row>
    <row r="85" ht="14.5" customHeight="1">
      <c r="A85" s="48"/>
      <c r="B85" t="s" s="37">
        <v>477</v>
      </c>
      <c r="C85" t="s" s="37">
        <v>38</v>
      </c>
      <c r="D85" t="s" s="37">
        <v>470</v>
      </c>
      <c r="E85" t="s" s="37">
        <v>470</v>
      </c>
      <c r="F85" t="s" s="37">
        <v>68</v>
      </c>
      <c r="G85" t="s" s="37">
        <v>479</v>
      </c>
      <c r="H85" s="38"/>
      <c r="I85" s="49"/>
      <c r="J85" t="str" s="38" cm="1">
        <f t="array" ref="J85">IF(H85="","",IF(F85="Likert",IF(N85="Yes",((6-H85)-1)/4*100,(H85-1)/4*100),IF(UPPER(H85)=UPPER(M85),100,0)))</f>
      </c>
      <c r="K85" t="str" s="38" cm="1">
        <f t="array" ref="K85">IF(I85="","",IF(I85&lt;=O85,"Low",IF(I85&lt;=P85,"Moderate","High")))</f>
      </c>
      <c r="L85" t="str" s="38" cm="1">
        <f t="array" ref="L85">IF(K85="High","Review","")</f>
      </c>
      <c r="M85" s="38"/>
      <c r="N85" t="s" s="37">
        <v>81</v>
      </c>
      <c r="O85" s="39">
        <v>0</v>
      </c>
      <c r="P85" s="39">
        <v>7</v>
      </c>
      <c r="Q85" s="50">
        <v>18</v>
      </c>
      <c r="R85" s="30"/>
    </row>
    <row r="86" ht="14.5" customHeight="1">
      <c r="A86" s="41"/>
      <c r="B86" s="41"/>
      <c r="C86" s="41"/>
      <c r="D86" s="41"/>
      <c r="E86" s="41"/>
      <c r="F86" s="41"/>
      <c r="G86" s="41"/>
      <c r="H86" s="41"/>
      <c r="I86" s="41"/>
      <c r="J86" s="41"/>
      <c r="K86" s="41"/>
      <c r="L86" s="41"/>
      <c r="M86" s="41"/>
      <c r="N86" s="41"/>
      <c r="O86" s="41"/>
      <c r="P86" s="41"/>
      <c r="Q86" s="41"/>
      <c r="R86" s="42"/>
    </row>
  </sheetData>
  <dataValidations count="1">
    <dataValidation type="list" allowBlank="1" showInputMessage="1" showErrorMessage="1" sqref="H2:H85">
      <formula1>"1,2,3,4,5,A,B,C,D"</formula1>
    </dataValidation>
  </dataValidation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K30"/>
  <sheetViews>
    <sheetView workbookViewId="0" showGridLines="0" defaultGridColor="1"/>
  </sheetViews>
  <sheetFormatPr defaultColWidth="8.83333" defaultRowHeight="15" customHeight="1" outlineLevelRow="0" outlineLevelCol="0"/>
  <cols>
    <col min="1" max="3" width="24" style="51" customWidth="1"/>
    <col min="4" max="8" width="18" style="51" customWidth="1"/>
    <col min="9" max="9" width="50" style="51" customWidth="1"/>
    <col min="10" max="11" width="8.85156" style="51" customWidth="1"/>
    <col min="12" max="16384" width="8.85156" style="51" customWidth="1"/>
  </cols>
  <sheetData>
    <row r="1" ht="34" customHeight="1">
      <c r="A1" t="s" s="27">
        <v>30</v>
      </c>
      <c r="B1" t="s" s="28">
        <v>43</v>
      </c>
      <c r="C1" t="s" s="28">
        <v>44</v>
      </c>
      <c r="D1" t="s" s="28">
        <v>572</v>
      </c>
      <c r="E1" t="s" s="28">
        <v>31</v>
      </c>
      <c r="F1" t="s" s="28">
        <v>573</v>
      </c>
      <c r="G1" t="s" s="28">
        <v>574</v>
      </c>
      <c r="H1" t="s" s="28">
        <v>575</v>
      </c>
      <c r="I1" t="s" s="29">
        <v>576</v>
      </c>
      <c r="J1" s="30"/>
      <c r="K1" t="s" s="52">
        <v>577</v>
      </c>
    </row>
    <row r="2" ht="14.5" customHeight="1">
      <c r="A2" t="s" s="31">
        <v>32</v>
      </c>
      <c r="B2" t="s" s="32">
        <v>459</v>
      </c>
      <c r="C2" t="s" s="32">
        <v>459</v>
      </c>
      <c r="D2" t="str" s="33" cm="1">
        <f t="array" ref="D2">_xlfn.IFERROR(_xlfn.AVERAGEIFS('Student_Response_Template'!$J1:$J86,'Student_Response_Template'!$C1:$C86,A2,'Student_Response_Template'!$D1:$D86,B2,'Student_Response_Template'!$E1:$E86,C2),"")</f>
      </c>
      <c r="E2" t="str" s="33" cm="1">
        <f t="array" ref="E2">IF(D2="","",IF(D2&lt;40,"Low",IF(D2&lt;70,"Moderate","High")))</f>
      </c>
      <c r="F2" t="str" s="33" cm="1">
        <f t="array" ref="F2">_xlfn.IFERROR(_xlfn.AVERAGEIFS('Student_Response_Template'!$I1:$I86,'Student_Response_Template'!$C1:$C86,A2,'Student_Response_Template'!$D1:$D86,B2,'Student_Response_Template'!$E1:$E86,C2),"")</f>
      </c>
      <c r="G2" s="46" cm="1">
        <f t="array" ref="G2">_xlfn.COUNTIFS('Student_Response_Template'!$C1:$C86,A2,'Student_Response_Template'!$D1:$D86,B2,'Student_Response_Template'!$E1:$E86,C2,'Student_Response_Template'!$K1:$K86,"High")</f>
        <v>0</v>
      </c>
      <c r="H2" t="str" s="33" cm="1">
        <f t="array" ref="H2">IF(D2="","",IF(G2&gt;=2,"Timing Review",IF(D2&lt;40,"Support Needed","OK")))</f>
      </c>
      <c r="I2" t="s" s="35">
        <v>578</v>
      </c>
      <c r="J2" s="30"/>
      <c r="K2" s="42"/>
    </row>
    <row r="3" ht="14.5" customHeight="1">
      <c r="A3" t="s" s="36">
        <v>32</v>
      </c>
      <c r="B3" t="s" s="37">
        <v>436</v>
      </c>
      <c r="C3" t="s" s="37">
        <v>436</v>
      </c>
      <c r="D3" t="str" s="38" cm="1">
        <f t="array" ref="D3">_xlfn.IFERROR(_xlfn.AVERAGEIFS('Student_Response_Template'!$J1:$J86,'Student_Response_Template'!$C1:$C86,A3,'Student_Response_Template'!$D1:$D86,B3,'Student_Response_Template'!$E1:$E86,C3),"")</f>
      </c>
      <c r="E3" t="str" s="38" cm="1">
        <f t="array" ref="E3">IF(D3="","",IF(D3&lt;40,"Low",IF(D3&lt;70,"Moderate","High")))</f>
      </c>
      <c r="F3" t="str" s="38" cm="1">
        <f t="array" ref="F3">_xlfn.IFERROR(_xlfn.AVERAGEIFS('Student_Response_Template'!$I1:$I86,'Student_Response_Template'!$C1:$C86,A3,'Student_Response_Template'!$D1:$D86,B3,'Student_Response_Template'!$E1:$E86,C3),"")</f>
      </c>
      <c r="G3" s="49" cm="1">
        <f t="array" ref="G3">_xlfn.COUNTIFS('Student_Response_Template'!$C1:$C86,A3,'Student_Response_Template'!$D1:$D86,B3,'Student_Response_Template'!$E1:$E86,C3,'Student_Response_Template'!$K1:$K86,"High")</f>
        <v>0</v>
      </c>
      <c r="H3" t="str" s="38" cm="1">
        <f t="array" ref="H3">IF(D3="","",IF(G3&gt;=2,"Timing Review",IF(D3&lt;40,"Support Needed","OK")))</f>
      </c>
      <c r="I3" t="s" s="40">
        <v>579</v>
      </c>
      <c r="J3" s="30"/>
      <c r="K3" s="42"/>
    </row>
    <row r="4" ht="14.5" customHeight="1">
      <c r="A4" t="s" s="31">
        <v>32</v>
      </c>
      <c r="B4" t="s" s="32">
        <v>448</v>
      </c>
      <c r="C4" t="s" s="32">
        <v>448</v>
      </c>
      <c r="D4" t="str" s="33" cm="1">
        <f t="array" ref="D4">_xlfn.IFERROR(_xlfn.AVERAGEIFS('Student_Response_Template'!$J1:$J86,'Student_Response_Template'!$C1:$C86,A4,'Student_Response_Template'!$D1:$D86,B4,'Student_Response_Template'!$E1:$E86,C4),"")</f>
      </c>
      <c r="E4" t="str" s="33" cm="1">
        <f t="array" ref="E4">IF(D4="","",IF(D4&lt;40,"Low",IF(D4&lt;70,"Moderate","High")))</f>
      </c>
      <c r="F4" t="str" s="33" cm="1">
        <f t="array" ref="F4">_xlfn.IFERROR(_xlfn.AVERAGEIFS('Student_Response_Template'!$I1:$I86,'Student_Response_Template'!$C1:$C86,A4,'Student_Response_Template'!$D1:$D86,B4,'Student_Response_Template'!$E1:$E86,C4),"")</f>
      </c>
      <c r="G4" s="46" cm="1">
        <f t="array" ref="G4">_xlfn.COUNTIFS('Student_Response_Template'!$C1:$C86,A4,'Student_Response_Template'!$D1:$D86,B4,'Student_Response_Template'!$E1:$E86,C4,'Student_Response_Template'!$K1:$K86,"High")</f>
        <v>0</v>
      </c>
      <c r="H4" t="str" s="33" cm="1">
        <f t="array" ref="H4">IF(D4="","",IF(G4&gt;=2,"Timing Review",IF(D4&lt;40,"Support Needed","OK")))</f>
      </c>
      <c r="I4" t="s" s="35">
        <v>580</v>
      </c>
      <c r="J4" s="30"/>
      <c r="K4" s="42"/>
    </row>
    <row r="5" ht="14.5" customHeight="1">
      <c r="A5" t="s" s="36">
        <v>33</v>
      </c>
      <c r="B5" t="s" s="37">
        <v>193</v>
      </c>
      <c r="C5" t="s" s="37">
        <v>193</v>
      </c>
      <c r="D5" t="str" s="38" cm="1">
        <f t="array" ref="D5">_xlfn.IFERROR(_xlfn.AVERAGEIFS('Student_Response_Template'!$J1:$J86,'Student_Response_Template'!$C1:$C86,A5,'Student_Response_Template'!$D1:$D86,B5,'Student_Response_Template'!$E1:$E86,C5),"")</f>
      </c>
      <c r="E5" t="str" s="38" cm="1">
        <f t="array" ref="E5">IF(D5="","",IF(D5&lt;40,"Low",IF(D5&lt;70,"Moderate","High")))</f>
      </c>
      <c r="F5" t="str" s="38" cm="1">
        <f t="array" ref="F5">_xlfn.IFERROR(_xlfn.AVERAGEIFS('Student_Response_Template'!$I1:$I86,'Student_Response_Template'!$C1:$C86,A5,'Student_Response_Template'!$D1:$D86,B5,'Student_Response_Template'!$E1:$E86,C5),"")</f>
      </c>
      <c r="G5" s="49" cm="1">
        <f t="array" ref="G5">_xlfn.COUNTIFS('Student_Response_Template'!$C1:$C86,A5,'Student_Response_Template'!$D1:$D86,B5,'Student_Response_Template'!$E1:$E86,C5,'Student_Response_Template'!$K1:$K86,"High")</f>
        <v>0</v>
      </c>
      <c r="H5" t="str" s="38" cm="1">
        <f t="array" ref="H5">IF(D5="","",IF(G5&gt;=2,"Timing Review",IF(D5&lt;40,"Support Needed","OK")))</f>
      </c>
      <c r="I5" t="s" s="40">
        <v>581</v>
      </c>
      <c r="J5" s="30"/>
      <c r="K5" s="42"/>
    </row>
    <row r="6" ht="14.5" customHeight="1">
      <c r="A6" t="s" s="31">
        <v>33</v>
      </c>
      <c r="B6" t="s" s="32">
        <v>169</v>
      </c>
      <c r="C6" t="s" s="32">
        <v>169</v>
      </c>
      <c r="D6" t="str" s="33" cm="1">
        <f t="array" ref="D6">_xlfn.IFERROR(_xlfn.AVERAGEIFS('Student_Response_Template'!$J1:$J86,'Student_Response_Template'!$C1:$C86,A6,'Student_Response_Template'!$D1:$D86,B6,'Student_Response_Template'!$E1:$E86,C6),"")</f>
      </c>
      <c r="E6" t="str" s="33" cm="1">
        <f t="array" ref="E6">IF(D6="","",IF(D6&lt;40,"Low",IF(D6&lt;70,"Moderate","High")))</f>
      </c>
      <c r="F6" t="str" s="33" cm="1">
        <f t="array" ref="F6">_xlfn.IFERROR(_xlfn.AVERAGEIFS('Student_Response_Template'!$I1:$I86,'Student_Response_Template'!$C1:$C86,A6,'Student_Response_Template'!$D1:$D86,B6,'Student_Response_Template'!$E1:$E86,C6),"")</f>
      </c>
      <c r="G6" s="46" cm="1">
        <f t="array" ref="G6">_xlfn.COUNTIFS('Student_Response_Template'!$C1:$C86,A6,'Student_Response_Template'!$D1:$D86,B6,'Student_Response_Template'!$E1:$E86,C6,'Student_Response_Template'!$K1:$K86,"High")</f>
        <v>0</v>
      </c>
      <c r="H6" t="str" s="33" cm="1">
        <f t="array" ref="H6">IF(D6="","",IF(G6&gt;=2,"Timing Review",IF(D6&lt;40,"Support Needed","OK")))</f>
      </c>
      <c r="I6" t="s" s="35">
        <v>582</v>
      </c>
      <c r="J6" s="30"/>
      <c r="K6" s="42"/>
    </row>
    <row r="7" ht="14.5" customHeight="1">
      <c r="A7" t="s" s="36">
        <v>33</v>
      </c>
      <c r="B7" t="s" s="37">
        <v>181</v>
      </c>
      <c r="C7" t="s" s="37">
        <v>181</v>
      </c>
      <c r="D7" t="str" s="38" cm="1">
        <f t="array" ref="D7">_xlfn.IFERROR(_xlfn.AVERAGEIFS('Student_Response_Template'!$J1:$J86,'Student_Response_Template'!$C1:$C86,A7,'Student_Response_Template'!$D1:$D86,B7,'Student_Response_Template'!$E1:$E86,C7),"")</f>
      </c>
      <c r="E7" t="str" s="38" cm="1">
        <f t="array" ref="E7">IF(D7="","",IF(D7&lt;40,"Low",IF(D7&lt;70,"Moderate","High")))</f>
      </c>
      <c r="F7" t="str" s="38" cm="1">
        <f t="array" ref="F7">_xlfn.IFERROR(_xlfn.AVERAGEIFS('Student_Response_Template'!$I1:$I86,'Student_Response_Template'!$C1:$C86,A7,'Student_Response_Template'!$D1:$D86,B7,'Student_Response_Template'!$E1:$E86,C7),"")</f>
      </c>
      <c r="G7" s="49" cm="1">
        <f t="array" ref="G7">_xlfn.COUNTIFS('Student_Response_Template'!$C1:$C86,A7,'Student_Response_Template'!$D1:$D86,B7,'Student_Response_Template'!$E1:$E86,C7,'Student_Response_Template'!$K1:$K86,"High")</f>
        <v>0</v>
      </c>
      <c r="H7" t="str" s="38" cm="1">
        <f t="array" ref="H7">IF(D7="","",IF(G7&gt;=2,"Timing Review",IF(D7&lt;40,"Support Needed","OK")))</f>
      </c>
      <c r="I7" t="s" s="40">
        <v>583</v>
      </c>
      <c r="J7" s="30"/>
      <c r="K7" s="42"/>
    </row>
    <row r="8" ht="14.5" customHeight="1">
      <c r="A8" t="s" s="31">
        <v>33</v>
      </c>
      <c r="B8" t="s" s="32">
        <v>205</v>
      </c>
      <c r="C8" t="s" s="32">
        <v>205</v>
      </c>
      <c r="D8" t="str" s="33" cm="1">
        <f t="array" ref="D8">_xlfn.IFERROR(_xlfn.AVERAGEIFS('Student_Response_Template'!$J1:$J86,'Student_Response_Template'!$C1:$C86,A8,'Student_Response_Template'!$D1:$D86,B8,'Student_Response_Template'!$E1:$E86,C8),"")</f>
      </c>
      <c r="E8" t="str" s="33" cm="1">
        <f t="array" ref="E8">IF(D8="","",IF(D8&lt;40,"Low",IF(D8&lt;70,"Moderate","High")))</f>
      </c>
      <c r="F8" t="str" s="33" cm="1">
        <f t="array" ref="F8">_xlfn.IFERROR(_xlfn.AVERAGEIFS('Student_Response_Template'!$I1:$I86,'Student_Response_Template'!$C1:$C86,A8,'Student_Response_Template'!$D1:$D86,B8,'Student_Response_Template'!$E1:$E86,C8),"")</f>
      </c>
      <c r="G8" s="46" cm="1">
        <f t="array" ref="G8">_xlfn.COUNTIFS('Student_Response_Template'!$C1:$C86,A8,'Student_Response_Template'!$D1:$D86,B8,'Student_Response_Template'!$E1:$E86,C8,'Student_Response_Template'!$K1:$K86,"High")</f>
        <v>0</v>
      </c>
      <c r="H8" t="str" s="33" cm="1">
        <f t="array" ref="H8">IF(D8="","",IF(G8&gt;=2,"Timing Review",IF(D8&lt;40,"Support Needed","OK")))</f>
      </c>
      <c r="I8" t="s" s="35">
        <v>584</v>
      </c>
      <c r="J8" s="30"/>
      <c r="K8" s="42"/>
    </row>
    <row r="9" ht="14.5" customHeight="1">
      <c r="A9" t="s" s="36">
        <v>33</v>
      </c>
      <c r="B9" t="s" s="37">
        <v>156</v>
      </c>
      <c r="C9" t="s" s="37">
        <v>156</v>
      </c>
      <c r="D9" t="str" s="38" cm="1">
        <f t="array" ref="D9">_xlfn.IFERROR(_xlfn.AVERAGEIFS('Student_Response_Template'!$J1:$J86,'Student_Response_Template'!$C1:$C86,A9,'Student_Response_Template'!$D1:$D86,B9,'Student_Response_Template'!$E1:$E86,C9),"")</f>
      </c>
      <c r="E9" t="str" s="38" cm="1">
        <f t="array" ref="E9">IF(D9="","",IF(D9&lt;40,"Low",IF(D9&lt;70,"Moderate","High")))</f>
      </c>
      <c r="F9" t="str" s="38" cm="1">
        <f t="array" ref="F9">_xlfn.IFERROR(_xlfn.AVERAGEIFS('Student_Response_Template'!$I1:$I86,'Student_Response_Template'!$C1:$C86,A9,'Student_Response_Template'!$D1:$D86,B9,'Student_Response_Template'!$E1:$E86,C9),"")</f>
      </c>
      <c r="G9" s="49" cm="1">
        <f t="array" ref="G9">_xlfn.COUNTIFS('Student_Response_Template'!$C1:$C86,A9,'Student_Response_Template'!$D1:$D86,B9,'Student_Response_Template'!$E1:$E86,C9,'Student_Response_Template'!$K1:$K86,"High")</f>
        <v>0</v>
      </c>
      <c r="H9" t="str" s="38" cm="1">
        <f t="array" ref="H9">IF(D9="","",IF(G9&gt;=2,"Timing Review",IF(D9&lt;40,"Support Needed","OK")))</f>
      </c>
      <c r="I9" t="s" s="40">
        <v>585</v>
      </c>
      <c r="J9" s="30"/>
      <c r="K9" s="42"/>
    </row>
    <row r="10" ht="14.5" customHeight="1">
      <c r="A10" t="s" s="31">
        <v>34</v>
      </c>
      <c r="B10" t="s" s="32">
        <v>295</v>
      </c>
      <c r="C10" t="s" s="32">
        <v>295</v>
      </c>
      <c r="D10" t="str" s="33" cm="1">
        <f t="array" ref="D10">_xlfn.IFERROR(_xlfn.AVERAGEIFS('Student_Response_Template'!$J1:$J86,'Student_Response_Template'!$C1:$C86,A10,'Student_Response_Template'!$D1:$D86,B10,'Student_Response_Template'!$E1:$E86,C10),"")</f>
      </c>
      <c r="E10" t="str" s="33" cm="1">
        <f t="array" ref="E10">IF(D10="","",IF(D10&lt;40,"Low",IF(D10&lt;70,"Moderate","High")))</f>
      </c>
      <c r="F10" t="str" s="33" cm="1">
        <f t="array" ref="F10">_xlfn.IFERROR(_xlfn.AVERAGEIFS('Student_Response_Template'!$I1:$I86,'Student_Response_Template'!$C1:$C86,A10,'Student_Response_Template'!$D1:$D86,B10,'Student_Response_Template'!$E1:$E86,C10),"")</f>
      </c>
      <c r="G10" s="46" cm="1">
        <f t="array" ref="G10">_xlfn.COUNTIFS('Student_Response_Template'!$C1:$C86,A10,'Student_Response_Template'!$D1:$D86,B10,'Student_Response_Template'!$E1:$E86,C10,'Student_Response_Template'!$K1:$K86,"High")</f>
        <v>0</v>
      </c>
      <c r="H10" t="str" s="33" cm="1">
        <f t="array" ref="H10">IF(D10="","",IF(G10&gt;=2,"Timing Review",IF(D10&lt;40,"Support Needed","OK")))</f>
      </c>
      <c r="I10" t="s" s="35">
        <v>586</v>
      </c>
      <c r="J10" s="30"/>
      <c r="K10" s="42"/>
    </row>
    <row r="11" ht="14.5" customHeight="1">
      <c r="A11" t="s" s="36">
        <v>34</v>
      </c>
      <c r="B11" t="s" s="37">
        <v>245</v>
      </c>
      <c r="C11" t="s" s="37">
        <v>245</v>
      </c>
      <c r="D11" t="str" s="38" cm="1">
        <f t="array" ref="D11">_xlfn.IFERROR(_xlfn.AVERAGEIFS('Student_Response_Template'!$J1:$J86,'Student_Response_Template'!$C1:$C86,A11,'Student_Response_Template'!$D1:$D86,B11,'Student_Response_Template'!$E1:$E86,C11),"")</f>
      </c>
      <c r="E11" t="str" s="38" cm="1">
        <f t="array" ref="E11">IF(D11="","",IF(D11&lt;40,"Low",IF(D11&lt;70,"Moderate","High")))</f>
      </c>
      <c r="F11" t="str" s="38" cm="1">
        <f t="array" ref="F11">_xlfn.IFERROR(_xlfn.AVERAGEIFS('Student_Response_Template'!$I1:$I86,'Student_Response_Template'!$C1:$C86,A11,'Student_Response_Template'!$D1:$D86,B11,'Student_Response_Template'!$E1:$E86,C11),"")</f>
      </c>
      <c r="G11" s="49" cm="1">
        <f t="array" ref="G11">_xlfn.COUNTIFS('Student_Response_Template'!$C1:$C86,A11,'Student_Response_Template'!$D1:$D86,B11,'Student_Response_Template'!$E1:$E86,C11,'Student_Response_Template'!$K1:$K86,"High")</f>
        <v>0</v>
      </c>
      <c r="H11" t="str" s="38" cm="1">
        <f t="array" ref="H11">IF(D11="","",IF(G11&gt;=2,"Timing Review",IF(D11&lt;40,"Support Needed","OK")))</f>
      </c>
      <c r="I11" t="s" s="40">
        <v>587</v>
      </c>
      <c r="J11" s="30"/>
      <c r="K11" s="42"/>
    </row>
    <row r="12" ht="14.5" customHeight="1">
      <c r="A12" t="s" s="31">
        <v>34</v>
      </c>
      <c r="B12" t="s" s="32">
        <v>217</v>
      </c>
      <c r="C12" t="s" s="32">
        <v>217</v>
      </c>
      <c r="D12" t="str" s="33" cm="1">
        <f t="array" ref="D12">_xlfn.IFERROR(_xlfn.AVERAGEIFS('Student_Response_Template'!$J1:$J86,'Student_Response_Template'!$C1:$C86,A12,'Student_Response_Template'!$D1:$D86,B12,'Student_Response_Template'!$E1:$E86,C12),"")</f>
      </c>
      <c r="E12" t="str" s="33" cm="1">
        <f t="array" ref="E12">IF(D12="","",IF(D12&lt;40,"Low",IF(D12&lt;70,"Moderate","High")))</f>
      </c>
      <c r="F12" t="str" s="33" cm="1">
        <f t="array" ref="F12">_xlfn.IFERROR(_xlfn.AVERAGEIFS('Student_Response_Template'!$I1:$I86,'Student_Response_Template'!$C1:$C86,A12,'Student_Response_Template'!$D1:$D86,B12,'Student_Response_Template'!$E1:$E86,C12),"")</f>
      </c>
      <c r="G12" s="46" cm="1">
        <f t="array" ref="G12">_xlfn.COUNTIFS('Student_Response_Template'!$C1:$C86,A12,'Student_Response_Template'!$D1:$D86,B12,'Student_Response_Template'!$E1:$E86,C12,'Student_Response_Template'!$K1:$K86,"High")</f>
        <v>0</v>
      </c>
      <c r="H12" t="str" s="33" cm="1">
        <f t="array" ref="H12">IF(D12="","",IF(G12&gt;=2,"Timing Review",IF(D12&lt;40,"Support Needed","OK")))</f>
      </c>
      <c r="I12" t="s" s="35">
        <v>588</v>
      </c>
      <c r="J12" s="30"/>
      <c r="K12" s="42"/>
    </row>
    <row r="13" ht="14.5" customHeight="1">
      <c r="A13" t="s" s="36">
        <v>34</v>
      </c>
      <c r="B13" t="s" s="37">
        <v>317</v>
      </c>
      <c r="C13" t="s" s="37">
        <v>317</v>
      </c>
      <c r="D13" t="str" s="38" cm="1">
        <f t="array" ref="D13">_xlfn.IFERROR(_xlfn.AVERAGEIFS('Student_Response_Template'!$J1:$J86,'Student_Response_Template'!$C1:$C86,A13,'Student_Response_Template'!$D1:$D86,B13,'Student_Response_Template'!$E1:$E86,C13),"")</f>
      </c>
      <c r="E13" t="str" s="38" cm="1">
        <f t="array" ref="E13">IF(D13="","",IF(D13&lt;40,"Low",IF(D13&lt;70,"Moderate","High")))</f>
      </c>
      <c r="F13" t="str" s="38" cm="1">
        <f t="array" ref="F13">_xlfn.IFERROR(_xlfn.AVERAGEIFS('Student_Response_Template'!$I1:$I86,'Student_Response_Template'!$C1:$C86,A13,'Student_Response_Template'!$D1:$D86,B13,'Student_Response_Template'!$E1:$E86,C13),"")</f>
      </c>
      <c r="G13" s="49" cm="1">
        <f t="array" ref="G13">_xlfn.COUNTIFS('Student_Response_Template'!$C1:$C86,A13,'Student_Response_Template'!$D1:$D86,B13,'Student_Response_Template'!$E1:$E86,C13,'Student_Response_Template'!$K1:$K86,"High")</f>
        <v>0</v>
      </c>
      <c r="H13" t="str" s="38" cm="1">
        <f t="array" ref="H13">IF(D13="","",IF(G13&gt;=2,"Timing Review",IF(D13&lt;40,"Support Needed","OK")))</f>
      </c>
      <c r="I13" t="s" s="40">
        <v>589</v>
      </c>
      <c r="J13" s="30"/>
      <c r="K13" s="42"/>
    </row>
    <row r="14" ht="14.5" customHeight="1">
      <c r="A14" t="s" s="31">
        <v>34</v>
      </c>
      <c r="B14" t="s" s="32">
        <v>271</v>
      </c>
      <c r="C14" t="s" s="32">
        <v>271</v>
      </c>
      <c r="D14" t="str" s="33" cm="1">
        <f t="array" ref="D14">_xlfn.IFERROR(_xlfn.AVERAGEIFS('Student_Response_Template'!$J1:$J86,'Student_Response_Template'!$C1:$C86,A14,'Student_Response_Template'!$D1:$D86,B14,'Student_Response_Template'!$E1:$E86,C14),"")</f>
      </c>
      <c r="E14" t="str" s="33" cm="1">
        <f t="array" ref="E14">IF(D14="","",IF(D14&lt;40,"Low",IF(D14&lt;70,"Moderate","High")))</f>
      </c>
      <c r="F14" t="str" s="33" cm="1">
        <f t="array" ref="F14">_xlfn.IFERROR(_xlfn.AVERAGEIFS('Student_Response_Template'!$I1:$I86,'Student_Response_Template'!$C1:$C86,A14,'Student_Response_Template'!$D1:$D86,B14,'Student_Response_Template'!$E1:$E86,C14),"")</f>
      </c>
      <c r="G14" s="46" cm="1">
        <f t="array" ref="G14">_xlfn.COUNTIFS('Student_Response_Template'!$C1:$C86,A14,'Student_Response_Template'!$D1:$D86,B14,'Student_Response_Template'!$E1:$E86,C14,'Student_Response_Template'!$K1:$K86,"High")</f>
        <v>0</v>
      </c>
      <c r="H14" t="str" s="33" cm="1">
        <f t="array" ref="H14">IF(D14="","",IF(G14&gt;=2,"Timing Review",IF(D14&lt;40,"Support Needed","OK")))</f>
      </c>
      <c r="I14" t="s" s="35">
        <v>590</v>
      </c>
      <c r="J14" s="30"/>
      <c r="K14" s="42"/>
    </row>
    <row r="15" ht="14.5" customHeight="1">
      <c r="A15" t="s" s="36">
        <v>35</v>
      </c>
      <c r="B15" t="s" s="37">
        <v>351</v>
      </c>
      <c r="C15" t="s" s="37">
        <v>351</v>
      </c>
      <c r="D15" t="str" s="38" cm="1">
        <f t="array" ref="D15">_xlfn.IFERROR(_xlfn.AVERAGEIFS('Student_Response_Template'!$J1:$J86,'Student_Response_Template'!$C1:$C86,A15,'Student_Response_Template'!$D1:$D86,B15,'Student_Response_Template'!$E1:$E86,C15),"")</f>
      </c>
      <c r="E15" t="str" s="38" cm="1">
        <f t="array" ref="E15">IF(D15="","",IF(D15&lt;40,"Low",IF(D15&lt;70,"Moderate","High")))</f>
      </c>
      <c r="F15" t="str" s="38" cm="1">
        <f t="array" ref="F15">_xlfn.IFERROR(_xlfn.AVERAGEIFS('Student_Response_Template'!$I1:$I86,'Student_Response_Template'!$C1:$C86,A15,'Student_Response_Template'!$D1:$D86,B15,'Student_Response_Template'!$E1:$E86,C15),"")</f>
      </c>
      <c r="G15" s="49" cm="1">
        <f t="array" ref="G15">_xlfn.COUNTIFS('Student_Response_Template'!$C1:$C86,A15,'Student_Response_Template'!$D1:$D86,B15,'Student_Response_Template'!$E1:$E86,C15,'Student_Response_Template'!$K1:$K86,"High")</f>
        <v>0</v>
      </c>
      <c r="H15" t="str" s="38" cm="1">
        <f t="array" ref="H15">IF(D15="","",IF(G15&gt;=2,"Timing Review",IF(D15&lt;40,"Support Needed","OK")))</f>
      </c>
      <c r="I15" t="s" s="40">
        <v>591</v>
      </c>
      <c r="J15" s="30"/>
      <c r="K15" s="42"/>
    </row>
    <row r="16" ht="14.5" customHeight="1">
      <c r="A16" t="s" s="31">
        <v>35</v>
      </c>
      <c r="B16" t="s" s="32">
        <v>375</v>
      </c>
      <c r="C16" t="s" s="32">
        <v>375</v>
      </c>
      <c r="D16" t="str" s="33" cm="1">
        <f t="array" ref="D16">_xlfn.IFERROR(_xlfn.AVERAGEIFS('Student_Response_Template'!$J1:$J86,'Student_Response_Template'!$C1:$C86,A16,'Student_Response_Template'!$D1:$D86,B16,'Student_Response_Template'!$E1:$E86,C16),"")</f>
      </c>
      <c r="E16" t="str" s="33" cm="1">
        <f t="array" ref="E16">IF(D16="","",IF(D16&lt;40,"Low",IF(D16&lt;70,"Moderate","High")))</f>
      </c>
      <c r="F16" t="str" s="33" cm="1">
        <f t="array" ref="F16">_xlfn.IFERROR(_xlfn.AVERAGEIFS('Student_Response_Template'!$I1:$I86,'Student_Response_Template'!$C1:$C86,A16,'Student_Response_Template'!$D1:$D86,B16,'Student_Response_Template'!$E1:$E86,C16),"")</f>
      </c>
      <c r="G16" s="46" cm="1">
        <f t="array" ref="G16">_xlfn.COUNTIFS('Student_Response_Template'!$C1:$C86,A16,'Student_Response_Template'!$D1:$D86,B16,'Student_Response_Template'!$E1:$E86,C16,'Student_Response_Template'!$K1:$K86,"High")</f>
        <v>0</v>
      </c>
      <c r="H16" t="str" s="33" cm="1">
        <f t="array" ref="H16">IF(D16="","",IF(G16&gt;=2,"Timing Review",IF(D16&lt;40,"Support Needed","OK")))</f>
      </c>
      <c r="I16" t="s" s="35">
        <v>592</v>
      </c>
      <c r="J16" s="30"/>
      <c r="K16" s="42"/>
    </row>
    <row r="17" ht="14.5" customHeight="1">
      <c r="A17" t="s" s="36">
        <v>35</v>
      </c>
      <c r="B17" t="s" s="37">
        <v>363</v>
      </c>
      <c r="C17" t="s" s="37">
        <v>363</v>
      </c>
      <c r="D17" t="str" s="38" cm="1">
        <f t="array" ref="D17">_xlfn.IFERROR(_xlfn.AVERAGEIFS('Student_Response_Template'!$J1:$J86,'Student_Response_Template'!$C1:$C86,A17,'Student_Response_Template'!$D1:$D86,B17,'Student_Response_Template'!$E1:$E86,C17),"")</f>
      </c>
      <c r="E17" t="str" s="38" cm="1">
        <f t="array" ref="E17">IF(D17="","",IF(D17&lt;40,"Low",IF(D17&lt;70,"Moderate","High")))</f>
      </c>
      <c r="F17" t="str" s="38" cm="1">
        <f t="array" ref="F17">_xlfn.IFERROR(_xlfn.AVERAGEIFS('Student_Response_Template'!$I1:$I86,'Student_Response_Template'!$C1:$C86,A17,'Student_Response_Template'!$D1:$D86,B17,'Student_Response_Template'!$E1:$E86,C17),"")</f>
      </c>
      <c r="G17" s="49" cm="1">
        <f t="array" ref="G17">_xlfn.COUNTIFS('Student_Response_Template'!$C1:$C86,A17,'Student_Response_Template'!$D1:$D86,B17,'Student_Response_Template'!$E1:$E86,C17,'Student_Response_Template'!$K1:$K86,"High")</f>
        <v>0</v>
      </c>
      <c r="H17" t="str" s="38" cm="1">
        <f t="array" ref="H17">IF(D17="","",IF(G17&gt;=2,"Timing Review",IF(D17&lt;40,"Support Needed","OK")))</f>
      </c>
      <c r="I17" t="s" s="40">
        <v>593</v>
      </c>
      <c r="J17" s="30"/>
      <c r="K17" s="42"/>
    </row>
    <row r="18" ht="14.5" customHeight="1">
      <c r="A18" t="s" s="31">
        <v>35</v>
      </c>
      <c r="B18" t="s" s="32">
        <v>338</v>
      </c>
      <c r="C18" t="s" s="32">
        <v>338</v>
      </c>
      <c r="D18" t="str" s="33" cm="1">
        <f t="array" ref="D18">_xlfn.IFERROR(_xlfn.AVERAGEIFS('Student_Response_Template'!$J1:$J86,'Student_Response_Template'!$C1:$C86,A18,'Student_Response_Template'!$D1:$D86,B18,'Student_Response_Template'!$E1:$E86,C18),"")</f>
      </c>
      <c r="E18" t="str" s="33" cm="1">
        <f t="array" ref="E18">IF(D18="","",IF(D18&lt;40,"Low",IF(D18&lt;70,"Moderate","High")))</f>
      </c>
      <c r="F18" t="str" s="33" cm="1">
        <f t="array" ref="F18">_xlfn.IFERROR(_xlfn.AVERAGEIFS('Student_Response_Template'!$I1:$I86,'Student_Response_Template'!$C1:$C86,A18,'Student_Response_Template'!$D1:$D86,B18,'Student_Response_Template'!$E1:$E86,C18),"")</f>
      </c>
      <c r="G18" s="46" cm="1">
        <f t="array" ref="G18">_xlfn.COUNTIFS('Student_Response_Template'!$C1:$C86,A18,'Student_Response_Template'!$D1:$D86,B18,'Student_Response_Template'!$E1:$E86,C18,'Student_Response_Template'!$K1:$K86,"High")</f>
        <v>0</v>
      </c>
      <c r="H18" t="str" s="33" cm="1">
        <f t="array" ref="H18">IF(D18="","",IF(G18&gt;=2,"Timing Review",IF(D18&lt;40,"Support Needed","OK")))</f>
      </c>
      <c r="I18" t="s" s="35">
        <v>594</v>
      </c>
      <c r="J18" s="30"/>
      <c r="K18" s="42"/>
    </row>
    <row r="19" ht="14.5" customHeight="1">
      <c r="A19" t="s" s="36">
        <v>36</v>
      </c>
      <c r="B19" t="s" s="37">
        <v>400</v>
      </c>
      <c r="C19" t="s" s="37">
        <v>400</v>
      </c>
      <c r="D19" t="str" s="38" cm="1">
        <f t="array" ref="D19">_xlfn.IFERROR(_xlfn.AVERAGEIFS('Student_Response_Template'!$J1:$J86,'Student_Response_Template'!$C1:$C86,A19,'Student_Response_Template'!$D1:$D86,B19,'Student_Response_Template'!$E1:$E86,C19),"")</f>
      </c>
      <c r="E19" t="str" s="38" cm="1">
        <f t="array" ref="E19">IF(D19="","",IF(D19&lt;40,"Low",IF(D19&lt;70,"Moderate","High")))</f>
      </c>
      <c r="F19" t="str" s="38" cm="1">
        <f t="array" ref="F19">_xlfn.IFERROR(_xlfn.AVERAGEIFS('Student_Response_Template'!$I1:$I86,'Student_Response_Template'!$C1:$C86,A19,'Student_Response_Template'!$D1:$D86,B19,'Student_Response_Template'!$E1:$E86,C19),"")</f>
      </c>
      <c r="G19" s="49" cm="1">
        <f t="array" ref="G19">_xlfn.COUNTIFS('Student_Response_Template'!$C1:$C86,A19,'Student_Response_Template'!$D1:$D86,B19,'Student_Response_Template'!$E1:$E86,C19,'Student_Response_Template'!$K1:$K86,"High")</f>
        <v>0</v>
      </c>
      <c r="H19" t="str" s="38" cm="1">
        <f t="array" ref="H19">IF(D19="","",IF(G19&gt;=2,"Timing Review",IF(D19&lt;40,"Support Needed","OK")))</f>
      </c>
      <c r="I19" t="s" s="40">
        <v>595</v>
      </c>
      <c r="J19" s="30"/>
      <c r="K19" s="42"/>
    </row>
    <row r="20" ht="14.5" customHeight="1">
      <c r="A20" t="s" s="31">
        <v>36</v>
      </c>
      <c r="B20" t="s" s="32">
        <v>412</v>
      </c>
      <c r="C20" t="s" s="32">
        <v>412</v>
      </c>
      <c r="D20" t="str" s="33" cm="1">
        <f t="array" ref="D20">_xlfn.IFERROR(_xlfn.AVERAGEIFS('Student_Response_Template'!$J1:$J86,'Student_Response_Template'!$C1:$C86,A20,'Student_Response_Template'!$D1:$D86,B20,'Student_Response_Template'!$E1:$E86,C20),"")</f>
      </c>
      <c r="E20" t="str" s="33" cm="1">
        <f t="array" ref="E20">IF(D20="","",IF(D20&lt;40,"Low",IF(D20&lt;70,"Moderate","High")))</f>
      </c>
      <c r="F20" t="str" s="33" cm="1">
        <f t="array" ref="F20">_xlfn.IFERROR(_xlfn.AVERAGEIFS('Student_Response_Template'!$I1:$I86,'Student_Response_Template'!$C1:$C86,A20,'Student_Response_Template'!$D1:$D86,B20,'Student_Response_Template'!$E1:$E86,C20),"")</f>
      </c>
      <c r="G20" s="46" cm="1">
        <f t="array" ref="G20">_xlfn.COUNTIFS('Student_Response_Template'!$C1:$C86,A20,'Student_Response_Template'!$D1:$D86,B20,'Student_Response_Template'!$E1:$E86,C20,'Student_Response_Template'!$K1:$K86,"High")</f>
        <v>0</v>
      </c>
      <c r="H20" t="str" s="33" cm="1">
        <f t="array" ref="H20">IF(D20="","",IF(G20&gt;=2,"Timing Review",IF(D20&lt;40,"Support Needed","OK")))</f>
      </c>
      <c r="I20" t="s" s="35">
        <v>596</v>
      </c>
      <c r="J20" s="30"/>
      <c r="K20" s="42"/>
    </row>
    <row r="21" ht="14.5" customHeight="1">
      <c r="A21" t="s" s="36">
        <v>36</v>
      </c>
      <c r="B21" t="s" s="37">
        <v>424</v>
      </c>
      <c r="C21" t="s" s="37">
        <v>424</v>
      </c>
      <c r="D21" t="str" s="38" cm="1">
        <f t="array" ref="D21">_xlfn.IFERROR(_xlfn.AVERAGEIFS('Student_Response_Template'!$J1:$J86,'Student_Response_Template'!$C1:$C86,A21,'Student_Response_Template'!$D1:$D86,B21,'Student_Response_Template'!$E1:$E86,C21),"")</f>
      </c>
      <c r="E21" t="str" s="38" cm="1">
        <f t="array" ref="E21">IF(D21="","",IF(D21&lt;40,"Low",IF(D21&lt;70,"Moderate","High")))</f>
      </c>
      <c r="F21" t="str" s="38" cm="1">
        <f t="array" ref="F21">_xlfn.IFERROR(_xlfn.AVERAGEIFS('Student_Response_Template'!$I1:$I86,'Student_Response_Template'!$C1:$C86,A21,'Student_Response_Template'!$D1:$D86,B21,'Student_Response_Template'!$E1:$E86,C21),"")</f>
      </c>
      <c r="G21" s="49" cm="1">
        <f t="array" ref="G21">_xlfn.COUNTIFS('Student_Response_Template'!$C1:$C86,A21,'Student_Response_Template'!$D1:$D86,B21,'Student_Response_Template'!$E1:$E86,C21,'Student_Response_Template'!$K1:$K86,"High")</f>
        <v>0</v>
      </c>
      <c r="H21" t="str" s="38" cm="1">
        <f t="array" ref="H21">IF(D21="","",IF(G21&gt;=2,"Timing Review",IF(D21&lt;40,"Support Needed","OK")))</f>
      </c>
      <c r="I21" t="s" s="40">
        <v>597</v>
      </c>
      <c r="J21" s="30"/>
      <c r="K21" s="42"/>
    </row>
    <row r="22" ht="14.5" customHeight="1">
      <c r="A22" t="s" s="31">
        <v>36</v>
      </c>
      <c r="B22" t="s" s="32">
        <v>387</v>
      </c>
      <c r="C22" t="s" s="32">
        <v>387</v>
      </c>
      <c r="D22" t="str" s="33" cm="1">
        <f t="array" ref="D22">_xlfn.IFERROR(_xlfn.AVERAGEIFS('Student_Response_Template'!$J1:$J86,'Student_Response_Template'!$C1:$C86,A22,'Student_Response_Template'!$D1:$D86,B22,'Student_Response_Template'!$E1:$E86,C22),"")</f>
      </c>
      <c r="E22" t="str" s="33" cm="1">
        <f t="array" ref="E22">IF(D22="","",IF(D22&lt;40,"Low",IF(D22&lt;70,"Moderate","High")))</f>
      </c>
      <c r="F22" t="str" s="33" cm="1">
        <f t="array" ref="F22">_xlfn.IFERROR(_xlfn.AVERAGEIFS('Student_Response_Template'!$I1:$I86,'Student_Response_Template'!$C1:$C86,A22,'Student_Response_Template'!$D1:$D86,B22,'Student_Response_Template'!$E1:$E86,C22),"")</f>
      </c>
      <c r="G22" s="46" cm="1">
        <f t="array" ref="G22">_xlfn.COUNTIFS('Student_Response_Template'!$C1:$C86,A22,'Student_Response_Template'!$D1:$D86,B22,'Student_Response_Template'!$E1:$E86,C22,'Student_Response_Template'!$K1:$K86,"High")</f>
        <v>0</v>
      </c>
      <c r="H22" t="str" s="33" cm="1">
        <f t="array" ref="H22">IF(D22="","",IF(G22&gt;=2,"Timing Review",IF(D22&lt;40,"Support Needed","OK")))</f>
      </c>
      <c r="I22" t="s" s="35">
        <v>598</v>
      </c>
      <c r="J22" s="30"/>
      <c r="K22" s="42"/>
    </row>
    <row r="23" ht="14.5" customHeight="1">
      <c r="A23" t="s" s="36">
        <v>37</v>
      </c>
      <c r="B23" t="s" s="37">
        <v>104</v>
      </c>
      <c r="C23" t="s" s="37">
        <v>105</v>
      </c>
      <c r="D23" t="str" s="38" cm="1">
        <f t="array" ref="D23">_xlfn.IFERROR(_xlfn.AVERAGEIFS('Student_Response_Template'!$J1:$J86,'Student_Response_Template'!$C1:$C86,A23,'Student_Response_Template'!$D1:$D86,B23,'Student_Response_Template'!$E1:$E86,C23),"")</f>
      </c>
      <c r="E23" t="str" s="38" cm="1">
        <f t="array" ref="E23">IF(D23="","",IF(D23&lt;40,"Low",IF(D23&lt;70,"Moderate","High")))</f>
      </c>
      <c r="F23" t="str" s="38" cm="1">
        <f t="array" ref="F23">_xlfn.IFERROR(_xlfn.AVERAGEIFS('Student_Response_Template'!$I1:$I86,'Student_Response_Template'!$C1:$C86,A23,'Student_Response_Template'!$D1:$D86,B23,'Student_Response_Template'!$E1:$E86,C23),"")</f>
      </c>
      <c r="G23" s="49" cm="1">
        <f t="array" ref="G23">_xlfn.COUNTIFS('Student_Response_Template'!$C1:$C86,A23,'Student_Response_Template'!$D1:$D86,B23,'Student_Response_Template'!$E1:$E86,C23,'Student_Response_Template'!$K1:$K86,"High")</f>
        <v>0</v>
      </c>
      <c r="H23" t="str" s="38" cm="1">
        <f t="array" ref="H23">IF(D23="","",IF(G23&gt;=2,"Timing Review",IF(D23&lt;40,"Support Needed","OK")))</f>
      </c>
      <c r="I23" t="s" s="40">
        <v>599</v>
      </c>
      <c r="J23" s="30"/>
      <c r="K23" s="42"/>
    </row>
    <row r="24" ht="14.5" customHeight="1">
      <c r="A24" t="s" s="31">
        <v>37</v>
      </c>
      <c r="B24" t="s" s="32">
        <v>143</v>
      </c>
      <c r="C24" t="s" s="32">
        <v>144</v>
      </c>
      <c r="D24" t="str" s="33" cm="1">
        <f t="array" ref="D24">_xlfn.IFERROR(_xlfn.AVERAGEIFS('Student_Response_Template'!$J1:$J86,'Student_Response_Template'!$C1:$C86,A24,'Student_Response_Template'!$D1:$D86,B24,'Student_Response_Template'!$E1:$E86,C24),"")</f>
      </c>
      <c r="E24" t="str" s="33" cm="1">
        <f t="array" ref="E24">IF(D24="","",IF(D24&lt;40,"Low",IF(D24&lt;70,"Moderate","High")))</f>
      </c>
      <c r="F24" t="str" s="33" cm="1">
        <f t="array" ref="F24">_xlfn.IFERROR(_xlfn.AVERAGEIFS('Student_Response_Template'!$I1:$I86,'Student_Response_Template'!$C1:$C86,A24,'Student_Response_Template'!$D1:$D86,B24,'Student_Response_Template'!$E1:$E86,C24),"")</f>
      </c>
      <c r="G24" s="46" cm="1">
        <f t="array" ref="G24">_xlfn.COUNTIFS('Student_Response_Template'!$C1:$C86,A24,'Student_Response_Template'!$D1:$D86,B24,'Student_Response_Template'!$E1:$E86,C24,'Student_Response_Template'!$K1:$K86,"High")</f>
        <v>0</v>
      </c>
      <c r="H24" t="str" s="33" cm="1">
        <f t="array" ref="H24">IF(D24="","",IF(G24&gt;=2,"Timing Review",IF(D24&lt;40,"Support Needed","OK")))</f>
      </c>
      <c r="I24" t="s" s="35">
        <v>600</v>
      </c>
      <c r="J24" s="30"/>
      <c r="K24" s="42"/>
    </row>
    <row r="25" ht="14.5" customHeight="1">
      <c r="A25" t="s" s="36">
        <v>37</v>
      </c>
      <c r="B25" t="s" s="37">
        <v>130</v>
      </c>
      <c r="C25" t="s" s="37">
        <v>131</v>
      </c>
      <c r="D25" t="str" s="38" cm="1">
        <f t="array" ref="D25">_xlfn.IFERROR(_xlfn.AVERAGEIFS('Student_Response_Template'!$J1:$J86,'Student_Response_Template'!$C1:$C86,A25,'Student_Response_Template'!$D1:$D86,B25,'Student_Response_Template'!$E1:$E86,C25),"")</f>
      </c>
      <c r="E25" t="str" s="38" cm="1">
        <f t="array" ref="E25">IF(D25="","",IF(D25&lt;40,"Low",IF(D25&lt;70,"Moderate","High")))</f>
      </c>
      <c r="F25" t="str" s="38" cm="1">
        <f t="array" ref="F25">_xlfn.IFERROR(_xlfn.AVERAGEIFS('Student_Response_Template'!$I1:$I86,'Student_Response_Template'!$C1:$C86,A25,'Student_Response_Template'!$D1:$D86,B25,'Student_Response_Template'!$E1:$E86,C25),"")</f>
      </c>
      <c r="G25" s="49" cm="1">
        <f t="array" ref="G25">_xlfn.COUNTIFS('Student_Response_Template'!$C1:$C86,A25,'Student_Response_Template'!$D1:$D86,B25,'Student_Response_Template'!$E1:$E86,C25,'Student_Response_Template'!$K1:$K86,"High")</f>
        <v>0</v>
      </c>
      <c r="H25" t="str" s="38" cm="1">
        <f t="array" ref="H25">IF(D25="","",IF(G25&gt;=2,"Timing Review",IF(D25&lt;40,"Support Needed","OK")))</f>
      </c>
      <c r="I25" t="s" s="40">
        <v>601</v>
      </c>
      <c r="J25" s="30"/>
      <c r="K25" s="42"/>
    </row>
    <row r="26" ht="14.5" customHeight="1">
      <c r="A26" t="s" s="31">
        <v>37</v>
      </c>
      <c r="B26" t="s" s="32">
        <v>91</v>
      </c>
      <c r="C26" t="s" s="32">
        <v>92</v>
      </c>
      <c r="D26" t="str" s="33" cm="1">
        <f t="array" ref="D26">_xlfn.IFERROR(_xlfn.AVERAGEIFS('Student_Response_Template'!$J1:$J86,'Student_Response_Template'!$C1:$C86,A26,'Student_Response_Template'!$D1:$D86,B26,'Student_Response_Template'!$E1:$E86,C26),"")</f>
      </c>
      <c r="E26" t="str" s="33" cm="1">
        <f t="array" ref="E26">IF(D26="","",IF(D26&lt;40,"Low",IF(D26&lt;70,"Moderate","High")))</f>
      </c>
      <c r="F26" t="str" s="33" cm="1">
        <f t="array" ref="F26">_xlfn.IFERROR(_xlfn.AVERAGEIFS('Student_Response_Template'!$I1:$I86,'Student_Response_Template'!$C1:$C86,A26,'Student_Response_Template'!$D1:$D86,B26,'Student_Response_Template'!$E1:$E86,C26),"")</f>
      </c>
      <c r="G26" s="46" cm="1">
        <f t="array" ref="G26">_xlfn.COUNTIFS('Student_Response_Template'!$C1:$C86,A26,'Student_Response_Template'!$D1:$D86,B26,'Student_Response_Template'!$E1:$E86,C26,'Student_Response_Template'!$K1:$K86,"High")</f>
        <v>0</v>
      </c>
      <c r="H26" t="str" s="33" cm="1">
        <f t="array" ref="H26">IF(D26="","",IF(G26&gt;=2,"Timing Review",IF(D26&lt;40,"Support Needed","OK")))</f>
      </c>
      <c r="I26" t="s" s="35">
        <v>602</v>
      </c>
      <c r="J26" s="30"/>
      <c r="K26" s="42"/>
    </row>
    <row r="27" ht="14.5" customHeight="1">
      <c r="A27" t="s" s="36">
        <v>37</v>
      </c>
      <c r="B27" t="s" s="37">
        <v>66</v>
      </c>
      <c r="C27" t="s" s="37">
        <v>67</v>
      </c>
      <c r="D27" t="str" s="38" cm="1">
        <f t="array" ref="D27">_xlfn.IFERROR(_xlfn.AVERAGEIFS('Student_Response_Template'!$J1:$J86,'Student_Response_Template'!$C1:$C86,A27,'Student_Response_Template'!$D1:$D86,B27,'Student_Response_Template'!$E1:$E86,C27),"")</f>
      </c>
      <c r="E27" t="str" s="38" cm="1">
        <f t="array" ref="E27">IF(D27="","",IF(D27&lt;40,"Low",IF(D27&lt;70,"Moderate","High")))</f>
      </c>
      <c r="F27" t="str" s="38" cm="1">
        <f t="array" ref="F27">_xlfn.IFERROR(_xlfn.AVERAGEIFS('Student_Response_Template'!$I1:$I86,'Student_Response_Template'!$C1:$C86,A27,'Student_Response_Template'!$D1:$D86,B27,'Student_Response_Template'!$E1:$E86,C27),"")</f>
      </c>
      <c r="G27" s="49" cm="1">
        <f t="array" ref="G27">_xlfn.COUNTIFS('Student_Response_Template'!$C1:$C86,A27,'Student_Response_Template'!$D1:$D86,B27,'Student_Response_Template'!$E1:$E86,C27,'Student_Response_Template'!$K1:$K86,"High")</f>
        <v>0</v>
      </c>
      <c r="H27" t="str" s="38" cm="1">
        <f t="array" ref="H27">IF(D27="","",IF(G27&gt;=2,"Timing Review",IF(D27&lt;40,"Support Needed","OK")))</f>
      </c>
      <c r="I27" t="s" s="40">
        <v>603</v>
      </c>
      <c r="J27" s="30"/>
      <c r="K27" s="42"/>
    </row>
    <row r="28" ht="14.5" customHeight="1">
      <c r="A28" t="s" s="31">
        <v>37</v>
      </c>
      <c r="B28" t="s" s="32">
        <v>117</v>
      </c>
      <c r="C28" t="s" s="32">
        <v>118</v>
      </c>
      <c r="D28" t="str" s="33" cm="1">
        <f t="array" ref="D28">_xlfn.IFERROR(_xlfn.AVERAGEIFS('Student_Response_Template'!$J1:$J86,'Student_Response_Template'!$C1:$C86,A28,'Student_Response_Template'!$D1:$D86,B28,'Student_Response_Template'!$E1:$E86,C28),"")</f>
      </c>
      <c r="E28" t="str" s="33" cm="1">
        <f t="array" ref="E28">IF(D28="","",IF(D28&lt;40,"Low",IF(D28&lt;70,"Moderate","High")))</f>
      </c>
      <c r="F28" t="str" s="33" cm="1">
        <f t="array" ref="F28">_xlfn.IFERROR(_xlfn.AVERAGEIFS('Student_Response_Template'!$I1:$I86,'Student_Response_Template'!$C1:$C86,A28,'Student_Response_Template'!$D1:$D86,B28,'Student_Response_Template'!$E1:$E86,C28),"")</f>
      </c>
      <c r="G28" s="46" cm="1">
        <f t="array" ref="G28">_xlfn.COUNTIFS('Student_Response_Template'!$C1:$C86,A28,'Student_Response_Template'!$D1:$D86,B28,'Student_Response_Template'!$E1:$E86,C28,'Student_Response_Template'!$K1:$K86,"High")</f>
        <v>0</v>
      </c>
      <c r="H28" t="str" s="33" cm="1">
        <f t="array" ref="H28">IF(D28="","",IF(G28&gt;=2,"Timing Review",IF(D28&lt;40,"Support Needed","OK")))</f>
      </c>
      <c r="I28" t="s" s="35">
        <v>604</v>
      </c>
      <c r="J28" s="30"/>
      <c r="K28" s="42"/>
    </row>
    <row r="29" ht="14.5" customHeight="1">
      <c r="A29" t="s" s="36">
        <v>38</v>
      </c>
      <c r="B29" t="s" s="37">
        <v>470</v>
      </c>
      <c r="C29" t="s" s="37">
        <v>470</v>
      </c>
      <c r="D29" t="str" s="38" cm="1">
        <f t="array" ref="D29">_xlfn.IFERROR(_xlfn.AVERAGEIFS('Student_Response_Template'!$J1:$J86,'Student_Response_Template'!$C1:$C86,A29,'Student_Response_Template'!$D1:$D86,B29,'Student_Response_Template'!$E1:$E86,C29),"")</f>
      </c>
      <c r="E29" t="str" s="38" cm="1">
        <f t="array" ref="E29">IF(D29="","",IF(D29&lt;40,"Low",IF(D29&lt;70,"Moderate","High")))</f>
      </c>
      <c r="F29" t="str" s="38" cm="1">
        <f t="array" ref="F29">_xlfn.IFERROR(_xlfn.AVERAGEIFS('Student_Response_Template'!$I1:$I86,'Student_Response_Template'!$C1:$C86,A29,'Student_Response_Template'!$D1:$D86,B29,'Student_Response_Template'!$E1:$E86,C29),"")</f>
      </c>
      <c r="G29" s="49" cm="1">
        <f t="array" ref="G29">_xlfn.COUNTIFS('Student_Response_Template'!$C1:$C86,A29,'Student_Response_Template'!$D1:$D86,B29,'Student_Response_Template'!$E1:$E86,C29,'Student_Response_Template'!$K1:$K86,"High")</f>
        <v>0</v>
      </c>
      <c r="H29" t="str" s="38" cm="1">
        <f t="array" ref="H29">IF(D29="","",IF(G29&gt;=2,"Timing Review",IF(D29&lt;40,"Support Needed","OK")))</f>
      </c>
      <c r="I29" t="s" s="40">
        <v>605</v>
      </c>
      <c r="J29" s="30"/>
      <c r="K29" s="42"/>
    </row>
    <row r="30" ht="14.5" customHeight="1">
      <c r="A30" s="41"/>
      <c r="B30" s="41"/>
      <c r="C30" s="41"/>
      <c r="D30" s="41"/>
      <c r="E30" s="41"/>
      <c r="F30" s="41"/>
      <c r="G30" s="41"/>
      <c r="H30" s="41"/>
      <c r="I30" s="41"/>
      <c r="J30" s="42"/>
      <c r="K30" s="4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L1082"/>
  <sheetViews>
    <sheetView workbookViewId="0" showGridLines="0" defaultGridColor="1"/>
  </sheetViews>
  <sheetFormatPr defaultColWidth="8.83333" defaultRowHeight="15" customHeight="1" outlineLevelRow="0" outlineLevelCol="0"/>
  <cols>
    <col min="1" max="7" width="18" style="53" customWidth="1"/>
    <col min="8" max="9" width="65" style="53" customWidth="1"/>
    <col min="10" max="11" width="22" style="53" customWidth="1"/>
    <col min="12" max="12" width="8.85156" style="53" customWidth="1"/>
    <col min="13" max="16384" width="8.85156" style="53" customWidth="1"/>
  </cols>
  <sheetData>
    <row r="1" ht="34" customHeight="1">
      <c r="A1" t="s" s="27">
        <v>607</v>
      </c>
      <c r="B1" t="s" s="28">
        <v>608</v>
      </c>
      <c r="C1" t="s" s="28">
        <v>609</v>
      </c>
      <c r="D1" t="s" s="28">
        <v>610</v>
      </c>
      <c r="E1" t="s" s="28">
        <v>611</v>
      </c>
      <c r="F1" t="s" s="28">
        <v>612</v>
      </c>
      <c r="G1" t="s" s="28">
        <v>613</v>
      </c>
      <c r="H1" t="s" s="28">
        <v>490</v>
      </c>
      <c r="I1" t="s" s="28">
        <v>614</v>
      </c>
      <c r="J1" t="s" s="28">
        <v>615</v>
      </c>
      <c r="K1" t="s" s="29">
        <v>616</v>
      </c>
      <c r="L1" s="30"/>
    </row>
    <row r="2" ht="74.5" customHeight="1">
      <c r="A2" t="s" s="31">
        <v>617</v>
      </c>
      <c r="B2" t="s" s="32">
        <v>67</v>
      </c>
      <c r="C2" t="s" s="32">
        <v>66</v>
      </c>
      <c r="D2" t="s" s="32">
        <v>156</v>
      </c>
      <c r="E2" t="s" s="32">
        <v>618</v>
      </c>
      <c r="F2" t="s" s="32">
        <v>618</v>
      </c>
      <c r="G2" t="s" s="32">
        <v>387</v>
      </c>
      <c r="H2" t="s" s="32">
        <v>619</v>
      </c>
      <c r="I2" t="s" s="32">
        <v>620</v>
      </c>
      <c r="J2" t="s" s="32">
        <v>621</v>
      </c>
      <c r="K2" t="s" s="35">
        <v>622</v>
      </c>
      <c r="L2" s="30"/>
    </row>
    <row r="3" ht="74.5" customHeight="1">
      <c r="A3" t="s" s="36">
        <v>623</v>
      </c>
      <c r="B3" t="s" s="37">
        <v>67</v>
      </c>
      <c r="C3" t="s" s="37">
        <v>66</v>
      </c>
      <c r="D3" t="s" s="37">
        <v>156</v>
      </c>
      <c r="E3" t="s" s="37">
        <v>618</v>
      </c>
      <c r="F3" t="s" s="37">
        <v>618</v>
      </c>
      <c r="G3" t="s" s="37">
        <v>400</v>
      </c>
      <c r="H3" t="s" s="37">
        <v>624</v>
      </c>
      <c r="I3" t="s" s="37">
        <v>620</v>
      </c>
      <c r="J3" t="s" s="37">
        <v>621</v>
      </c>
      <c r="K3" t="s" s="40">
        <v>622</v>
      </c>
      <c r="L3" s="30"/>
    </row>
    <row r="4" ht="74.5" customHeight="1">
      <c r="A4" t="s" s="31">
        <v>625</v>
      </c>
      <c r="B4" t="s" s="32">
        <v>67</v>
      </c>
      <c r="C4" t="s" s="32">
        <v>66</v>
      </c>
      <c r="D4" t="s" s="32">
        <v>156</v>
      </c>
      <c r="E4" t="s" s="32">
        <v>618</v>
      </c>
      <c r="F4" t="s" s="32">
        <v>618</v>
      </c>
      <c r="G4" t="s" s="32">
        <v>412</v>
      </c>
      <c r="H4" t="s" s="32">
        <v>626</v>
      </c>
      <c r="I4" t="s" s="32">
        <v>620</v>
      </c>
      <c r="J4" t="s" s="32">
        <v>621</v>
      </c>
      <c r="K4" t="s" s="35">
        <v>622</v>
      </c>
      <c r="L4" s="30"/>
    </row>
    <row r="5" ht="74.5" customHeight="1">
      <c r="A5" t="s" s="36">
        <v>627</v>
      </c>
      <c r="B5" t="s" s="37">
        <v>67</v>
      </c>
      <c r="C5" t="s" s="37">
        <v>66</v>
      </c>
      <c r="D5" t="s" s="37">
        <v>156</v>
      </c>
      <c r="E5" t="s" s="37">
        <v>618</v>
      </c>
      <c r="F5" t="s" s="37">
        <v>618</v>
      </c>
      <c r="G5" t="s" s="37">
        <v>424</v>
      </c>
      <c r="H5" t="s" s="37">
        <v>628</v>
      </c>
      <c r="I5" t="s" s="37">
        <v>620</v>
      </c>
      <c r="J5" t="s" s="37">
        <v>621</v>
      </c>
      <c r="K5" t="s" s="40">
        <v>622</v>
      </c>
      <c r="L5" s="30"/>
    </row>
    <row r="6" ht="74.5" customHeight="1">
      <c r="A6" t="s" s="31">
        <v>629</v>
      </c>
      <c r="B6" t="s" s="32">
        <v>67</v>
      </c>
      <c r="C6" t="s" s="32">
        <v>66</v>
      </c>
      <c r="D6" t="s" s="32">
        <v>156</v>
      </c>
      <c r="E6" t="s" s="32">
        <v>618</v>
      </c>
      <c r="F6" t="s" s="32">
        <v>630</v>
      </c>
      <c r="G6" t="s" s="32">
        <v>387</v>
      </c>
      <c r="H6" t="s" s="32">
        <v>631</v>
      </c>
      <c r="I6" t="s" s="32">
        <v>620</v>
      </c>
      <c r="J6" t="s" s="32">
        <v>632</v>
      </c>
      <c r="K6" t="s" s="35">
        <v>622</v>
      </c>
      <c r="L6" s="30"/>
    </row>
    <row r="7" ht="74.5" customHeight="1">
      <c r="A7" t="s" s="36">
        <v>633</v>
      </c>
      <c r="B7" t="s" s="37">
        <v>67</v>
      </c>
      <c r="C7" t="s" s="37">
        <v>66</v>
      </c>
      <c r="D7" t="s" s="37">
        <v>156</v>
      </c>
      <c r="E7" t="s" s="37">
        <v>618</v>
      </c>
      <c r="F7" t="s" s="37">
        <v>630</v>
      </c>
      <c r="G7" t="s" s="37">
        <v>400</v>
      </c>
      <c r="H7" t="s" s="37">
        <v>634</v>
      </c>
      <c r="I7" t="s" s="37">
        <v>620</v>
      </c>
      <c r="J7" t="s" s="37">
        <v>632</v>
      </c>
      <c r="K7" t="s" s="40">
        <v>622</v>
      </c>
      <c r="L7" s="30"/>
    </row>
    <row r="8" ht="74.5" customHeight="1">
      <c r="A8" t="s" s="31">
        <v>635</v>
      </c>
      <c r="B8" t="s" s="32">
        <v>67</v>
      </c>
      <c r="C8" t="s" s="32">
        <v>66</v>
      </c>
      <c r="D8" t="s" s="32">
        <v>156</v>
      </c>
      <c r="E8" t="s" s="32">
        <v>618</v>
      </c>
      <c r="F8" t="s" s="32">
        <v>630</v>
      </c>
      <c r="G8" t="s" s="32">
        <v>412</v>
      </c>
      <c r="H8" t="s" s="32">
        <v>636</v>
      </c>
      <c r="I8" t="s" s="32">
        <v>620</v>
      </c>
      <c r="J8" t="s" s="32">
        <v>632</v>
      </c>
      <c r="K8" t="s" s="35">
        <v>622</v>
      </c>
      <c r="L8" s="30"/>
    </row>
    <row r="9" ht="74.5" customHeight="1">
      <c r="A9" t="s" s="36">
        <v>637</v>
      </c>
      <c r="B9" t="s" s="37">
        <v>67</v>
      </c>
      <c r="C9" t="s" s="37">
        <v>66</v>
      </c>
      <c r="D9" t="s" s="37">
        <v>156</v>
      </c>
      <c r="E9" t="s" s="37">
        <v>618</v>
      </c>
      <c r="F9" t="s" s="37">
        <v>630</v>
      </c>
      <c r="G9" t="s" s="37">
        <v>424</v>
      </c>
      <c r="H9" t="s" s="37">
        <v>638</v>
      </c>
      <c r="I9" t="s" s="37">
        <v>620</v>
      </c>
      <c r="J9" t="s" s="37">
        <v>632</v>
      </c>
      <c r="K9" t="s" s="40">
        <v>622</v>
      </c>
      <c r="L9" s="30"/>
    </row>
    <row r="10" ht="74.5" customHeight="1">
      <c r="A10" t="s" s="31">
        <v>639</v>
      </c>
      <c r="B10" t="s" s="32">
        <v>67</v>
      </c>
      <c r="C10" t="s" s="32">
        <v>66</v>
      </c>
      <c r="D10" t="s" s="32">
        <v>156</v>
      </c>
      <c r="E10" t="s" s="32">
        <v>618</v>
      </c>
      <c r="F10" t="s" s="32">
        <v>622</v>
      </c>
      <c r="G10" t="s" s="32">
        <v>387</v>
      </c>
      <c r="H10" t="s" s="32">
        <v>640</v>
      </c>
      <c r="I10" t="s" s="32">
        <v>620</v>
      </c>
      <c r="J10" t="s" s="32">
        <v>632</v>
      </c>
      <c r="K10" t="s" s="35">
        <v>641</v>
      </c>
      <c r="L10" s="30"/>
    </row>
    <row r="11" ht="74.5" customHeight="1">
      <c r="A11" t="s" s="36">
        <v>642</v>
      </c>
      <c r="B11" t="s" s="37">
        <v>67</v>
      </c>
      <c r="C11" t="s" s="37">
        <v>66</v>
      </c>
      <c r="D11" t="s" s="37">
        <v>156</v>
      </c>
      <c r="E11" t="s" s="37">
        <v>618</v>
      </c>
      <c r="F11" t="s" s="37">
        <v>622</v>
      </c>
      <c r="G11" t="s" s="37">
        <v>400</v>
      </c>
      <c r="H11" t="s" s="37">
        <v>643</v>
      </c>
      <c r="I11" t="s" s="37">
        <v>620</v>
      </c>
      <c r="J11" t="s" s="37">
        <v>632</v>
      </c>
      <c r="K11" t="s" s="40">
        <v>641</v>
      </c>
      <c r="L11" s="30"/>
    </row>
    <row r="12" ht="74.5" customHeight="1">
      <c r="A12" t="s" s="31">
        <v>644</v>
      </c>
      <c r="B12" t="s" s="32">
        <v>67</v>
      </c>
      <c r="C12" t="s" s="32">
        <v>66</v>
      </c>
      <c r="D12" t="s" s="32">
        <v>156</v>
      </c>
      <c r="E12" t="s" s="32">
        <v>618</v>
      </c>
      <c r="F12" t="s" s="32">
        <v>622</v>
      </c>
      <c r="G12" t="s" s="32">
        <v>412</v>
      </c>
      <c r="H12" t="s" s="32">
        <v>645</v>
      </c>
      <c r="I12" t="s" s="32">
        <v>620</v>
      </c>
      <c r="J12" t="s" s="32">
        <v>632</v>
      </c>
      <c r="K12" t="s" s="35">
        <v>641</v>
      </c>
      <c r="L12" s="30"/>
    </row>
    <row r="13" ht="74.5" customHeight="1">
      <c r="A13" t="s" s="36">
        <v>646</v>
      </c>
      <c r="B13" t="s" s="37">
        <v>67</v>
      </c>
      <c r="C13" t="s" s="37">
        <v>66</v>
      </c>
      <c r="D13" t="s" s="37">
        <v>156</v>
      </c>
      <c r="E13" t="s" s="37">
        <v>618</v>
      </c>
      <c r="F13" t="s" s="37">
        <v>622</v>
      </c>
      <c r="G13" t="s" s="37">
        <v>424</v>
      </c>
      <c r="H13" t="s" s="37">
        <v>647</v>
      </c>
      <c r="I13" t="s" s="37">
        <v>620</v>
      </c>
      <c r="J13" t="s" s="37">
        <v>632</v>
      </c>
      <c r="K13" t="s" s="40">
        <v>641</v>
      </c>
      <c r="L13" s="30"/>
    </row>
    <row r="14" ht="74.5" customHeight="1">
      <c r="A14" t="s" s="31">
        <v>648</v>
      </c>
      <c r="B14" t="s" s="32">
        <v>67</v>
      </c>
      <c r="C14" t="s" s="32">
        <v>66</v>
      </c>
      <c r="D14" t="s" s="32">
        <v>156</v>
      </c>
      <c r="E14" t="s" s="32">
        <v>630</v>
      </c>
      <c r="F14" t="s" s="32">
        <v>618</v>
      </c>
      <c r="G14" t="s" s="32">
        <v>387</v>
      </c>
      <c r="H14" t="s" s="32">
        <v>649</v>
      </c>
      <c r="I14" t="s" s="32">
        <v>650</v>
      </c>
      <c r="J14" t="s" s="32">
        <v>651</v>
      </c>
      <c r="K14" t="s" s="35">
        <v>622</v>
      </c>
      <c r="L14" s="30"/>
    </row>
    <row r="15" ht="74.5" customHeight="1">
      <c r="A15" t="s" s="36">
        <v>652</v>
      </c>
      <c r="B15" t="s" s="37">
        <v>67</v>
      </c>
      <c r="C15" t="s" s="37">
        <v>66</v>
      </c>
      <c r="D15" t="s" s="37">
        <v>156</v>
      </c>
      <c r="E15" t="s" s="37">
        <v>630</v>
      </c>
      <c r="F15" t="s" s="37">
        <v>618</v>
      </c>
      <c r="G15" t="s" s="37">
        <v>400</v>
      </c>
      <c r="H15" t="s" s="37">
        <v>653</v>
      </c>
      <c r="I15" t="s" s="37">
        <v>650</v>
      </c>
      <c r="J15" t="s" s="37">
        <v>651</v>
      </c>
      <c r="K15" t="s" s="40">
        <v>622</v>
      </c>
      <c r="L15" s="30"/>
    </row>
    <row r="16" ht="74.5" customHeight="1">
      <c r="A16" t="s" s="31">
        <v>654</v>
      </c>
      <c r="B16" t="s" s="32">
        <v>67</v>
      </c>
      <c r="C16" t="s" s="32">
        <v>66</v>
      </c>
      <c r="D16" t="s" s="32">
        <v>156</v>
      </c>
      <c r="E16" t="s" s="32">
        <v>630</v>
      </c>
      <c r="F16" t="s" s="32">
        <v>618</v>
      </c>
      <c r="G16" t="s" s="32">
        <v>412</v>
      </c>
      <c r="H16" t="s" s="32">
        <v>655</v>
      </c>
      <c r="I16" t="s" s="32">
        <v>650</v>
      </c>
      <c r="J16" t="s" s="32">
        <v>651</v>
      </c>
      <c r="K16" t="s" s="35">
        <v>622</v>
      </c>
      <c r="L16" s="30"/>
    </row>
    <row r="17" ht="74.5" customHeight="1">
      <c r="A17" t="s" s="36">
        <v>656</v>
      </c>
      <c r="B17" t="s" s="37">
        <v>67</v>
      </c>
      <c r="C17" t="s" s="37">
        <v>66</v>
      </c>
      <c r="D17" t="s" s="37">
        <v>156</v>
      </c>
      <c r="E17" t="s" s="37">
        <v>630</v>
      </c>
      <c r="F17" t="s" s="37">
        <v>618</v>
      </c>
      <c r="G17" t="s" s="37">
        <v>424</v>
      </c>
      <c r="H17" t="s" s="37">
        <v>657</v>
      </c>
      <c r="I17" t="s" s="37">
        <v>650</v>
      </c>
      <c r="J17" t="s" s="37">
        <v>651</v>
      </c>
      <c r="K17" t="s" s="40">
        <v>622</v>
      </c>
      <c r="L17" s="30"/>
    </row>
    <row r="18" ht="74.5" customHeight="1">
      <c r="A18" t="s" s="31">
        <v>658</v>
      </c>
      <c r="B18" t="s" s="32">
        <v>67</v>
      </c>
      <c r="C18" t="s" s="32">
        <v>66</v>
      </c>
      <c r="D18" t="s" s="32">
        <v>156</v>
      </c>
      <c r="E18" t="s" s="32">
        <v>630</v>
      </c>
      <c r="F18" t="s" s="32">
        <v>630</v>
      </c>
      <c r="G18" t="s" s="32">
        <v>387</v>
      </c>
      <c r="H18" t="s" s="32">
        <v>659</v>
      </c>
      <c r="I18" t="s" s="32">
        <v>650</v>
      </c>
      <c r="J18" t="s" s="32">
        <v>660</v>
      </c>
      <c r="K18" t="s" s="35">
        <v>630</v>
      </c>
      <c r="L18" s="30"/>
    </row>
    <row r="19" ht="74.5" customHeight="1">
      <c r="A19" t="s" s="36">
        <v>661</v>
      </c>
      <c r="B19" t="s" s="37">
        <v>67</v>
      </c>
      <c r="C19" t="s" s="37">
        <v>66</v>
      </c>
      <c r="D19" t="s" s="37">
        <v>156</v>
      </c>
      <c r="E19" t="s" s="37">
        <v>630</v>
      </c>
      <c r="F19" t="s" s="37">
        <v>630</v>
      </c>
      <c r="G19" t="s" s="37">
        <v>400</v>
      </c>
      <c r="H19" t="s" s="37">
        <v>662</v>
      </c>
      <c r="I19" t="s" s="37">
        <v>650</v>
      </c>
      <c r="J19" t="s" s="37">
        <v>660</v>
      </c>
      <c r="K19" t="s" s="40">
        <v>630</v>
      </c>
      <c r="L19" s="30"/>
    </row>
    <row r="20" ht="74.5" customHeight="1">
      <c r="A20" t="s" s="31">
        <v>663</v>
      </c>
      <c r="B20" t="s" s="32">
        <v>67</v>
      </c>
      <c r="C20" t="s" s="32">
        <v>66</v>
      </c>
      <c r="D20" t="s" s="32">
        <v>156</v>
      </c>
      <c r="E20" t="s" s="32">
        <v>630</v>
      </c>
      <c r="F20" t="s" s="32">
        <v>630</v>
      </c>
      <c r="G20" t="s" s="32">
        <v>412</v>
      </c>
      <c r="H20" t="s" s="32">
        <v>664</v>
      </c>
      <c r="I20" t="s" s="32">
        <v>650</v>
      </c>
      <c r="J20" t="s" s="32">
        <v>660</v>
      </c>
      <c r="K20" t="s" s="35">
        <v>630</v>
      </c>
      <c r="L20" s="30"/>
    </row>
    <row r="21" ht="74.5" customHeight="1">
      <c r="A21" t="s" s="36">
        <v>665</v>
      </c>
      <c r="B21" t="s" s="37">
        <v>67</v>
      </c>
      <c r="C21" t="s" s="37">
        <v>66</v>
      </c>
      <c r="D21" t="s" s="37">
        <v>156</v>
      </c>
      <c r="E21" t="s" s="37">
        <v>630</v>
      </c>
      <c r="F21" t="s" s="37">
        <v>630</v>
      </c>
      <c r="G21" t="s" s="37">
        <v>424</v>
      </c>
      <c r="H21" t="s" s="37">
        <v>666</v>
      </c>
      <c r="I21" t="s" s="37">
        <v>650</v>
      </c>
      <c r="J21" t="s" s="37">
        <v>660</v>
      </c>
      <c r="K21" t="s" s="40">
        <v>630</v>
      </c>
      <c r="L21" s="30"/>
    </row>
    <row r="22" ht="74.5" customHeight="1">
      <c r="A22" t="s" s="31">
        <v>667</v>
      </c>
      <c r="B22" t="s" s="32">
        <v>67</v>
      </c>
      <c r="C22" t="s" s="32">
        <v>66</v>
      </c>
      <c r="D22" t="s" s="32">
        <v>156</v>
      </c>
      <c r="E22" t="s" s="32">
        <v>630</v>
      </c>
      <c r="F22" t="s" s="32">
        <v>622</v>
      </c>
      <c r="G22" t="s" s="32">
        <v>387</v>
      </c>
      <c r="H22" t="s" s="32">
        <v>668</v>
      </c>
      <c r="I22" t="s" s="32">
        <v>669</v>
      </c>
      <c r="J22" t="s" s="32">
        <v>660</v>
      </c>
      <c r="K22" t="s" s="35">
        <v>630</v>
      </c>
      <c r="L22" s="30"/>
    </row>
    <row r="23" ht="74.5" customHeight="1">
      <c r="A23" t="s" s="36">
        <v>670</v>
      </c>
      <c r="B23" t="s" s="37">
        <v>67</v>
      </c>
      <c r="C23" t="s" s="37">
        <v>66</v>
      </c>
      <c r="D23" t="s" s="37">
        <v>156</v>
      </c>
      <c r="E23" t="s" s="37">
        <v>630</v>
      </c>
      <c r="F23" t="s" s="37">
        <v>622</v>
      </c>
      <c r="G23" t="s" s="37">
        <v>400</v>
      </c>
      <c r="H23" t="s" s="37">
        <v>671</v>
      </c>
      <c r="I23" t="s" s="37">
        <v>669</v>
      </c>
      <c r="J23" t="s" s="37">
        <v>660</v>
      </c>
      <c r="K23" t="s" s="40">
        <v>630</v>
      </c>
      <c r="L23" s="30"/>
    </row>
    <row r="24" ht="74.5" customHeight="1">
      <c r="A24" t="s" s="31">
        <v>672</v>
      </c>
      <c r="B24" t="s" s="32">
        <v>67</v>
      </c>
      <c r="C24" t="s" s="32">
        <v>66</v>
      </c>
      <c r="D24" t="s" s="32">
        <v>156</v>
      </c>
      <c r="E24" t="s" s="32">
        <v>630</v>
      </c>
      <c r="F24" t="s" s="32">
        <v>622</v>
      </c>
      <c r="G24" t="s" s="32">
        <v>412</v>
      </c>
      <c r="H24" t="s" s="32">
        <v>673</v>
      </c>
      <c r="I24" t="s" s="32">
        <v>669</v>
      </c>
      <c r="J24" t="s" s="32">
        <v>660</v>
      </c>
      <c r="K24" t="s" s="35">
        <v>630</v>
      </c>
      <c r="L24" s="30"/>
    </row>
    <row r="25" ht="74.5" customHeight="1">
      <c r="A25" t="s" s="36">
        <v>674</v>
      </c>
      <c r="B25" t="s" s="37">
        <v>67</v>
      </c>
      <c r="C25" t="s" s="37">
        <v>66</v>
      </c>
      <c r="D25" t="s" s="37">
        <v>156</v>
      </c>
      <c r="E25" t="s" s="37">
        <v>630</v>
      </c>
      <c r="F25" t="s" s="37">
        <v>622</v>
      </c>
      <c r="G25" t="s" s="37">
        <v>424</v>
      </c>
      <c r="H25" t="s" s="37">
        <v>675</v>
      </c>
      <c r="I25" t="s" s="37">
        <v>669</v>
      </c>
      <c r="J25" t="s" s="37">
        <v>660</v>
      </c>
      <c r="K25" t="s" s="40">
        <v>630</v>
      </c>
      <c r="L25" s="30"/>
    </row>
    <row r="26" ht="74.5" customHeight="1">
      <c r="A26" t="s" s="31">
        <v>676</v>
      </c>
      <c r="B26" t="s" s="32">
        <v>67</v>
      </c>
      <c r="C26" t="s" s="32">
        <v>66</v>
      </c>
      <c r="D26" t="s" s="32">
        <v>156</v>
      </c>
      <c r="E26" t="s" s="32">
        <v>622</v>
      </c>
      <c r="F26" t="s" s="32">
        <v>618</v>
      </c>
      <c r="G26" t="s" s="32">
        <v>387</v>
      </c>
      <c r="H26" t="s" s="32">
        <v>677</v>
      </c>
      <c r="I26" t="s" s="32">
        <v>678</v>
      </c>
      <c r="J26" t="s" s="32">
        <v>651</v>
      </c>
      <c r="K26" t="s" s="35">
        <v>622</v>
      </c>
      <c r="L26" s="30"/>
    </row>
    <row r="27" ht="74.5" customHeight="1">
      <c r="A27" t="s" s="36">
        <v>679</v>
      </c>
      <c r="B27" t="s" s="37">
        <v>67</v>
      </c>
      <c r="C27" t="s" s="37">
        <v>66</v>
      </c>
      <c r="D27" t="s" s="37">
        <v>156</v>
      </c>
      <c r="E27" t="s" s="37">
        <v>622</v>
      </c>
      <c r="F27" t="s" s="37">
        <v>618</v>
      </c>
      <c r="G27" t="s" s="37">
        <v>400</v>
      </c>
      <c r="H27" t="s" s="37">
        <v>680</v>
      </c>
      <c r="I27" t="s" s="37">
        <v>678</v>
      </c>
      <c r="J27" t="s" s="37">
        <v>651</v>
      </c>
      <c r="K27" t="s" s="40">
        <v>622</v>
      </c>
      <c r="L27" s="30"/>
    </row>
    <row r="28" ht="74.5" customHeight="1">
      <c r="A28" t="s" s="31">
        <v>681</v>
      </c>
      <c r="B28" t="s" s="32">
        <v>67</v>
      </c>
      <c r="C28" t="s" s="32">
        <v>66</v>
      </c>
      <c r="D28" t="s" s="32">
        <v>156</v>
      </c>
      <c r="E28" t="s" s="32">
        <v>622</v>
      </c>
      <c r="F28" t="s" s="32">
        <v>618</v>
      </c>
      <c r="G28" t="s" s="32">
        <v>412</v>
      </c>
      <c r="H28" t="s" s="32">
        <v>682</v>
      </c>
      <c r="I28" t="s" s="32">
        <v>678</v>
      </c>
      <c r="J28" t="s" s="32">
        <v>651</v>
      </c>
      <c r="K28" t="s" s="35">
        <v>622</v>
      </c>
      <c r="L28" s="30"/>
    </row>
    <row r="29" ht="74.5" customHeight="1">
      <c r="A29" t="s" s="36">
        <v>683</v>
      </c>
      <c r="B29" t="s" s="37">
        <v>67</v>
      </c>
      <c r="C29" t="s" s="37">
        <v>66</v>
      </c>
      <c r="D29" t="s" s="37">
        <v>156</v>
      </c>
      <c r="E29" t="s" s="37">
        <v>622</v>
      </c>
      <c r="F29" t="s" s="37">
        <v>618</v>
      </c>
      <c r="G29" t="s" s="37">
        <v>424</v>
      </c>
      <c r="H29" t="s" s="37">
        <v>684</v>
      </c>
      <c r="I29" t="s" s="37">
        <v>678</v>
      </c>
      <c r="J29" t="s" s="37">
        <v>651</v>
      </c>
      <c r="K29" t="s" s="40">
        <v>622</v>
      </c>
      <c r="L29" s="30"/>
    </row>
    <row r="30" ht="74.5" customHeight="1">
      <c r="A30" t="s" s="31">
        <v>685</v>
      </c>
      <c r="B30" t="s" s="32">
        <v>67</v>
      </c>
      <c r="C30" t="s" s="32">
        <v>66</v>
      </c>
      <c r="D30" t="s" s="32">
        <v>156</v>
      </c>
      <c r="E30" t="s" s="32">
        <v>622</v>
      </c>
      <c r="F30" t="s" s="32">
        <v>630</v>
      </c>
      <c r="G30" t="s" s="32">
        <v>387</v>
      </c>
      <c r="H30" t="s" s="32">
        <v>686</v>
      </c>
      <c r="I30" t="s" s="32">
        <v>687</v>
      </c>
      <c r="J30" t="s" s="32">
        <v>660</v>
      </c>
      <c r="K30" t="s" s="35">
        <v>630</v>
      </c>
      <c r="L30" s="30"/>
    </row>
    <row r="31" ht="74.5" customHeight="1">
      <c r="A31" t="s" s="36">
        <v>688</v>
      </c>
      <c r="B31" t="s" s="37">
        <v>67</v>
      </c>
      <c r="C31" t="s" s="37">
        <v>66</v>
      </c>
      <c r="D31" t="s" s="37">
        <v>156</v>
      </c>
      <c r="E31" t="s" s="37">
        <v>622</v>
      </c>
      <c r="F31" t="s" s="37">
        <v>630</v>
      </c>
      <c r="G31" t="s" s="37">
        <v>400</v>
      </c>
      <c r="H31" t="s" s="37">
        <v>689</v>
      </c>
      <c r="I31" t="s" s="37">
        <v>687</v>
      </c>
      <c r="J31" t="s" s="37">
        <v>660</v>
      </c>
      <c r="K31" t="s" s="40">
        <v>630</v>
      </c>
      <c r="L31" s="30"/>
    </row>
    <row r="32" ht="74.5" customHeight="1">
      <c r="A32" t="s" s="31">
        <v>690</v>
      </c>
      <c r="B32" t="s" s="32">
        <v>67</v>
      </c>
      <c r="C32" t="s" s="32">
        <v>66</v>
      </c>
      <c r="D32" t="s" s="32">
        <v>156</v>
      </c>
      <c r="E32" t="s" s="32">
        <v>622</v>
      </c>
      <c r="F32" t="s" s="32">
        <v>630</v>
      </c>
      <c r="G32" t="s" s="32">
        <v>412</v>
      </c>
      <c r="H32" t="s" s="32">
        <v>691</v>
      </c>
      <c r="I32" t="s" s="32">
        <v>687</v>
      </c>
      <c r="J32" t="s" s="32">
        <v>660</v>
      </c>
      <c r="K32" t="s" s="35">
        <v>630</v>
      </c>
      <c r="L32" s="30"/>
    </row>
    <row r="33" ht="74.5" customHeight="1">
      <c r="A33" t="s" s="36">
        <v>692</v>
      </c>
      <c r="B33" t="s" s="37">
        <v>67</v>
      </c>
      <c r="C33" t="s" s="37">
        <v>66</v>
      </c>
      <c r="D33" t="s" s="37">
        <v>156</v>
      </c>
      <c r="E33" t="s" s="37">
        <v>622</v>
      </c>
      <c r="F33" t="s" s="37">
        <v>630</v>
      </c>
      <c r="G33" t="s" s="37">
        <v>424</v>
      </c>
      <c r="H33" t="s" s="37">
        <v>693</v>
      </c>
      <c r="I33" t="s" s="37">
        <v>687</v>
      </c>
      <c r="J33" t="s" s="37">
        <v>660</v>
      </c>
      <c r="K33" t="s" s="40">
        <v>630</v>
      </c>
      <c r="L33" s="30"/>
    </row>
    <row r="34" ht="74.5" customHeight="1">
      <c r="A34" t="s" s="31">
        <v>694</v>
      </c>
      <c r="B34" t="s" s="32">
        <v>67</v>
      </c>
      <c r="C34" t="s" s="32">
        <v>66</v>
      </c>
      <c r="D34" t="s" s="32">
        <v>156</v>
      </c>
      <c r="E34" t="s" s="32">
        <v>622</v>
      </c>
      <c r="F34" t="s" s="32">
        <v>622</v>
      </c>
      <c r="G34" t="s" s="32">
        <v>387</v>
      </c>
      <c r="H34" t="s" s="32">
        <v>695</v>
      </c>
      <c r="I34" t="s" s="32">
        <v>687</v>
      </c>
      <c r="J34" t="s" s="32">
        <v>660</v>
      </c>
      <c r="K34" t="s" s="35">
        <v>641</v>
      </c>
      <c r="L34" s="30"/>
    </row>
    <row r="35" ht="74.5" customHeight="1">
      <c r="A35" t="s" s="36">
        <v>696</v>
      </c>
      <c r="B35" t="s" s="37">
        <v>67</v>
      </c>
      <c r="C35" t="s" s="37">
        <v>66</v>
      </c>
      <c r="D35" t="s" s="37">
        <v>156</v>
      </c>
      <c r="E35" t="s" s="37">
        <v>622</v>
      </c>
      <c r="F35" t="s" s="37">
        <v>622</v>
      </c>
      <c r="G35" t="s" s="37">
        <v>400</v>
      </c>
      <c r="H35" t="s" s="37">
        <v>697</v>
      </c>
      <c r="I35" t="s" s="37">
        <v>687</v>
      </c>
      <c r="J35" t="s" s="37">
        <v>660</v>
      </c>
      <c r="K35" t="s" s="40">
        <v>641</v>
      </c>
      <c r="L35" s="30"/>
    </row>
    <row r="36" ht="74.5" customHeight="1">
      <c r="A36" t="s" s="31">
        <v>698</v>
      </c>
      <c r="B36" t="s" s="32">
        <v>67</v>
      </c>
      <c r="C36" t="s" s="32">
        <v>66</v>
      </c>
      <c r="D36" t="s" s="32">
        <v>156</v>
      </c>
      <c r="E36" t="s" s="32">
        <v>622</v>
      </c>
      <c r="F36" t="s" s="32">
        <v>622</v>
      </c>
      <c r="G36" t="s" s="32">
        <v>412</v>
      </c>
      <c r="H36" t="s" s="32">
        <v>699</v>
      </c>
      <c r="I36" t="s" s="32">
        <v>687</v>
      </c>
      <c r="J36" t="s" s="32">
        <v>660</v>
      </c>
      <c r="K36" t="s" s="35">
        <v>641</v>
      </c>
      <c r="L36" s="30"/>
    </row>
    <row r="37" ht="74.5" customHeight="1">
      <c r="A37" t="s" s="36">
        <v>700</v>
      </c>
      <c r="B37" t="s" s="37">
        <v>67</v>
      </c>
      <c r="C37" t="s" s="37">
        <v>66</v>
      </c>
      <c r="D37" t="s" s="37">
        <v>156</v>
      </c>
      <c r="E37" t="s" s="37">
        <v>622</v>
      </c>
      <c r="F37" t="s" s="37">
        <v>622</v>
      </c>
      <c r="G37" t="s" s="37">
        <v>424</v>
      </c>
      <c r="H37" t="s" s="37">
        <v>701</v>
      </c>
      <c r="I37" t="s" s="37">
        <v>687</v>
      </c>
      <c r="J37" t="s" s="37">
        <v>660</v>
      </c>
      <c r="K37" t="s" s="40">
        <v>641</v>
      </c>
      <c r="L37" s="30"/>
    </row>
    <row r="38" ht="74.5" customHeight="1">
      <c r="A38" t="s" s="31">
        <v>702</v>
      </c>
      <c r="B38" t="s" s="32">
        <v>67</v>
      </c>
      <c r="C38" t="s" s="32">
        <v>66</v>
      </c>
      <c r="D38" t="s" s="32">
        <v>169</v>
      </c>
      <c r="E38" t="s" s="32">
        <v>618</v>
      </c>
      <c r="F38" t="s" s="32">
        <v>618</v>
      </c>
      <c r="G38" t="s" s="32">
        <v>387</v>
      </c>
      <c r="H38" t="s" s="32">
        <v>703</v>
      </c>
      <c r="I38" t="s" s="32">
        <v>620</v>
      </c>
      <c r="J38" t="s" s="32">
        <v>621</v>
      </c>
      <c r="K38" t="s" s="35">
        <v>622</v>
      </c>
      <c r="L38" s="30"/>
    </row>
    <row r="39" ht="74.5" customHeight="1">
      <c r="A39" t="s" s="36">
        <v>704</v>
      </c>
      <c r="B39" t="s" s="37">
        <v>67</v>
      </c>
      <c r="C39" t="s" s="37">
        <v>66</v>
      </c>
      <c r="D39" t="s" s="37">
        <v>169</v>
      </c>
      <c r="E39" t="s" s="37">
        <v>618</v>
      </c>
      <c r="F39" t="s" s="37">
        <v>618</v>
      </c>
      <c r="G39" t="s" s="37">
        <v>400</v>
      </c>
      <c r="H39" t="s" s="37">
        <v>705</v>
      </c>
      <c r="I39" t="s" s="37">
        <v>620</v>
      </c>
      <c r="J39" t="s" s="37">
        <v>621</v>
      </c>
      <c r="K39" t="s" s="40">
        <v>622</v>
      </c>
      <c r="L39" s="30"/>
    </row>
    <row r="40" ht="74.5" customHeight="1">
      <c r="A40" t="s" s="31">
        <v>706</v>
      </c>
      <c r="B40" t="s" s="32">
        <v>67</v>
      </c>
      <c r="C40" t="s" s="32">
        <v>66</v>
      </c>
      <c r="D40" t="s" s="32">
        <v>169</v>
      </c>
      <c r="E40" t="s" s="32">
        <v>618</v>
      </c>
      <c r="F40" t="s" s="32">
        <v>618</v>
      </c>
      <c r="G40" t="s" s="32">
        <v>412</v>
      </c>
      <c r="H40" t="s" s="32">
        <v>707</v>
      </c>
      <c r="I40" t="s" s="32">
        <v>620</v>
      </c>
      <c r="J40" t="s" s="32">
        <v>621</v>
      </c>
      <c r="K40" t="s" s="35">
        <v>622</v>
      </c>
      <c r="L40" s="30"/>
    </row>
    <row r="41" ht="74.5" customHeight="1">
      <c r="A41" t="s" s="36">
        <v>708</v>
      </c>
      <c r="B41" t="s" s="37">
        <v>67</v>
      </c>
      <c r="C41" t="s" s="37">
        <v>66</v>
      </c>
      <c r="D41" t="s" s="37">
        <v>169</v>
      </c>
      <c r="E41" t="s" s="37">
        <v>618</v>
      </c>
      <c r="F41" t="s" s="37">
        <v>618</v>
      </c>
      <c r="G41" t="s" s="37">
        <v>424</v>
      </c>
      <c r="H41" t="s" s="37">
        <v>709</v>
      </c>
      <c r="I41" t="s" s="37">
        <v>620</v>
      </c>
      <c r="J41" t="s" s="37">
        <v>621</v>
      </c>
      <c r="K41" t="s" s="40">
        <v>622</v>
      </c>
      <c r="L41" s="30"/>
    </row>
    <row r="42" ht="74.5" customHeight="1">
      <c r="A42" t="s" s="31">
        <v>710</v>
      </c>
      <c r="B42" t="s" s="32">
        <v>67</v>
      </c>
      <c r="C42" t="s" s="32">
        <v>66</v>
      </c>
      <c r="D42" t="s" s="32">
        <v>169</v>
      </c>
      <c r="E42" t="s" s="32">
        <v>618</v>
      </c>
      <c r="F42" t="s" s="32">
        <v>630</v>
      </c>
      <c r="G42" t="s" s="32">
        <v>387</v>
      </c>
      <c r="H42" t="s" s="32">
        <v>711</v>
      </c>
      <c r="I42" t="s" s="32">
        <v>620</v>
      </c>
      <c r="J42" t="s" s="32">
        <v>632</v>
      </c>
      <c r="K42" t="s" s="35">
        <v>622</v>
      </c>
      <c r="L42" s="30"/>
    </row>
    <row r="43" ht="74.5" customHeight="1">
      <c r="A43" t="s" s="36">
        <v>712</v>
      </c>
      <c r="B43" t="s" s="37">
        <v>67</v>
      </c>
      <c r="C43" t="s" s="37">
        <v>66</v>
      </c>
      <c r="D43" t="s" s="37">
        <v>169</v>
      </c>
      <c r="E43" t="s" s="37">
        <v>618</v>
      </c>
      <c r="F43" t="s" s="37">
        <v>630</v>
      </c>
      <c r="G43" t="s" s="37">
        <v>400</v>
      </c>
      <c r="H43" t="s" s="37">
        <v>713</v>
      </c>
      <c r="I43" t="s" s="37">
        <v>620</v>
      </c>
      <c r="J43" t="s" s="37">
        <v>632</v>
      </c>
      <c r="K43" t="s" s="40">
        <v>622</v>
      </c>
      <c r="L43" s="30"/>
    </row>
    <row r="44" ht="74.5" customHeight="1">
      <c r="A44" t="s" s="31">
        <v>714</v>
      </c>
      <c r="B44" t="s" s="32">
        <v>67</v>
      </c>
      <c r="C44" t="s" s="32">
        <v>66</v>
      </c>
      <c r="D44" t="s" s="32">
        <v>169</v>
      </c>
      <c r="E44" t="s" s="32">
        <v>618</v>
      </c>
      <c r="F44" t="s" s="32">
        <v>630</v>
      </c>
      <c r="G44" t="s" s="32">
        <v>412</v>
      </c>
      <c r="H44" t="s" s="32">
        <v>715</v>
      </c>
      <c r="I44" t="s" s="32">
        <v>620</v>
      </c>
      <c r="J44" t="s" s="32">
        <v>632</v>
      </c>
      <c r="K44" t="s" s="35">
        <v>622</v>
      </c>
      <c r="L44" s="30"/>
    </row>
    <row r="45" ht="74.5" customHeight="1">
      <c r="A45" t="s" s="36">
        <v>716</v>
      </c>
      <c r="B45" t="s" s="37">
        <v>67</v>
      </c>
      <c r="C45" t="s" s="37">
        <v>66</v>
      </c>
      <c r="D45" t="s" s="37">
        <v>169</v>
      </c>
      <c r="E45" t="s" s="37">
        <v>618</v>
      </c>
      <c r="F45" t="s" s="37">
        <v>630</v>
      </c>
      <c r="G45" t="s" s="37">
        <v>424</v>
      </c>
      <c r="H45" t="s" s="37">
        <v>717</v>
      </c>
      <c r="I45" t="s" s="37">
        <v>620</v>
      </c>
      <c r="J45" t="s" s="37">
        <v>632</v>
      </c>
      <c r="K45" t="s" s="40">
        <v>622</v>
      </c>
      <c r="L45" s="30"/>
    </row>
    <row r="46" ht="74.5" customHeight="1">
      <c r="A46" t="s" s="31">
        <v>718</v>
      </c>
      <c r="B46" t="s" s="32">
        <v>67</v>
      </c>
      <c r="C46" t="s" s="32">
        <v>66</v>
      </c>
      <c r="D46" t="s" s="32">
        <v>169</v>
      </c>
      <c r="E46" t="s" s="32">
        <v>618</v>
      </c>
      <c r="F46" t="s" s="32">
        <v>622</v>
      </c>
      <c r="G46" t="s" s="32">
        <v>387</v>
      </c>
      <c r="H46" t="s" s="32">
        <v>719</v>
      </c>
      <c r="I46" t="s" s="32">
        <v>620</v>
      </c>
      <c r="J46" t="s" s="32">
        <v>632</v>
      </c>
      <c r="K46" t="s" s="35">
        <v>641</v>
      </c>
      <c r="L46" s="30"/>
    </row>
    <row r="47" ht="74.5" customHeight="1">
      <c r="A47" t="s" s="36">
        <v>720</v>
      </c>
      <c r="B47" t="s" s="37">
        <v>67</v>
      </c>
      <c r="C47" t="s" s="37">
        <v>66</v>
      </c>
      <c r="D47" t="s" s="37">
        <v>169</v>
      </c>
      <c r="E47" t="s" s="37">
        <v>618</v>
      </c>
      <c r="F47" t="s" s="37">
        <v>622</v>
      </c>
      <c r="G47" t="s" s="37">
        <v>400</v>
      </c>
      <c r="H47" t="s" s="37">
        <v>721</v>
      </c>
      <c r="I47" t="s" s="37">
        <v>620</v>
      </c>
      <c r="J47" t="s" s="37">
        <v>632</v>
      </c>
      <c r="K47" t="s" s="40">
        <v>641</v>
      </c>
      <c r="L47" s="30"/>
    </row>
    <row r="48" ht="74.5" customHeight="1">
      <c r="A48" t="s" s="31">
        <v>722</v>
      </c>
      <c r="B48" t="s" s="32">
        <v>67</v>
      </c>
      <c r="C48" t="s" s="32">
        <v>66</v>
      </c>
      <c r="D48" t="s" s="32">
        <v>169</v>
      </c>
      <c r="E48" t="s" s="32">
        <v>618</v>
      </c>
      <c r="F48" t="s" s="32">
        <v>622</v>
      </c>
      <c r="G48" t="s" s="32">
        <v>412</v>
      </c>
      <c r="H48" t="s" s="32">
        <v>723</v>
      </c>
      <c r="I48" t="s" s="32">
        <v>620</v>
      </c>
      <c r="J48" t="s" s="32">
        <v>632</v>
      </c>
      <c r="K48" t="s" s="35">
        <v>641</v>
      </c>
      <c r="L48" s="30"/>
    </row>
    <row r="49" ht="74.5" customHeight="1">
      <c r="A49" t="s" s="36">
        <v>724</v>
      </c>
      <c r="B49" t="s" s="37">
        <v>67</v>
      </c>
      <c r="C49" t="s" s="37">
        <v>66</v>
      </c>
      <c r="D49" t="s" s="37">
        <v>169</v>
      </c>
      <c r="E49" t="s" s="37">
        <v>618</v>
      </c>
      <c r="F49" t="s" s="37">
        <v>622</v>
      </c>
      <c r="G49" t="s" s="37">
        <v>424</v>
      </c>
      <c r="H49" t="s" s="37">
        <v>725</v>
      </c>
      <c r="I49" t="s" s="37">
        <v>620</v>
      </c>
      <c r="J49" t="s" s="37">
        <v>632</v>
      </c>
      <c r="K49" t="s" s="40">
        <v>641</v>
      </c>
      <c r="L49" s="30"/>
    </row>
    <row r="50" ht="74.5" customHeight="1">
      <c r="A50" t="s" s="31">
        <v>726</v>
      </c>
      <c r="B50" t="s" s="32">
        <v>67</v>
      </c>
      <c r="C50" t="s" s="32">
        <v>66</v>
      </c>
      <c r="D50" t="s" s="32">
        <v>169</v>
      </c>
      <c r="E50" t="s" s="32">
        <v>630</v>
      </c>
      <c r="F50" t="s" s="32">
        <v>618</v>
      </c>
      <c r="G50" t="s" s="32">
        <v>387</v>
      </c>
      <c r="H50" t="s" s="32">
        <v>727</v>
      </c>
      <c r="I50" t="s" s="32">
        <v>650</v>
      </c>
      <c r="J50" t="s" s="32">
        <v>651</v>
      </c>
      <c r="K50" t="s" s="35">
        <v>622</v>
      </c>
      <c r="L50" s="30"/>
    </row>
    <row r="51" ht="74.5" customHeight="1">
      <c r="A51" t="s" s="36">
        <v>728</v>
      </c>
      <c r="B51" t="s" s="37">
        <v>67</v>
      </c>
      <c r="C51" t="s" s="37">
        <v>66</v>
      </c>
      <c r="D51" t="s" s="37">
        <v>169</v>
      </c>
      <c r="E51" t="s" s="37">
        <v>630</v>
      </c>
      <c r="F51" t="s" s="37">
        <v>618</v>
      </c>
      <c r="G51" t="s" s="37">
        <v>400</v>
      </c>
      <c r="H51" t="s" s="37">
        <v>729</v>
      </c>
      <c r="I51" t="s" s="37">
        <v>650</v>
      </c>
      <c r="J51" t="s" s="37">
        <v>651</v>
      </c>
      <c r="K51" t="s" s="40">
        <v>622</v>
      </c>
      <c r="L51" s="30"/>
    </row>
    <row r="52" ht="74.5" customHeight="1">
      <c r="A52" t="s" s="31">
        <v>730</v>
      </c>
      <c r="B52" t="s" s="32">
        <v>67</v>
      </c>
      <c r="C52" t="s" s="32">
        <v>66</v>
      </c>
      <c r="D52" t="s" s="32">
        <v>169</v>
      </c>
      <c r="E52" t="s" s="32">
        <v>630</v>
      </c>
      <c r="F52" t="s" s="32">
        <v>618</v>
      </c>
      <c r="G52" t="s" s="32">
        <v>412</v>
      </c>
      <c r="H52" t="s" s="32">
        <v>731</v>
      </c>
      <c r="I52" t="s" s="32">
        <v>650</v>
      </c>
      <c r="J52" t="s" s="32">
        <v>651</v>
      </c>
      <c r="K52" t="s" s="35">
        <v>622</v>
      </c>
      <c r="L52" s="30"/>
    </row>
    <row r="53" ht="74.5" customHeight="1">
      <c r="A53" t="s" s="36">
        <v>732</v>
      </c>
      <c r="B53" t="s" s="37">
        <v>67</v>
      </c>
      <c r="C53" t="s" s="37">
        <v>66</v>
      </c>
      <c r="D53" t="s" s="37">
        <v>169</v>
      </c>
      <c r="E53" t="s" s="37">
        <v>630</v>
      </c>
      <c r="F53" t="s" s="37">
        <v>618</v>
      </c>
      <c r="G53" t="s" s="37">
        <v>424</v>
      </c>
      <c r="H53" t="s" s="37">
        <v>733</v>
      </c>
      <c r="I53" t="s" s="37">
        <v>650</v>
      </c>
      <c r="J53" t="s" s="37">
        <v>651</v>
      </c>
      <c r="K53" t="s" s="40">
        <v>622</v>
      </c>
      <c r="L53" s="30"/>
    </row>
    <row r="54" ht="74.5" customHeight="1">
      <c r="A54" t="s" s="31">
        <v>734</v>
      </c>
      <c r="B54" t="s" s="32">
        <v>67</v>
      </c>
      <c r="C54" t="s" s="32">
        <v>66</v>
      </c>
      <c r="D54" t="s" s="32">
        <v>169</v>
      </c>
      <c r="E54" t="s" s="32">
        <v>630</v>
      </c>
      <c r="F54" t="s" s="32">
        <v>630</v>
      </c>
      <c r="G54" t="s" s="32">
        <v>387</v>
      </c>
      <c r="H54" t="s" s="32">
        <v>735</v>
      </c>
      <c r="I54" t="s" s="32">
        <v>650</v>
      </c>
      <c r="J54" t="s" s="32">
        <v>660</v>
      </c>
      <c r="K54" t="s" s="35">
        <v>630</v>
      </c>
      <c r="L54" s="30"/>
    </row>
    <row r="55" ht="74.5" customHeight="1">
      <c r="A55" t="s" s="36">
        <v>736</v>
      </c>
      <c r="B55" t="s" s="37">
        <v>67</v>
      </c>
      <c r="C55" t="s" s="37">
        <v>66</v>
      </c>
      <c r="D55" t="s" s="37">
        <v>169</v>
      </c>
      <c r="E55" t="s" s="37">
        <v>630</v>
      </c>
      <c r="F55" t="s" s="37">
        <v>630</v>
      </c>
      <c r="G55" t="s" s="37">
        <v>400</v>
      </c>
      <c r="H55" t="s" s="37">
        <v>737</v>
      </c>
      <c r="I55" t="s" s="37">
        <v>650</v>
      </c>
      <c r="J55" t="s" s="37">
        <v>660</v>
      </c>
      <c r="K55" t="s" s="40">
        <v>630</v>
      </c>
      <c r="L55" s="30"/>
    </row>
    <row r="56" ht="74.5" customHeight="1">
      <c r="A56" t="s" s="31">
        <v>738</v>
      </c>
      <c r="B56" t="s" s="32">
        <v>67</v>
      </c>
      <c r="C56" t="s" s="32">
        <v>66</v>
      </c>
      <c r="D56" t="s" s="32">
        <v>169</v>
      </c>
      <c r="E56" t="s" s="32">
        <v>630</v>
      </c>
      <c r="F56" t="s" s="32">
        <v>630</v>
      </c>
      <c r="G56" t="s" s="32">
        <v>412</v>
      </c>
      <c r="H56" t="s" s="32">
        <v>739</v>
      </c>
      <c r="I56" t="s" s="32">
        <v>650</v>
      </c>
      <c r="J56" t="s" s="32">
        <v>660</v>
      </c>
      <c r="K56" t="s" s="35">
        <v>630</v>
      </c>
      <c r="L56" s="30"/>
    </row>
    <row r="57" ht="74.5" customHeight="1">
      <c r="A57" t="s" s="36">
        <v>740</v>
      </c>
      <c r="B57" t="s" s="37">
        <v>67</v>
      </c>
      <c r="C57" t="s" s="37">
        <v>66</v>
      </c>
      <c r="D57" t="s" s="37">
        <v>169</v>
      </c>
      <c r="E57" t="s" s="37">
        <v>630</v>
      </c>
      <c r="F57" t="s" s="37">
        <v>630</v>
      </c>
      <c r="G57" t="s" s="37">
        <v>424</v>
      </c>
      <c r="H57" t="s" s="37">
        <v>741</v>
      </c>
      <c r="I57" t="s" s="37">
        <v>650</v>
      </c>
      <c r="J57" t="s" s="37">
        <v>660</v>
      </c>
      <c r="K57" t="s" s="40">
        <v>630</v>
      </c>
      <c r="L57" s="30"/>
    </row>
    <row r="58" ht="74.5" customHeight="1">
      <c r="A58" t="s" s="31">
        <v>742</v>
      </c>
      <c r="B58" t="s" s="32">
        <v>67</v>
      </c>
      <c r="C58" t="s" s="32">
        <v>66</v>
      </c>
      <c r="D58" t="s" s="32">
        <v>169</v>
      </c>
      <c r="E58" t="s" s="32">
        <v>630</v>
      </c>
      <c r="F58" t="s" s="32">
        <v>622</v>
      </c>
      <c r="G58" t="s" s="32">
        <v>387</v>
      </c>
      <c r="H58" t="s" s="32">
        <v>743</v>
      </c>
      <c r="I58" t="s" s="32">
        <v>669</v>
      </c>
      <c r="J58" t="s" s="32">
        <v>660</v>
      </c>
      <c r="K58" t="s" s="35">
        <v>630</v>
      </c>
      <c r="L58" s="30"/>
    </row>
    <row r="59" ht="74.5" customHeight="1">
      <c r="A59" t="s" s="36">
        <v>744</v>
      </c>
      <c r="B59" t="s" s="37">
        <v>67</v>
      </c>
      <c r="C59" t="s" s="37">
        <v>66</v>
      </c>
      <c r="D59" t="s" s="37">
        <v>169</v>
      </c>
      <c r="E59" t="s" s="37">
        <v>630</v>
      </c>
      <c r="F59" t="s" s="37">
        <v>622</v>
      </c>
      <c r="G59" t="s" s="37">
        <v>400</v>
      </c>
      <c r="H59" t="s" s="37">
        <v>745</v>
      </c>
      <c r="I59" t="s" s="37">
        <v>669</v>
      </c>
      <c r="J59" t="s" s="37">
        <v>660</v>
      </c>
      <c r="K59" t="s" s="40">
        <v>630</v>
      </c>
      <c r="L59" s="30"/>
    </row>
    <row r="60" ht="74.5" customHeight="1">
      <c r="A60" t="s" s="31">
        <v>746</v>
      </c>
      <c r="B60" t="s" s="32">
        <v>67</v>
      </c>
      <c r="C60" t="s" s="32">
        <v>66</v>
      </c>
      <c r="D60" t="s" s="32">
        <v>169</v>
      </c>
      <c r="E60" t="s" s="32">
        <v>630</v>
      </c>
      <c r="F60" t="s" s="32">
        <v>622</v>
      </c>
      <c r="G60" t="s" s="32">
        <v>412</v>
      </c>
      <c r="H60" t="s" s="32">
        <v>747</v>
      </c>
      <c r="I60" t="s" s="32">
        <v>669</v>
      </c>
      <c r="J60" t="s" s="32">
        <v>660</v>
      </c>
      <c r="K60" t="s" s="35">
        <v>630</v>
      </c>
      <c r="L60" s="30"/>
    </row>
    <row r="61" ht="74.5" customHeight="1">
      <c r="A61" t="s" s="36">
        <v>748</v>
      </c>
      <c r="B61" t="s" s="37">
        <v>67</v>
      </c>
      <c r="C61" t="s" s="37">
        <v>66</v>
      </c>
      <c r="D61" t="s" s="37">
        <v>169</v>
      </c>
      <c r="E61" t="s" s="37">
        <v>630</v>
      </c>
      <c r="F61" t="s" s="37">
        <v>622</v>
      </c>
      <c r="G61" t="s" s="37">
        <v>424</v>
      </c>
      <c r="H61" t="s" s="37">
        <v>749</v>
      </c>
      <c r="I61" t="s" s="37">
        <v>669</v>
      </c>
      <c r="J61" t="s" s="37">
        <v>660</v>
      </c>
      <c r="K61" t="s" s="40">
        <v>630</v>
      </c>
      <c r="L61" s="30"/>
    </row>
    <row r="62" ht="74.5" customHeight="1">
      <c r="A62" t="s" s="31">
        <v>750</v>
      </c>
      <c r="B62" t="s" s="32">
        <v>67</v>
      </c>
      <c r="C62" t="s" s="32">
        <v>66</v>
      </c>
      <c r="D62" t="s" s="32">
        <v>169</v>
      </c>
      <c r="E62" t="s" s="32">
        <v>622</v>
      </c>
      <c r="F62" t="s" s="32">
        <v>618</v>
      </c>
      <c r="G62" t="s" s="32">
        <v>387</v>
      </c>
      <c r="H62" t="s" s="32">
        <v>751</v>
      </c>
      <c r="I62" t="s" s="32">
        <v>678</v>
      </c>
      <c r="J62" t="s" s="32">
        <v>651</v>
      </c>
      <c r="K62" t="s" s="35">
        <v>622</v>
      </c>
      <c r="L62" s="30"/>
    </row>
    <row r="63" ht="74.5" customHeight="1">
      <c r="A63" t="s" s="36">
        <v>752</v>
      </c>
      <c r="B63" t="s" s="37">
        <v>67</v>
      </c>
      <c r="C63" t="s" s="37">
        <v>66</v>
      </c>
      <c r="D63" t="s" s="37">
        <v>169</v>
      </c>
      <c r="E63" t="s" s="37">
        <v>622</v>
      </c>
      <c r="F63" t="s" s="37">
        <v>618</v>
      </c>
      <c r="G63" t="s" s="37">
        <v>400</v>
      </c>
      <c r="H63" t="s" s="37">
        <v>753</v>
      </c>
      <c r="I63" t="s" s="37">
        <v>678</v>
      </c>
      <c r="J63" t="s" s="37">
        <v>651</v>
      </c>
      <c r="K63" t="s" s="40">
        <v>622</v>
      </c>
      <c r="L63" s="30"/>
    </row>
    <row r="64" ht="74.5" customHeight="1">
      <c r="A64" t="s" s="31">
        <v>754</v>
      </c>
      <c r="B64" t="s" s="32">
        <v>67</v>
      </c>
      <c r="C64" t="s" s="32">
        <v>66</v>
      </c>
      <c r="D64" t="s" s="32">
        <v>169</v>
      </c>
      <c r="E64" t="s" s="32">
        <v>622</v>
      </c>
      <c r="F64" t="s" s="32">
        <v>618</v>
      </c>
      <c r="G64" t="s" s="32">
        <v>412</v>
      </c>
      <c r="H64" t="s" s="32">
        <v>755</v>
      </c>
      <c r="I64" t="s" s="32">
        <v>678</v>
      </c>
      <c r="J64" t="s" s="32">
        <v>651</v>
      </c>
      <c r="K64" t="s" s="35">
        <v>622</v>
      </c>
      <c r="L64" s="30"/>
    </row>
    <row r="65" ht="74.5" customHeight="1">
      <c r="A65" t="s" s="36">
        <v>756</v>
      </c>
      <c r="B65" t="s" s="37">
        <v>67</v>
      </c>
      <c r="C65" t="s" s="37">
        <v>66</v>
      </c>
      <c r="D65" t="s" s="37">
        <v>169</v>
      </c>
      <c r="E65" t="s" s="37">
        <v>622</v>
      </c>
      <c r="F65" t="s" s="37">
        <v>618</v>
      </c>
      <c r="G65" t="s" s="37">
        <v>424</v>
      </c>
      <c r="H65" t="s" s="37">
        <v>757</v>
      </c>
      <c r="I65" t="s" s="37">
        <v>678</v>
      </c>
      <c r="J65" t="s" s="37">
        <v>651</v>
      </c>
      <c r="K65" t="s" s="40">
        <v>622</v>
      </c>
      <c r="L65" s="30"/>
    </row>
    <row r="66" ht="74.5" customHeight="1">
      <c r="A66" t="s" s="31">
        <v>758</v>
      </c>
      <c r="B66" t="s" s="32">
        <v>67</v>
      </c>
      <c r="C66" t="s" s="32">
        <v>66</v>
      </c>
      <c r="D66" t="s" s="32">
        <v>169</v>
      </c>
      <c r="E66" t="s" s="32">
        <v>622</v>
      </c>
      <c r="F66" t="s" s="32">
        <v>630</v>
      </c>
      <c r="G66" t="s" s="32">
        <v>387</v>
      </c>
      <c r="H66" t="s" s="32">
        <v>759</v>
      </c>
      <c r="I66" t="s" s="32">
        <v>687</v>
      </c>
      <c r="J66" t="s" s="32">
        <v>660</v>
      </c>
      <c r="K66" t="s" s="35">
        <v>630</v>
      </c>
      <c r="L66" s="30"/>
    </row>
    <row r="67" ht="74.5" customHeight="1">
      <c r="A67" t="s" s="36">
        <v>760</v>
      </c>
      <c r="B67" t="s" s="37">
        <v>67</v>
      </c>
      <c r="C67" t="s" s="37">
        <v>66</v>
      </c>
      <c r="D67" t="s" s="37">
        <v>169</v>
      </c>
      <c r="E67" t="s" s="37">
        <v>622</v>
      </c>
      <c r="F67" t="s" s="37">
        <v>630</v>
      </c>
      <c r="G67" t="s" s="37">
        <v>400</v>
      </c>
      <c r="H67" t="s" s="37">
        <v>761</v>
      </c>
      <c r="I67" t="s" s="37">
        <v>687</v>
      </c>
      <c r="J67" t="s" s="37">
        <v>660</v>
      </c>
      <c r="K67" t="s" s="40">
        <v>630</v>
      </c>
      <c r="L67" s="30"/>
    </row>
    <row r="68" ht="74.5" customHeight="1">
      <c r="A68" t="s" s="31">
        <v>762</v>
      </c>
      <c r="B68" t="s" s="32">
        <v>67</v>
      </c>
      <c r="C68" t="s" s="32">
        <v>66</v>
      </c>
      <c r="D68" t="s" s="32">
        <v>169</v>
      </c>
      <c r="E68" t="s" s="32">
        <v>622</v>
      </c>
      <c r="F68" t="s" s="32">
        <v>630</v>
      </c>
      <c r="G68" t="s" s="32">
        <v>412</v>
      </c>
      <c r="H68" t="s" s="32">
        <v>763</v>
      </c>
      <c r="I68" t="s" s="32">
        <v>687</v>
      </c>
      <c r="J68" t="s" s="32">
        <v>660</v>
      </c>
      <c r="K68" t="s" s="35">
        <v>630</v>
      </c>
      <c r="L68" s="30"/>
    </row>
    <row r="69" ht="74.5" customHeight="1">
      <c r="A69" t="s" s="36">
        <v>764</v>
      </c>
      <c r="B69" t="s" s="37">
        <v>67</v>
      </c>
      <c r="C69" t="s" s="37">
        <v>66</v>
      </c>
      <c r="D69" t="s" s="37">
        <v>169</v>
      </c>
      <c r="E69" t="s" s="37">
        <v>622</v>
      </c>
      <c r="F69" t="s" s="37">
        <v>630</v>
      </c>
      <c r="G69" t="s" s="37">
        <v>424</v>
      </c>
      <c r="H69" t="s" s="37">
        <v>765</v>
      </c>
      <c r="I69" t="s" s="37">
        <v>687</v>
      </c>
      <c r="J69" t="s" s="37">
        <v>660</v>
      </c>
      <c r="K69" t="s" s="40">
        <v>630</v>
      </c>
      <c r="L69" s="30"/>
    </row>
    <row r="70" ht="74.5" customHeight="1">
      <c r="A70" t="s" s="31">
        <v>766</v>
      </c>
      <c r="B70" t="s" s="32">
        <v>67</v>
      </c>
      <c r="C70" t="s" s="32">
        <v>66</v>
      </c>
      <c r="D70" t="s" s="32">
        <v>169</v>
      </c>
      <c r="E70" t="s" s="32">
        <v>622</v>
      </c>
      <c r="F70" t="s" s="32">
        <v>622</v>
      </c>
      <c r="G70" t="s" s="32">
        <v>387</v>
      </c>
      <c r="H70" t="s" s="32">
        <v>767</v>
      </c>
      <c r="I70" t="s" s="32">
        <v>687</v>
      </c>
      <c r="J70" t="s" s="32">
        <v>660</v>
      </c>
      <c r="K70" t="s" s="35">
        <v>641</v>
      </c>
      <c r="L70" s="30"/>
    </row>
    <row r="71" ht="74.5" customHeight="1">
      <c r="A71" t="s" s="36">
        <v>768</v>
      </c>
      <c r="B71" t="s" s="37">
        <v>67</v>
      </c>
      <c r="C71" t="s" s="37">
        <v>66</v>
      </c>
      <c r="D71" t="s" s="37">
        <v>169</v>
      </c>
      <c r="E71" t="s" s="37">
        <v>622</v>
      </c>
      <c r="F71" t="s" s="37">
        <v>622</v>
      </c>
      <c r="G71" t="s" s="37">
        <v>400</v>
      </c>
      <c r="H71" t="s" s="37">
        <v>769</v>
      </c>
      <c r="I71" t="s" s="37">
        <v>687</v>
      </c>
      <c r="J71" t="s" s="37">
        <v>660</v>
      </c>
      <c r="K71" t="s" s="40">
        <v>641</v>
      </c>
      <c r="L71" s="30"/>
    </row>
    <row r="72" ht="74.5" customHeight="1">
      <c r="A72" t="s" s="31">
        <v>770</v>
      </c>
      <c r="B72" t="s" s="32">
        <v>67</v>
      </c>
      <c r="C72" t="s" s="32">
        <v>66</v>
      </c>
      <c r="D72" t="s" s="32">
        <v>169</v>
      </c>
      <c r="E72" t="s" s="32">
        <v>622</v>
      </c>
      <c r="F72" t="s" s="32">
        <v>622</v>
      </c>
      <c r="G72" t="s" s="32">
        <v>412</v>
      </c>
      <c r="H72" t="s" s="32">
        <v>771</v>
      </c>
      <c r="I72" t="s" s="32">
        <v>687</v>
      </c>
      <c r="J72" t="s" s="32">
        <v>660</v>
      </c>
      <c r="K72" t="s" s="35">
        <v>641</v>
      </c>
      <c r="L72" s="30"/>
    </row>
    <row r="73" ht="74.5" customHeight="1">
      <c r="A73" t="s" s="36">
        <v>772</v>
      </c>
      <c r="B73" t="s" s="37">
        <v>67</v>
      </c>
      <c r="C73" t="s" s="37">
        <v>66</v>
      </c>
      <c r="D73" t="s" s="37">
        <v>169</v>
      </c>
      <c r="E73" t="s" s="37">
        <v>622</v>
      </c>
      <c r="F73" t="s" s="37">
        <v>622</v>
      </c>
      <c r="G73" t="s" s="37">
        <v>424</v>
      </c>
      <c r="H73" t="s" s="37">
        <v>773</v>
      </c>
      <c r="I73" t="s" s="37">
        <v>687</v>
      </c>
      <c r="J73" t="s" s="37">
        <v>660</v>
      </c>
      <c r="K73" t="s" s="40">
        <v>641</v>
      </c>
      <c r="L73" s="30"/>
    </row>
    <row r="74" ht="74.5" customHeight="1">
      <c r="A74" t="s" s="31">
        <v>774</v>
      </c>
      <c r="B74" t="s" s="32">
        <v>67</v>
      </c>
      <c r="C74" t="s" s="32">
        <v>66</v>
      </c>
      <c r="D74" t="s" s="32">
        <v>181</v>
      </c>
      <c r="E74" t="s" s="32">
        <v>618</v>
      </c>
      <c r="F74" t="s" s="32">
        <v>618</v>
      </c>
      <c r="G74" t="s" s="32">
        <v>387</v>
      </c>
      <c r="H74" t="s" s="32">
        <v>775</v>
      </c>
      <c r="I74" t="s" s="32">
        <v>620</v>
      </c>
      <c r="J74" t="s" s="32">
        <v>621</v>
      </c>
      <c r="K74" t="s" s="35">
        <v>622</v>
      </c>
      <c r="L74" s="30"/>
    </row>
    <row r="75" ht="74.5" customHeight="1">
      <c r="A75" t="s" s="36">
        <v>776</v>
      </c>
      <c r="B75" t="s" s="37">
        <v>67</v>
      </c>
      <c r="C75" t="s" s="37">
        <v>66</v>
      </c>
      <c r="D75" t="s" s="37">
        <v>181</v>
      </c>
      <c r="E75" t="s" s="37">
        <v>618</v>
      </c>
      <c r="F75" t="s" s="37">
        <v>618</v>
      </c>
      <c r="G75" t="s" s="37">
        <v>400</v>
      </c>
      <c r="H75" t="s" s="37">
        <v>777</v>
      </c>
      <c r="I75" t="s" s="37">
        <v>620</v>
      </c>
      <c r="J75" t="s" s="37">
        <v>621</v>
      </c>
      <c r="K75" t="s" s="40">
        <v>622</v>
      </c>
      <c r="L75" s="30"/>
    </row>
    <row r="76" ht="74.5" customHeight="1">
      <c r="A76" t="s" s="31">
        <v>778</v>
      </c>
      <c r="B76" t="s" s="32">
        <v>67</v>
      </c>
      <c r="C76" t="s" s="32">
        <v>66</v>
      </c>
      <c r="D76" t="s" s="32">
        <v>181</v>
      </c>
      <c r="E76" t="s" s="32">
        <v>618</v>
      </c>
      <c r="F76" t="s" s="32">
        <v>618</v>
      </c>
      <c r="G76" t="s" s="32">
        <v>412</v>
      </c>
      <c r="H76" t="s" s="32">
        <v>779</v>
      </c>
      <c r="I76" t="s" s="32">
        <v>620</v>
      </c>
      <c r="J76" t="s" s="32">
        <v>621</v>
      </c>
      <c r="K76" t="s" s="35">
        <v>622</v>
      </c>
      <c r="L76" s="30"/>
    </row>
    <row r="77" ht="74.5" customHeight="1">
      <c r="A77" t="s" s="36">
        <v>780</v>
      </c>
      <c r="B77" t="s" s="37">
        <v>67</v>
      </c>
      <c r="C77" t="s" s="37">
        <v>66</v>
      </c>
      <c r="D77" t="s" s="37">
        <v>181</v>
      </c>
      <c r="E77" t="s" s="37">
        <v>618</v>
      </c>
      <c r="F77" t="s" s="37">
        <v>618</v>
      </c>
      <c r="G77" t="s" s="37">
        <v>424</v>
      </c>
      <c r="H77" t="s" s="37">
        <v>781</v>
      </c>
      <c r="I77" t="s" s="37">
        <v>620</v>
      </c>
      <c r="J77" t="s" s="37">
        <v>621</v>
      </c>
      <c r="K77" t="s" s="40">
        <v>622</v>
      </c>
      <c r="L77" s="30"/>
    </row>
    <row r="78" ht="74.5" customHeight="1">
      <c r="A78" t="s" s="31">
        <v>782</v>
      </c>
      <c r="B78" t="s" s="32">
        <v>67</v>
      </c>
      <c r="C78" t="s" s="32">
        <v>66</v>
      </c>
      <c r="D78" t="s" s="32">
        <v>181</v>
      </c>
      <c r="E78" t="s" s="32">
        <v>618</v>
      </c>
      <c r="F78" t="s" s="32">
        <v>630</v>
      </c>
      <c r="G78" t="s" s="32">
        <v>387</v>
      </c>
      <c r="H78" t="s" s="32">
        <v>783</v>
      </c>
      <c r="I78" t="s" s="32">
        <v>620</v>
      </c>
      <c r="J78" t="s" s="32">
        <v>632</v>
      </c>
      <c r="K78" t="s" s="35">
        <v>622</v>
      </c>
      <c r="L78" s="30"/>
    </row>
    <row r="79" ht="74.5" customHeight="1">
      <c r="A79" t="s" s="36">
        <v>784</v>
      </c>
      <c r="B79" t="s" s="37">
        <v>67</v>
      </c>
      <c r="C79" t="s" s="37">
        <v>66</v>
      </c>
      <c r="D79" t="s" s="37">
        <v>181</v>
      </c>
      <c r="E79" t="s" s="37">
        <v>618</v>
      </c>
      <c r="F79" t="s" s="37">
        <v>630</v>
      </c>
      <c r="G79" t="s" s="37">
        <v>400</v>
      </c>
      <c r="H79" t="s" s="37">
        <v>785</v>
      </c>
      <c r="I79" t="s" s="37">
        <v>620</v>
      </c>
      <c r="J79" t="s" s="37">
        <v>632</v>
      </c>
      <c r="K79" t="s" s="40">
        <v>622</v>
      </c>
      <c r="L79" s="30"/>
    </row>
    <row r="80" ht="74.5" customHeight="1">
      <c r="A80" t="s" s="31">
        <v>786</v>
      </c>
      <c r="B80" t="s" s="32">
        <v>67</v>
      </c>
      <c r="C80" t="s" s="32">
        <v>66</v>
      </c>
      <c r="D80" t="s" s="32">
        <v>181</v>
      </c>
      <c r="E80" t="s" s="32">
        <v>618</v>
      </c>
      <c r="F80" t="s" s="32">
        <v>630</v>
      </c>
      <c r="G80" t="s" s="32">
        <v>412</v>
      </c>
      <c r="H80" t="s" s="32">
        <v>787</v>
      </c>
      <c r="I80" t="s" s="32">
        <v>620</v>
      </c>
      <c r="J80" t="s" s="32">
        <v>632</v>
      </c>
      <c r="K80" t="s" s="35">
        <v>622</v>
      </c>
      <c r="L80" s="30"/>
    </row>
    <row r="81" ht="74.5" customHeight="1">
      <c r="A81" t="s" s="36">
        <v>788</v>
      </c>
      <c r="B81" t="s" s="37">
        <v>67</v>
      </c>
      <c r="C81" t="s" s="37">
        <v>66</v>
      </c>
      <c r="D81" t="s" s="37">
        <v>181</v>
      </c>
      <c r="E81" t="s" s="37">
        <v>618</v>
      </c>
      <c r="F81" t="s" s="37">
        <v>630</v>
      </c>
      <c r="G81" t="s" s="37">
        <v>424</v>
      </c>
      <c r="H81" t="s" s="37">
        <v>789</v>
      </c>
      <c r="I81" t="s" s="37">
        <v>620</v>
      </c>
      <c r="J81" t="s" s="37">
        <v>632</v>
      </c>
      <c r="K81" t="s" s="40">
        <v>622</v>
      </c>
      <c r="L81" s="30"/>
    </row>
    <row r="82" ht="74.5" customHeight="1">
      <c r="A82" t="s" s="31">
        <v>790</v>
      </c>
      <c r="B82" t="s" s="32">
        <v>67</v>
      </c>
      <c r="C82" t="s" s="32">
        <v>66</v>
      </c>
      <c r="D82" t="s" s="32">
        <v>181</v>
      </c>
      <c r="E82" t="s" s="32">
        <v>618</v>
      </c>
      <c r="F82" t="s" s="32">
        <v>622</v>
      </c>
      <c r="G82" t="s" s="32">
        <v>387</v>
      </c>
      <c r="H82" t="s" s="32">
        <v>791</v>
      </c>
      <c r="I82" t="s" s="32">
        <v>620</v>
      </c>
      <c r="J82" t="s" s="32">
        <v>632</v>
      </c>
      <c r="K82" t="s" s="35">
        <v>641</v>
      </c>
      <c r="L82" s="30"/>
    </row>
    <row r="83" ht="74.5" customHeight="1">
      <c r="A83" t="s" s="36">
        <v>792</v>
      </c>
      <c r="B83" t="s" s="37">
        <v>67</v>
      </c>
      <c r="C83" t="s" s="37">
        <v>66</v>
      </c>
      <c r="D83" t="s" s="37">
        <v>181</v>
      </c>
      <c r="E83" t="s" s="37">
        <v>618</v>
      </c>
      <c r="F83" t="s" s="37">
        <v>622</v>
      </c>
      <c r="G83" t="s" s="37">
        <v>400</v>
      </c>
      <c r="H83" t="s" s="37">
        <v>793</v>
      </c>
      <c r="I83" t="s" s="37">
        <v>620</v>
      </c>
      <c r="J83" t="s" s="37">
        <v>632</v>
      </c>
      <c r="K83" t="s" s="40">
        <v>641</v>
      </c>
      <c r="L83" s="30"/>
    </row>
    <row r="84" ht="74.5" customHeight="1">
      <c r="A84" t="s" s="31">
        <v>794</v>
      </c>
      <c r="B84" t="s" s="32">
        <v>67</v>
      </c>
      <c r="C84" t="s" s="32">
        <v>66</v>
      </c>
      <c r="D84" t="s" s="32">
        <v>181</v>
      </c>
      <c r="E84" t="s" s="32">
        <v>618</v>
      </c>
      <c r="F84" t="s" s="32">
        <v>622</v>
      </c>
      <c r="G84" t="s" s="32">
        <v>412</v>
      </c>
      <c r="H84" t="s" s="32">
        <v>795</v>
      </c>
      <c r="I84" t="s" s="32">
        <v>620</v>
      </c>
      <c r="J84" t="s" s="32">
        <v>632</v>
      </c>
      <c r="K84" t="s" s="35">
        <v>641</v>
      </c>
      <c r="L84" s="30"/>
    </row>
    <row r="85" ht="74.5" customHeight="1">
      <c r="A85" t="s" s="36">
        <v>796</v>
      </c>
      <c r="B85" t="s" s="37">
        <v>67</v>
      </c>
      <c r="C85" t="s" s="37">
        <v>66</v>
      </c>
      <c r="D85" t="s" s="37">
        <v>181</v>
      </c>
      <c r="E85" t="s" s="37">
        <v>618</v>
      </c>
      <c r="F85" t="s" s="37">
        <v>622</v>
      </c>
      <c r="G85" t="s" s="37">
        <v>424</v>
      </c>
      <c r="H85" t="s" s="37">
        <v>797</v>
      </c>
      <c r="I85" t="s" s="37">
        <v>620</v>
      </c>
      <c r="J85" t="s" s="37">
        <v>632</v>
      </c>
      <c r="K85" t="s" s="40">
        <v>641</v>
      </c>
      <c r="L85" s="30"/>
    </row>
    <row r="86" ht="74.5" customHeight="1">
      <c r="A86" t="s" s="31">
        <v>798</v>
      </c>
      <c r="B86" t="s" s="32">
        <v>67</v>
      </c>
      <c r="C86" t="s" s="32">
        <v>66</v>
      </c>
      <c r="D86" t="s" s="32">
        <v>181</v>
      </c>
      <c r="E86" t="s" s="32">
        <v>630</v>
      </c>
      <c r="F86" t="s" s="32">
        <v>618</v>
      </c>
      <c r="G86" t="s" s="32">
        <v>387</v>
      </c>
      <c r="H86" t="s" s="32">
        <v>799</v>
      </c>
      <c r="I86" t="s" s="32">
        <v>650</v>
      </c>
      <c r="J86" t="s" s="32">
        <v>651</v>
      </c>
      <c r="K86" t="s" s="35">
        <v>622</v>
      </c>
      <c r="L86" s="30"/>
    </row>
    <row r="87" ht="74.5" customHeight="1">
      <c r="A87" t="s" s="36">
        <v>800</v>
      </c>
      <c r="B87" t="s" s="37">
        <v>67</v>
      </c>
      <c r="C87" t="s" s="37">
        <v>66</v>
      </c>
      <c r="D87" t="s" s="37">
        <v>181</v>
      </c>
      <c r="E87" t="s" s="37">
        <v>630</v>
      </c>
      <c r="F87" t="s" s="37">
        <v>618</v>
      </c>
      <c r="G87" t="s" s="37">
        <v>400</v>
      </c>
      <c r="H87" t="s" s="37">
        <v>801</v>
      </c>
      <c r="I87" t="s" s="37">
        <v>650</v>
      </c>
      <c r="J87" t="s" s="37">
        <v>651</v>
      </c>
      <c r="K87" t="s" s="40">
        <v>622</v>
      </c>
      <c r="L87" s="30"/>
    </row>
    <row r="88" ht="74.5" customHeight="1">
      <c r="A88" t="s" s="31">
        <v>802</v>
      </c>
      <c r="B88" t="s" s="32">
        <v>67</v>
      </c>
      <c r="C88" t="s" s="32">
        <v>66</v>
      </c>
      <c r="D88" t="s" s="32">
        <v>181</v>
      </c>
      <c r="E88" t="s" s="32">
        <v>630</v>
      </c>
      <c r="F88" t="s" s="32">
        <v>618</v>
      </c>
      <c r="G88" t="s" s="32">
        <v>412</v>
      </c>
      <c r="H88" t="s" s="32">
        <v>803</v>
      </c>
      <c r="I88" t="s" s="32">
        <v>650</v>
      </c>
      <c r="J88" t="s" s="32">
        <v>651</v>
      </c>
      <c r="K88" t="s" s="35">
        <v>622</v>
      </c>
      <c r="L88" s="30"/>
    </row>
    <row r="89" ht="74.5" customHeight="1">
      <c r="A89" t="s" s="36">
        <v>804</v>
      </c>
      <c r="B89" t="s" s="37">
        <v>67</v>
      </c>
      <c r="C89" t="s" s="37">
        <v>66</v>
      </c>
      <c r="D89" t="s" s="37">
        <v>181</v>
      </c>
      <c r="E89" t="s" s="37">
        <v>630</v>
      </c>
      <c r="F89" t="s" s="37">
        <v>618</v>
      </c>
      <c r="G89" t="s" s="37">
        <v>424</v>
      </c>
      <c r="H89" t="s" s="37">
        <v>805</v>
      </c>
      <c r="I89" t="s" s="37">
        <v>650</v>
      </c>
      <c r="J89" t="s" s="37">
        <v>651</v>
      </c>
      <c r="K89" t="s" s="40">
        <v>622</v>
      </c>
      <c r="L89" s="30"/>
    </row>
    <row r="90" ht="74.5" customHeight="1">
      <c r="A90" t="s" s="31">
        <v>806</v>
      </c>
      <c r="B90" t="s" s="32">
        <v>67</v>
      </c>
      <c r="C90" t="s" s="32">
        <v>66</v>
      </c>
      <c r="D90" t="s" s="32">
        <v>181</v>
      </c>
      <c r="E90" t="s" s="32">
        <v>630</v>
      </c>
      <c r="F90" t="s" s="32">
        <v>630</v>
      </c>
      <c r="G90" t="s" s="32">
        <v>387</v>
      </c>
      <c r="H90" t="s" s="32">
        <v>807</v>
      </c>
      <c r="I90" t="s" s="32">
        <v>650</v>
      </c>
      <c r="J90" t="s" s="32">
        <v>660</v>
      </c>
      <c r="K90" t="s" s="35">
        <v>630</v>
      </c>
      <c r="L90" s="30"/>
    </row>
    <row r="91" ht="74.5" customHeight="1">
      <c r="A91" t="s" s="36">
        <v>808</v>
      </c>
      <c r="B91" t="s" s="37">
        <v>67</v>
      </c>
      <c r="C91" t="s" s="37">
        <v>66</v>
      </c>
      <c r="D91" t="s" s="37">
        <v>181</v>
      </c>
      <c r="E91" t="s" s="37">
        <v>630</v>
      </c>
      <c r="F91" t="s" s="37">
        <v>630</v>
      </c>
      <c r="G91" t="s" s="37">
        <v>400</v>
      </c>
      <c r="H91" t="s" s="37">
        <v>809</v>
      </c>
      <c r="I91" t="s" s="37">
        <v>650</v>
      </c>
      <c r="J91" t="s" s="37">
        <v>660</v>
      </c>
      <c r="K91" t="s" s="40">
        <v>630</v>
      </c>
      <c r="L91" s="30"/>
    </row>
    <row r="92" ht="74.5" customHeight="1">
      <c r="A92" t="s" s="31">
        <v>810</v>
      </c>
      <c r="B92" t="s" s="32">
        <v>67</v>
      </c>
      <c r="C92" t="s" s="32">
        <v>66</v>
      </c>
      <c r="D92" t="s" s="32">
        <v>181</v>
      </c>
      <c r="E92" t="s" s="32">
        <v>630</v>
      </c>
      <c r="F92" t="s" s="32">
        <v>630</v>
      </c>
      <c r="G92" t="s" s="32">
        <v>412</v>
      </c>
      <c r="H92" t="s" s="32">
        <v>811</v>
      </c>
      <c r="I92" t="s" s="32">
        <v>650</v>
      </c>
      <c r="J92" t="s" s="32">
        <v>660</v>
      </c>
      <c r="K92" t="s" s="35">
        <v>630</v>
      </c>
      <c r="L92" s="30"/>
    </row>
    <row r="93" ht="74.5" customHeight="1">
      <c r="A93" t="s" s="36">
        <v>812</v>
      </c>
      <c r="B93" t="s" s="37">
        <v>67</v>
      </c>
      <c r="C93" t="s" s="37">
        <v>66</v>
      </c>
      <c r="D93" t="s" s="37">
        <v>181</v>
      </c>
      <c r="E93" t="s" s="37">
        <v>630</v>
      </c>
      <c r="F93" t="s" s="37">
        <v>630</v>
      </c>
      <c r="G93" t="s" s="37">
        <v>424</v>
      </c>
      <c r="H93" t="s" s="37">
        <v>813</v>
      </c>
      <c r="I93" t="s" s="37">
        <v>650</v>
      </c>
      <c r="J93" t="s" s="37">
        <v>660</v>
      </c>
      <c r="K93" t="s" s="40">
        <v>630</v>
      </c>
      <c r="L93" s="30"/>
    </row>
    <row r="94" ht="74.5" customHeight="1">
      <c r="A94" t="s" s="31">
        <v>814</v>
      </c>
      <c r="B94" t="s" s="32">
        <v>67</v>
      </c>
      <c r="C94" t="s" s="32">
        <v>66</v>
      </c>
      <c r="D94" t="s" s="32">
        <v>181</v>
      </c>
      <c r="E94" t="s" s="32">
        <v>630</v>
      </c>
      <c r="F94" t="s" s="32">
        <v>622</v>
      </c>
      <c r="G94" t="s" s="32">
        <v>387</v>
      </c>
      <c r="H94" t="s" s="32">
        <v>815</v>
      </c>
      <c r="I94" t="s" s="32">
        <v>669</v>
      </c>
      <c r="J94" t="s" s="32">
        <v>660</v>
      </c>
      <c r="K94" t="s" s="35">
        <v>630</v>
      </c>
      <c r="L94" s="30"/>
    </row>
    <row r="95" ht="74.5" customHeight="1">
      <c r="A95" t="s" s="36">
        <v>816</v>
      </c>
      <c r="B95" t="s" s="37">
        <v>67</v>
      </c>
      <c r="C95" t="s" s="37">
        <v>66</v>
      </c>
      <c r="D95" t="s" s="37">
        <v>181</v>
      </c>
      <c r="E95" t="s" s="37">
        <v>630</v>
      </c>
      <c r="F95" t="s" s="37">
        <v>622</v>
      </c>
      <c r="G95" t="s" s="37">
        <v>400</v>
      </c>
      <c r="H95" t="s" s="37">
        <v>817</v>
      </c>
      <c r="I95" t="s" s="37">
        <v>669</v>
      </c>
      <c r="J95" t="s" s="37">
        <v>660</v>
      </c>
      <c r="K95" t="s" s="40">
        <v>630</v>
      </c>
      <c r="L95" s="30"/>
    </row>
    <row r="96" ht="74.5" customHeight="1">
      <c r="A96" t="s" s="31">
        <v>818</v>
      </c>
      <c r="B96" t="s" s="32">
        <v>67</v>
      </c>
      <c r="C96" t="s" s="32">
        <v>66</v>
      </c>
      <c r="D96" t="s" s="32">
        <v>181</v>
      </c>
      <c r="E96" t="s" s="32">
        <v>630</v>
      </c>
      <c r="F96" t="s" s="32">
        <v>622</v>
      </c>
      <c r="G96" t="s" s="32">
        <v>412</v>
      </c>
      <c r="H96" t="s" s="32">
        <v>819</v>
      </c>
      <c r="I96" t="s" s="32">
        <v>669</v>
      </c>
      <c r="J96" t="s" s="32">
        <v>660</v>
      </c>
      <c r="K96" t="s" s="35">
        <v>630</v>
      </c>
      <c r="L96" s="30"/>
    </row>
    <row r="97" ht="74.5" customHeight="1">
      <c r="A97" t="s" s="36">
        <v>820</v>
      </c>
      <c r="B97" t="s" s="37">
        <v>67</v>
      </c>
      <c r="C97" t="s" s="37">
        <v>66</v>
      </c>
      <c r="D97" t="s" s="37">
        <v>181</v>
      </c>
      <c r="E97" t="s" s="37">
        <v>630</v>
      </c>
      <c r="F97" t="s" s="37">
        <v>622</v>
      </c>
      <c r="G97" t="s" s="37">
        <v>424</v>
      </c>
      <c r="H97" t="s" s="37">
        <v>821</v>
      </c>
      <c r="I97" t="s" s="37">
        <v>669</v>
      </c>
      <c r="J97" t="s" s="37">
        <v>660</v>
      </c>
      <c r="K97" t="s" s="40">
        <v>630</v>
      </c>
      <c r="L97" s="30"/>
    </row>
    <row r="98" ht="74.5" customHeight="1">
      <c r="A98" t="s" s="31">
        <v>822</v>
      </c>
      <c r="B98" t="s" s="32">
        <v>67</v>
      </c>
      <c r="C98" t="s" s="32">
        <v>66</v>
      </c>
      <c r="D98" t="s" s="32">
        <v>181</v>
      </c>
      <c r="E98" t="s" s="32">
        <v>622</v>
      </c>
      <c r="F98" t="s" s="32">
        <v>618</v>
      </c>
      <c r="G98" t="s" s="32">
        <v>387</v>
      </c>
      <c r="H98" t="s" s="32">
        <v>823</v>
      </c>
      <c r="I98" t="s" s="32">
        <v>678</v>
      </c>
      <c r="J98" t="s" s="32">
        <v>651</v>
      </c>
      <c r="K98" t="s" s="35">
        <v>622</v>
      </c>
      <c r="L98" s="30"/>
    </row>
    <row r="99" ht="74.5" customHeight="1">
      <c r="A99" t="s" s="36">
        <v>824</v>
      </c>
      <c r="B99" t="s" s="37">
        <v>67</v>
      </c>
      <c r="C99" t="s" s="37">
        <v>66</v>
      </c>
      <c r="D99" t="s" s="37">
        <v>181</v>
      </c>
      <c r="E99" t="s" s="37">
        <v>622</v>
      </c>
      <c r="F99" t="s" s="37">
        <v>618</v>
      </c>
      <c r="G99" t="s" s="37">
        <v>400</v>
      </c>
      <c r="H99" t="s" s="37">
        <v>825</v>
      </c>
      <c r="I99" t="s" s="37">
        <v>678</v>
      </c>
      <c r="J99" t="s" s="37">
        <v>651</v>
      </c>
      <c r="K99" t="s" s="40">
        <v>622</v>
      </c>
      <c r="L99" s="30"/>
    </row>
    <row r="100" ht="74.5" customHeight="1">
      <c r="A100" t="s" s="31">
        <v>826</v>
      </c>
      <c r="B100" t="s" s="32">
        <v>67</v>
      </c>
      <c r="C100" t="s" s="32">
        <v>66</v>
      </c>
      <c r="D100" t="s" s="32">
        <v>181</v>
      </c>
      <c r="E100" t="s" s="32">
        <v>622</v>
      </c>
      <c r="F100" t="s" s="32">
        <v>618</v>
      </c>
      <c r="G100" t="s" s="32">
        <v>412</v>
      </c>
      <c r="H100" t="s" s="32">
        <v>827</v>
      </c>
      <c r="I100" t="s" s="32">
        <v>678</v>
      </c>
      <c r="J100" t="s" s="32">
        <v>651</v>
      </c>
      <c r="K100" t="s" s="35">
        <v>622</v>
      </c>
      <c r="L100" s="30"/>
    </row>
    <row r="101" ht="74.5" customHeight="1">
      <c r="A101" t="s" s="36">
        <v>828</v>
      </c>
      <c r="B101" t="s" s="37">
        <v>67</v>
      </c>
      <c r="C101" t="s" s="37">
        <v>66</v>
      </c>
      <c r="D101" t="s" s="37">
        <v>181</v>
      </c>
      <c r="E101" t="s" s="37">
        <v>622</v>
      </c>
      <c r="F101" t="s" s="37">
        <v>618</v>
      </c>
      <c r="G101" t="s" s="37">
        <v>424</v>
      </c>
      <c r="H101" t="s" s="37">
        <v>829</v>
      </c>
      <c r="I101" t="s" s="37">
        <v>678</v>
      </c>
      <c r="J101" t="s" s="37">
        <v>651</v>
      </c>
      <c r="K101" t="s" s="40">
        <v>622</v>
      </c>
      <c r="L101" s="30"/>
    </row>
    <row r="102" ht="74.5" customHeight="1">
      <c r="A102" t="s" s="31">
        <v>830</v>
      </c>
      <c r="B102" t="s" s="32">
        <v>67</v>
      </c>
      <c r="C102" t="s" s="32">
        <v>66</v>
      </c>
      <c r="D102" t="s" s="32">
        <v>181</v>
      </c>
      <c r="E102" t="s" s="32">
        <v>622</v>
      </c>
      <c r="F102" t="s" s="32">
        <v>630</v>
      </c>
      <c r="G102" t="s" s="32">
        <v>387</v>
      </c>
      <c r="H102" t="s" s="32">
        <v>831</v>
      </c>
      <c r="I102" t="s" s="32">
        <v>687</v>
      </c>
      <c r="J102" t="s" s="32">
        <v>660</v>
      </c>
      <c r="K102" t="s" s="35">
        <v>630</v>
      </c>
      <c r="L102" s="30"/>
    </row>
    <row r="103" ht="74.5" customHeight="1">
      <c r="A103" t="s" s="36">
        <v>832</v>
      </c>
      <c r="B103" t="s" s="37">
        <v>67</v>
      </c>
      <c r="C103" t="s" s="37">
        <v>66</v>
      </c>
      <c r="D103" t="s" s="37">
        <v>181</v>
      </c>
      <c r="E103" t="s" s="37">
        <v>622</v>
      </c>
      <c r="F103" t="s" s="37">
        <v>630</v>
      </c>
      <c r="G103" t="s" s="37">
        <v>400</v>
      </c>
      <c r="H103" t="s" s="37">
        <v>833</v>
      </c>
      <c r="I103" t="s" s="37">
        <v>687</v>
      </c>
      <c r="J103" t="s" s="37">
        <v>660</v>
      </c>
      <c r="K103" t="s" s="40">
        <v>630</v>
      </c>
      <c r="L103" s="30"/>
    </row>
    <row r="104" ht="74.5" customHeight="1">
      <c r="A104" t="s" s="31">
        <v>834</v>
      </c>
      <c r="B104" t="s" s="32">
        <v>67</v>
      </c>
      <c r="C104" t="s" s="32">
        <v>66</v>
      </c>
      <c r="D104" t="s" s="32">
        <v>181</v>
      </c>
      <c r="E104" t="s" s="32">
        <v>622</v>
      </c>
      <c r="F104" t="s" s="32">
        <v>630</v>
      </c>
      <c r="G104" t="s" s="32">
        <v>412</v>
      </c>
      <c r="H104" t="s" s="32">
        <v>835</v>
      </c>
      <c r="I104" t="s" s="32">
        <v>687</v>
      </c>
      <c r="J104" t="s" s="32">
        <v>660</v>
      </c>
      <c r="K104" t="s" s="35">
        <v>630</v>
      </c>
      <c r="L104" s="30"/>
    </row>
    <row r="105" ht="74.5" customHeight="1">
      <c r="A105" t="s" s="36">
        <v>836</v>
      </c>
      <c r="B105" t="s" s="37">
        <v>67</v>
      </c>
      <c r="C105" t="s" s="37">
        <v>66</v>
      </c>
      <c r="D105" t="s" s="37">
        <v>181</v>
      </c>
      <c r="E105" t="s" s="37">
        <v>622</v>
      </c>
      <c r="F105" t="s" s="37">
        <v>630</v>
      </c>
      <c r="G105" t="s" s="37">
        <v>424</v>
      </c>
      <c r="H105" t="s" s="37">
        <v>837</v>
      </c>
      <c r="I105" t="s" s="37">
        <v>687</v>
      </c>
      <c r="J105" t="s" s="37">
        <v>660</v>
      </c>
      <c r="K105" t="s" s="40">
        <v>630</v>
      </c>
      <c r="L105" s="30"/>
    </row>
    <row r="106" ht="74.5" customHeight="1">
      <c r="A106" t="s" s="31">
        <v>838</v>
      </c>
      <c r="B106" t="s" s="32">
        <v>67</v>
      </c>
      <c r="C106" t="s" s="32">
        <v>66</v>
      </c>
      <c r="D106" t="s" s="32">
        <v>181</v>
      </c>
      <c r="E106" t="s" s="32">
        <v>622</v>
      </c>
      <c r="F106" t="s" s="32">
        <v>622</v>
      </c>
      <c r="G106" t="s" s="32">
        <v>387</v>
      </c>
      <c r="H106" t="s" s="32">
        <v>839</v>
      </c>
      <c r="I106" t="s" s="32">
        <v>687</v>
      </c>
      <c r="J106" t="s" s="32">
        <v>660</v>
      </c>
      <c r="K106" t="s" s="35">
        <v>641</v>
      </c>
      <c r="L106" s="30"/>
    </row>
    <row r="107" ht="74.5" customHeight="1">
      <c r="A107" t="s" s="36">
        <v>840</v>
      </c>
      <c r="B107" t="s" s="37">
        <v>67</v>
      </c>
      <c r="C107" t="s" s="37">
        <v>66</v>
      </c>
      <c r="D107" t="s" s="37">
        <v>181</v>
      </c>
      <c r="E107" t="s" s="37">
        <v>622</v>
      </c>
      <c r="F107" t="s" s="37">
        <v>622</v>
      </c>
      <c r="G107" t="s" s="37">
        <v>400</v>
      </c>
      <c r="H107" t="s" s="37">
        <v>841</v>
      </c>
      <c r="I107" t="s" s="37">
        <v>687</v>
      </c>
      <c r="J107" t="s" s="37">
        <v>660</v>
      </c>
      <c r="K107" t="s" s="40">
        <v>641</v>
      </c>
      <c r="L107" s="30"/>
    </row>
    <row r="108" ht="74.5" customHeight="1">
      <c r="A108" t="s" s="31">
        <v>842</v>
      </c>
      <c r="B108" t="s" s="32">
        <v>67</v>
      </c>
      <c r="C108" t="s" s="32">
        <v>66</v>
      </c>
      <c r="D108" t="s" s="32">
        <v>181</v>
      </c>
      <c r="E108" t="s" s="32">
        <v>622</v>
      </c>
      <c r="F108" t="s" s="32">
        <v>622</v>
      </c>
      <c r="G108" t="s" s="32">
        <v>412</v>
      </c>
      <c r="H108" t="s" s="32">
        <v>843</v>
      </c>
      <c r="I108" t="s" s="32">
        <v>687</v>
      </c>
      <c r="J108" t="s" s="32">
        <v>660</v>
      </c>
      <c r="K108" t="s" s="35">
        <v>641</v>
      </c>
      <c r="L108" s="30"/>
    </row>
    <row r="109" ht="74.5" customHeight="1">
      <c r="A109" t="s" s="36">
        <v>844</v>
      </c>
      <c r="B109" t="s" s="37">
        <v>67</v>
      </c>
      <c r="C109" t="s" s="37">
        <v>66</v>
      </c>
      <c r="D109" t="s" s="37">
        <v>181</v>
      </c>
      <c r="E109" t="s" s="37">
        <v>622</v>
      </c>
      <c r="F109" t="s" s="37">
        <v>622</v>
      </c>
      <c r="G109" t="s" s="37">
        <v>424</v>
      </c>
      <c r="H109" t="s" s="37">
        <v>845</v>
      </c>
      <c r="I109" t="s" s="37">
        <v>687</v>
      </c>
      <c r="J109" t="s" s="37">
        <v>660</v>
      </c>
      <c r="K109" t="s" s="40">
        <v>641</v>
      </c>
      <c r="L109" s="30"/>
    </row>
    <row r="110" ht="74.5" customHeight="1">
      <c r="A110" t="s" s="31">
        <v>846</v>
      </c>
      <c r="B110" t="s" s="32">
        <v>67</v>
      </c>
      <c r="C110" t="s" s="32">
        <v>66</v>
      </c>
      <c r="D110" t="s" s="32">
        <v>193</v>
      </c>
      <c r="E110" t="s" s="32">
        <v>618</v>
      </c>
      <c r="F110" t="s" s="32">
        <v>618</v>
      </c>
      <c r="G110" t="s" s="32">
        <v>387</v>
      </c>
      <c r="H110" t="s" s="32">
        <v>847</v>
      </c>
      <c r="I110" t="s" s="32">
        <v>620</v>
      </c>
      <c r="J110" t="s" s="32">
        <v>621</v>
      </c>
      <c r="K110" t="s" s="35">
        <v>622</v>
      </c>
      <c r="L110" s="30"/>
    </row>
    <row r="111" ht="74.5" customHeight="1">
      <c r="A111" t="s" s="36">
        <v>848</v>
      </c>
      <c r="B111" t="s" s="37">
        <v>67</v>
      </c>
      <c r="C111" t="s" s="37">
        <v>66</v>
      </c>
      <c r="D111" t="s" s="37">
        <v>193</v>
      </c>
      <c r="E111" t="s" s="37">
        <v>618</v>
      </c>
      <c r="F111" t="s" s="37">
        <v>618</v>
      </c>
      <c r="G111" t="s" s="37">
        <v>400</v>
      </c>
      <c r="H111" t="s" s="37">
        <v>849</v>
      </c>
      <c r="I111" t="s" s="37">
        <v>620</v>
      </c>
      <c r="J111" t="s" s="37">
        <v>621</v>
      </c>
      <c r="K111" t="s" s="40">
        <v>622</v>
      </c>
      <c r="L111" s="30"/>
    </row>
    <row r="112" ht="74.5" customHeight="1">
      <c r="A112" t="s" s="31">
        <v>850</v>
      </c>
      <c r="B112" t="s" s="32">
        <v>67</v>
      </c>
      <c r="C112" t="s" s="32">
        <v>66</v>
      </c>
      <c r="D112" t="s" s="32">
        <v>193</v>
      </c>
      <c r="E112" t="s" s="32">
        <v>618</v>
      </c>
      <c r="F112" t="s" s="32">
        <v>618</v>
      </c>
      <c r="G112" t="s" s="32">
        <v>412</v>
      </c>
      <c r="H112" t="s" s="32">
        <v>851</v>
      </c>
      <c r="I112" t="s" s="32">
        <v>620</v>
      </c>
      <c r="J112" t="s" s="32">
        <v>621</v>
      </c>
      <c r="K112" t="s" s="35">
        <v>622</v>
      </c>
      <c r="L112" s="30"/>
    </row>
    <row r="113" ht="74.5" customHeight="1">
      <c r="A113" t="s" s="36">
        <v>852</v>
      </c>
      <c r="B113" t="s" s="37">
        <v>67</v>
      </c>
      <c r="C113" t="s" s="37">
        <v>66</v>
      </c>
      <c r="D113" t="s" s="37">
        <v>193</v>
      </c>
      <c r="E113" t="s" s="37">
        <v>618</v>
      </c>
      <c r="F113" t="s" s="37">
        <v>618</v>
      </c>
      <c r="G113" t="s" s="37">
        <v>424</v>
      </c>
      <c r="H113" t="s" s="37">
        <v>853</v>
      </c>
      <c r="I113" t="s" s="37">
        <v>620</v>
      </c>
      <c r="J113" t="s" s="37">
        <v>621</v>
      </c>
      <c r="K113" t="s" s="40">
        <v>622</v>
      </c>
      <c r="L113" s="30"/>
    </row>
    <row r="114" ht="74.5" customHeight="1">
      <c r="A114" t="s" s="31">
        <v>854</v>
      </c>
      <c r="B114" t="s" s="32">
        <v>67</v>
      </c>
      <c r="C114" t="s" s="32">
        <v>66</v>
      </c>
      <c r="D114" t="s" s="32">
        <v>193</v>
      </c>
      <c r="E114" t="s" s="32">
        <v>618</v>
      </c>
      <c r="F114" t="s" s="32">
        <v>630</v>
      </c>
      <c r="G114" t="s" s="32">
        <v>387</v>
      </c>
      <c r="H114" t="s" s="32">
        <v>855</v>
      </c>
      <c r="I114" t="s" s="32">
        <v>620</v>
      </c>
      <c r="J114" t="s" s="32">
        <v>632</v>
      </c>
      <c r="K114" t="s" s="35">
        <v>622</v>
      </c>
      <c r="L114" s="30"/>
    </row>
    <row r="115" ht="74.5" customHeight="1">
      <c r="A115" t="s" s="36">
        <v>856</v>
      </c>
      <c r="B115" t="s" s="37">
        <v>67</v>
      </c>
      <c r="C115" t="s" s="37">
        <v>66</v>
      </c>
      <c r="D115" t="s" s="37">
        <v>193</v>
      </c>
      <c r="E115" t="s" s="37">
        <v>618</v>
      </c>
      <c r="F115" t="s" s="37">
        <v>630</v>
      </c>
      <c r="G115" t="s" s="37">
        <v>400</v>
      </c>
      <c r="H115" t="s" s="37">
        <v>857</v>
      </c>
      <c r="I115" t="s" s="37">
        <v>620</v>
      </c>
      <c r="J115" t="s" s="37">
        <v>632</v>
      </c>
      <c r="K115" t="s" s="40">
        <v>622</v>
      </c>
      <c r="L115" s="30"/>
    </row>
    <row r="116" ht="74.5" customHeight="1">
      <c r="A116" t="s" s="31">
        <v>858</v>
      </c>
      <c r="B116" t="s" s="32">
        <v>67</v>
      </c>
      <c r="C116" t="s" s="32">
        <v>66</v>
      </c>
      <c r="D116" t="s" s="32">
        <v>193</v>
      </c>
      <c r="E116" t="s" s="32">
        <v>618</v>
      </c>
      <c r="F116" t="s" s="32">
        <v>630</v>
      </c>
      <c r="G116" t="s" s="32">
        <v>412</v>
      </c>
      <c r="H116" t="s" s="32">
        <v>859</v>
      </c>
      <c r="I116" t="s" s="32">
        <v>620</v>
      </c>
      <c r="J116" t="s" s="32">
        <v>632</v>
      </c>
      <c r="K116" t="s" s="35">
        <v>622</v>
      </c>
      <c r="L116" s="30"/>
    </row>
    <row r="117" ht="74.5" customHeight="1">
      <c r="A117" t="s" s="36">
        <v>860</v>
      </c>
      <c r="B117" t="s" s="37">
        <v>67</v>
      </c>
      <c r="C117" t="s" s="37">
        <v>66</v>
      </c>
      <c r="D117" t="s" s="37">
        <v>193</v>
      </c>
      <c r="E117" t="s" s="37">
        <v>618</v>
      </c>
      <c r="F117" t="s" s="37">
        <v>630</v>
      </c>
      <c r="G117" t="s" s="37">
        <v>424</v>
      </c>
      <c r="H117" t="s" s="37">
        <v>861</v>
      </c>
      <c r="I117" t="s" s="37">
        <v>620</v>
      </c>
      <c r="J117" t="s" s="37">
        <v>632</v>
      </c>
      <c r="K117" t="s" s="40">
        <v>622</v>
      </c>
      <c r="L117" s="30"/>
    </row>
    <row r="118" ht="74.5" customHeight="1">
      <c r="A118" t="s" s="31">
        <v>862</v>
      </c>
      <c r="B118" t="s" s="32">
        <v>67</v>
      </c>
      <c r="C118" t="s" s="32">
        <v>66</v>
      </c>
      <c r="D118" t="s" s="32">
        <v>193</v>
      </c>
      <c r="E118" t="s" s="32">
        <v>618</v>
      </c>
      <c r="F118" t="s" s="32">
        <v>622</v>
      </c>
      <c r="G118" t="s" s="32">
        <v>387</v>
      </c>
      <c r="H118" t="s" s="32">
        <v>863</v>
      </c>
      <c r="I118" t="s" s="32">
        <v>620</v>
      </c>
      <c r="J118" t="s" s="32">
        <v>632</v>
      </c>
      <c r="K118" t="s" s="35">
        <v>641</v>
      </c>
      <c r="L118" s="30"/>
    </row>
    <row r="119" ht="74.5" customHeight="1">
      <c r="A119" t="s" s="36">
        <v>864</v>
      </c>
      <c r="B119" t="s" s="37">
        <v>67</v>
      </c>
      <c r="C119" t="s" s="37">
        <v>66</v>
      </c>
      <c r="D119" t="s" s="37">
        <v>193</v>
      </c>
      <c r="E119" t="s" s="37">
        <v>618</v>
      </c>
      <c r="F119" t="s" s="37">
        <v>622</v>
      </c>
      <c r="G119" t="s" s="37">
        <v>400</v>
      </c>
      <c r="H119" t="s" s="37">
        <v>865</v>
      </c>
      <c r="I119" t="s" s="37">
        <v>620</v>
      </c>
      <c r="J119" t="s" s="37">
        <v>632</v>
      </c>
      <c r="K119" t="s" s="40">
        <v>641</v>
      </c>
      <c r="L119" s="30"/>
    </row>
    <row r="120" ht="74.5" customHeight="1">
      <c r="A120" t="s" s="31">
        <v>866</v>
      </c>
      <c r="B120" t="s" s="32">
        <v>67</v>
      </c>
      <c r="C120" t="s" s="32">
        <v>66</v>
      </c>
      <c r="D120" t="s" s="32">
        <v>193</v>
      </c>
      <c r="E120" t="s" s="32">
        <v>618</v>
      </c>
      <c r="F120" t="s" s="32">
        <v>622</v>
      </c>
      <c r="G120" t="s" s="32">
        <v>412</v>
      </c>
      <c r="H120" t="s" s="32">
        <v>867</v>
      </c>
      <c r="I120" t="s" s="32">
        <v>620</v>
      </c>
      <c r="J120" t="s" s="32">
        <v>632</v>
      </c>
      <c r="K120" t="s" s="35">
        <v>641</v>
      </c>
      <c r="L120" s="30"/>
    </row>
    <row r="121" ht="74.5" customHeight="1">
      <c r="A121" t="s" s="36">
        <v>868</v>
      </c>
      <c r="B121" t="s" s="37">
        <v>67</v>
      </c>
      <c r="C121" t="s" s="37">
        <v>66</v>
      </c>
      <c r="D121" t="s" s="37">
        <v>193</v>
      </c>
      <c r="E121" t="s" s="37">
        <v>618</v>
      </c>
      <c r="F121" t="s" s="37">
        <v>622</v>
      </c>
      <c r="G121" t="s" s="37">
        <v>424</v>
      </c>
      <c r="H121" t="s" s="37">
        <v>869</v>
      </c>
      <c r="I121" t="s" s="37">
        <v>620</v>
      </c>
      <c r="J121" t="s" s="37">
        <v>632</v>
      </c>
      <c r="K121" t="s" s="40">
        <v>641</v>
      </c>
      <c r="L121" s="30"/>
    </row>
    <row r="122" ht="74.5" customHeight="1">
      <c r="A122" t="s" s="31">
        <v>870</v>
      </c>
      <c r="B122" t="s" s="32">
        <v>67</v>
      </c>
      <c r="C122" t="s" s="32">
        <v>66</v>
      </c>
      <c r="D122" t="s" s="32">
        <v>193</v>
      </c>
      <c r="E122" t="s" s="32">
        <v>630</v>
      </c>
      <c r="F122" t="s" s="32">
        <v>618</v>
      </c>
      <c r="G122" t="s" s="32">
        <v>387</v>
      </c>
      <c r="H122" t="s" s="32">
        <v>871</v>
      </c>
      <c r="I122" t="s" s="32">
        <v>650</v>
      </c>
      <c r="J122" t="s" s="32">
        <v>651</v>
      </c>
      <c r="K122" t="s" s="35">
        <v>622</v>
      </c>
      <c r="L122" s="30"/>
    </row>
    <row r="123" ht="74.5" customHeight="1">
      <c r="A123" t="s" s="36">
        <v>872</v>
      </c>
      <c r="B123" t="s" s="37">
        <v>67</v>
      </c>
      <c r="C123" t="s" s="37">
        <v>66</v>
      </c>
      <c r="D123" t="s" s="37">
        <v>193</v>
      </c>
      <c r="E123" t="s" s="37">
        <v>630</v>
      </c>
      <c r="F123" t="s" s="37">
        <v>618</v>
      </c>
      <c r="G123" t="s" s="37">
        <v>400</v>
      </c>
      <c r="H123" t="s" s="37">
        <v>873</v>
      </c>
      <c r="I123" t="s" s="37">
        <v>650</v>
      </c>
      <c r="J123" t="s" s="37">
        <v>651</v>
      </c>
      <c r="K123" t="s" s="40">
        <v>622</v>
      </c>
      <c r="L123" s="30"/>
    </row>
    <row r="124" ht="74.5" customHeight="1">
      <c r="A124" t="s" s="31">
        <v>874</v>
      </c>
      <c r="B124" t="s" s="32">
        <v>67</v>
      </c>
      <c r="C124" t="s" s="32">
        <v>66</v>
      </c>
      <c r="D124" t="s" s="32">
        <v>193</v>
      </c>
      <c r="E124" t="s" s="32">
        <v>630</v>
      </c>
      <c r="F124" t="s" s="32">
        <v>618</v>
      </c>
      <c r="G124" t="s" s="32">
        <v>412</v>
      </c>
      <c r="H124" t="s" s="32">
        <v>875</v>
      </c>
      <c r="I124" t="s" s="32">
        <v>650</v>
      </c>
      <c r="J124" t="s" s="32">
        <v>651</v>
      </c>
      <c r="K124" t="s" s="35">
        <v>622</v>
      </c>
      <c r="L124" s="30"/>
    </row>
    <row r="125" ht="74.5" customHeight="1">
      <c r="A125" t="s" s="36">
        <v>876</v>
      </c>
      <c r="B125" t="s" s="37">
        <v>67</v>
      </c>
      <c r="C125" t="s" s="37">
        <v>66</v>
      </c>
      <c r="D125" t="s" s="37">
        <v>193</v>
      </c>
      <c r="E125" t="s" s="37">
        <v>630</v>
      </c>
      <c r="F125" t="s" s="37">
        <v>618</v>
      </c>
      <c r="G125" t="s" s="37">
        <v>424</v>
      </c>
      <c r="H125" t="s" s="37">
        <v>877</v>
      </c>
      <c r="I125" t="s" s="37">
        <v>650</v>
      </c>
      <c r="J125" t="s" s="37">
        <v>651</v>
      </c>
      <c r="K125" t="s" s="40">
        <v>622</v>
      </c>
      <c r="L125" s="30"/>
    </row>
    <row r="126" ht="74.5" customHeight="1">
      <c r="A126" t="s" s="31">
        <v>878</v>
      </c>
      <c r="B126" t="s" s="32">
        <v>67</v>
      </c>
      <c r="C126" t="s" s="32">
        <v>66</v>
      </c>
      <c r="D126" t="s" s="32">
        <v>193</v>
      </c>
      <c r="E126" t="s" s="32">
        <v>630</v>
      </c>
      <c r="F126" t="s" s="32">
        <v>630</v>
      </c>
      <c r="G126" t="s" s="32">
        <v>387</v>
      </c>
      <c r="H126" t="s" s="32">
        <v>879</v>
      </c>
      <c r="I126" t="s" s="32">
        <v>650</v>
      </c>
      <c r="J126" t="s" s="32">
        <v>660</v>
      </c>
      <c r="K126" t="s" s="35">
        <v>630</v>
      </c>
      <c r="L126" s="30"/>
    </row>
    <row r="127" ht="74.5" customHeight="1">
      <c r="A127" t="s" s="36">
        <v>880</v>
      </c>
      <c r="B127" t="s" s="37">
        <v>67</v>
      </c>
      <c r="C127" t="s" s="37">
        <v>66</v>
      </c>
      <c r="D127" t="s" s="37">
        <v>193</v>
      </c>
      <c r="E127" t="s" s="37">
        <v>630</v>
      </c>
      <c r="F127" t="s" s="37">
        <v>630</v>
      </c>
      <c r="G127" t="s" s="37">
        <v>400</v>
      </c>
      <c r="H127" t="s" s="37">
        <v>881</v>
      </c>
      <c r="I127" t="s" s="37">
        <v>650</v>
      </c>
      <c r="J127" t="s" s="37">
        <v>660</v>
      </c>
      <c r="K127" t="s" s="40">
        <v>630</v>
      </c>
      <c r="L127" s="30"/>
    </row>
    <row r="128" ht="74.5" customHeight="1">
      <c r="A128" t="s" s="31">
        <v>882</v>
      </c>
      <c r="B128" t="s" s="32">
        <v>67</v>
      </c>
      <c r="C128" t="s" s="32">
        <v>66</v>
      </c>
      <c r="D128" t="s" s="32">
        <v>193</v>
      </c>
      <c r="E128" t="s" s="32">
        <v>630</v>
      </c>
      <c r="F128" t="s" s="32">
        <v>630</v>
      </c>
      <c r="G128" t="s" s="32">
        <v>412</v>
      </c>
      <c r="H128" t="s" s="32">
        <v>883</v>
      </c>
      <c r="I128" t="s" s="32">
        <v>650</v>
      </c>
      <c r="J128" t="s" s="32">
        <v>660</v>
      </c>
      <c r="K128" t="s" s="35">
        <v>630</v>
      </c>
      <c r="L128" s="30"/>
    </row>
    <row r="129" ht="74.5" customHeight="1">
      <c r="A129" t="s" s="36">
        <v>884</v>
      </c>
      <c r="B129" t="s" s="37">
        <v>67</v>
      </c>
      <c r="C129" t="s" s="37">
        <v>66</v>
      </c>
      <c r="D129" t="s" s="37">
        <v>193</v>
      </c>
      <c r="E129" t="s" s="37">
        <v>630</v>
      </c>
      <c r="F129" t="s" s="37">
        <v>630</v>
      </c>
      <c r="G129" t="s" s="37">
        <v>424</v>
      </c>
      <c r="H129" t="s" s="37">
        <v>885</v>
      </c>
      <c r="I129" t="s" s="37">
        <v>650</v>
      </c>
      <c r="J129" t="s" s="37">
        <v>660</v>
      </c>
      <c r="K129" t="s" s="40">
        <v>630</v>
      </c>
      <c r="L129" s="30"/>
    </row>
    <row r="130" ht="74.5" customHeight="1">
      <c r="A130" t="s" s="31">
        <v>886</v>
      </c>
      <c r="B130" t="s" s="32">
        <v>67</v>
      </c>
      <c r="C130" t="s" s="32">
        <v>66</v>
      </c>
      <c r="D130" t="s" s="32">
        <v>193</v>
      </c>
      <c r="E130" t="s" s="32">
        <v>630</v>
      </c>
      <c r="F130" t="s" s="32">
        <v>622</v>
      </c>
      <c r="G130" t="s" s="32">
        <v>387</v>
      </c>
      <c r="H130" t="s" s="32">
        <v>887</v>
      </c>
      <c r="I130" t="s" s="32">
        <v>669</v>
      </c>
      <c r="J130" t="s" s="32">
        <v>660</v>
      </c>
      <c r="K130" t="s" s="35">
        <v>630</v>
      </c>
      <c r="L130" s="30"/>
    </row>
    <row r="131" ht="74.5" customHeight="1">
      <c r="A131" t="s" s="36">
        <v>888</v>
      </c>
      <c r="B131" t="s" s="37">
        <v>67</v>
      </c>
      <c r="C131" t="s" s="37">
        <v>66</v>
      </c>
      <c r="D131" t="s" s="37">
        <v>193</v>
      </c>
      <c r="E131" t="s" s="37">
        <v>630</v>
      </c>
      <c r="F131" t="s" s="37">
        <v>622</v>
      </c>
      <c r="G131" t="s" s="37">
        <v>400</v>
      </c>
      <c r="H131" t="s" s="37">
        <v>889</v>
      </c>
      <c r="I131" t="s" s="37">
        <v>669</v>
      </c>
      <c r="J131" t="s" s="37">
        <v>660</v>
      </c>
      <c r="K131" t="s" s="40">
        <v>630</v>
      </c>
      <c r="L131" s="30"/>
    </row>
    <row r="132" ht="74.5" customHeight="1">
      <c r="A132" t="s" s="31">
        <v>890</v>
      </c>
      <c r="B132" t="s" s="32">
        <v>67</v>
      </c>
      <c r="C132" t="s" s="32">
        <v>66</v>
      </c>
      <c r="D132" t="s" s="32">
        <v>193</v>
      </c>
      <c r="E132" t="s" s="32">
        <v>630</v>
      </c>
      <c r="F132" t="s" s="32">
        <v>622</v>
      </c>
      <c r="G132" t="s" s="32">
        <v>412</v>
      </c>
      <c r="H132" t="s" s="32">
        <v>891</v>
      </c>
      <c r="I132" t="s" s="32">
        <v>669</v>
      </c>
      <c r="J132" t="s" s="32">
        <v>660</v>
      </c>
      <c r="K132" t="s" s="35">
        <v>630</v>
      </c>
      <c r="L132" s="30"/>
    </row>
    <row r="133" ht="74.5" customHeight="1">
      <c r="A133" t="s" s="36">
        <v>892</v>
      </c>
      <c r="B133" t="s" s="37">
        <v>67</v>
      </c>
      <c r="C133" t="s" s="37">
        <v>66</v>
      </c>
      <c r="D133" t="s" s="37">
        <v>193</v>
      </c>
      <c r="E133" t="s" s="37">
        <v>630</v>
      </c>
      <c r="F133" t="s" s="37">
        <v>622</v>
      </c>
      <c r="G133" t="s" s="37">
        <v>424</v>
      </c>
      <c r="H133" t="s" s="37">
        <v>893</v>
      </c>
      <c r="I133" t="s" s="37">
        <v>669</v>
      </c>
      <c r="J133" t="s" s="37">
        <v>660</v>
      </c>
      <c r="K133" t="s" s="40">
        <v>630</v>
      </c>
      <c r="L133" s="30"/>
    </row>
    <row r="134" ht="74.5" customHeight="1">
      <c r="A134" t="s" s="31">
        <v>894</v>
      </c>
      <c r="B134" t="s" s="32">
        <v>67</v>
      </c>
      <c r="C134" t="s" s="32">
        <v>66</v>
      </c>
      <c r="D134" t="s" s="32">
        <v>193</v>
      </c>
      <c r="E134" t="s" s="32">
        <v>622</v>
      </c>
      <c r="F134" t="s" s="32">
        <v>618</v>
      </c>
      <c r="G134" t="s" s="32">
        <v>387</v>
      </c>
      <c r="H134" t="s" s="32">
        <v>895</v>
      </c>
      <c r="I134" t="s" s="32">
        <v>678</v>
      </c>
      <c r="J134" t="s" s="32">
        <v>651</v>
      </c>
      <c r="K134" t="s" s="35">
        <v>622</v>
      </c>
      <c r="L134" s="30"/>
    </row>
    <row r="135" ht="74.5" customHeight="1">
      <c r="A135" t="s" s="36">
        <v>896</v>
      </c>
      <c r="B135" t="s" s="37">
        <v>67</v>
      </c>
      <c r="C135" t="s" s="37">
        <v>66</v>
      </c>
      <c r="D135" t="s" s="37">
        <v>193</v>
      </c>
      <c r="E135" t="s" s="37">
        <v>622</v>
      </c>
      <c r="F135" t="s" s="37">
        <v>618</v>
      </c>
      <c r="G135" t="s" s="37">
        <v>400</v>
      </c>
      <c r="H135" t="s" s="37">
        <v>897</v>
      </c>
      <c r="I135" t="s" s="37">
        <v>678</v>
      </c>
      <c r="J135" t="s" s="37">
        <v>651</v>
      </c>
      <c r="K135" t="s" s="40">
        <v>622</v>
      </c>
      <c r="L135" s="30"/>
    </row>
    <row r="136" ht="74.5" customHeight="1">
      <c r="A136" t="s" s="31">
        <v>898</v>
      </c>
      <c r="B136" t="s" s="32">
        <v>67</v>
      </c>
      <c r="C136" t="s" s="32">
        <v>66</v>
      </c>
      <c r="D136" t="s" s="32">
        <v>193</v>
      </c>
      <c r="E136" t="s" s="32">
        <v>622</v>
      </c>
      <c r="F136" t="s" s="32">
        <v>618</v>
      </c>
      <c r="G136" t="s" s="32">
        <v>412</v>
      </c>
      <c r="H136" t="s" s="32">
        <v>899</v>
      </c>
      <c r="I136" t="s" s="32">
        <v>678</v>
      </c>
      <c r="J136" t="s" s="32">
        <v>651</v>
      </c>
      <c r="K136" t="s" s="35">
        <v>622</v>
      </c>
      <c r="L136" s="30"/>
    </row>
    <row r="137" ht="74.5" customHeight="1">
      <c r="A137" t="s" s="36">
        <v>900</v>
      </c>
      <c r="B137" t="s" s="37">
        <v>67</v>
      </c>
      <c r="C137" t="s" s="37">
        <v>66</v>
      </c>
      <c r="D137" t="s" s="37">
        <v>193</v>
      </c>
      <c r="E137" t="s" s="37">
        <v>622</v>
      </c>
      <c r="F137" t="s" s="37">
        <v>618</v>
      </c>
      <c r="G137" t="s" s="37">
        <v>424</v>
      </c>
      <c r="H137" t="s" s="37">
        <v>901</v>
      </c>
      <c r="I137" t="s" s="37">
        <v>678</v>
      </c>
      <c r="J137" t="s" s="37">
        <v>651</v>
      </c>
      <c r="K137" t="s" s="40">
        <v>622</v>
      </c>
      <c r="L137" s="30"/>
    </row>
    <row r="138" ht="74.5" customHeight="1">
      <c r="A138" t="s" s="31">
        <v>902</v>
      </c>
      <c r="B138" t="s" s="32">
        <v>67</v>
      </c>
      <c r="C138" t="s" s="32">
        <v>66</v>
      </c>
      <c r="D138" t="s" s="32">
        <v>193</v>
      </c>
      <c r="E138" t="s" s="32">
        <v>622</v>
      </c>
      <c r="F138" t="s" s="32">
        <v>630</v>
      </c>
      <c r="G138" t="s" s="32">
        <v>387</v>
      </c>
      <c r="H138" t="s" s="32">
        <v>903</v>
      </c>
      <c r="I138" t="s" s="32">
        <v>687</v>
      </c>
      <c r="J138" t="s" s="32">
        <v>660</v>
      </c>
      <c r="K138" t="s" s="35">
        <v>630</v>
      </c>
      <c r="L138" s="30"/>
    </row>
    <row r="139" ht="74.5" customHeight="1">
      <c r="A139" t="s" s="36">
        <v>904</v>
      </c>
      <c r="B139" t="s" s="37">
        <v>67</v>
      </c>
      <c r="C139" t="s" s="37">
        <v>66</v>
      </c>
      <c r="D139" t="s" s="37">
        <v>193</v>
      </c>
      <c r="E139" t="s" s="37">
        <v>622</v>
      </c>
      <c r="F139" t="s" s="37">
        <v>630</v>
      </c>
      <c r="G139" t="s" s="37">
        <v>400</v>
      </c>
      <c r="H139" t="s" s="37">
        <v>905</v>
      </c>
      <c r="I139" t="s" s="37">
        <v>687</v>
      </c>
      <c r="J139" t="s" s="37">
        <v>660</v>
      </c>
      <c r="K139" t="s" s="40">
        <v>630</v>
      </c>
      <c r="L139" s="30"/>
    </row>
    <row r="140" ht="74.5" customHeight="1">
      <c r="A140" t="s" s="31">
        <v>906</v>
      </c>
      <c r="B140" t="s" s="32">
        <v>67</v>
      </c>
      <c r="C140" t="s" s="32">
        <v>66</v>
      </c>
      <c r="D140" t="s" s="32">
        <v>193</v>
      </c>
      <c r="E140" t="s" s="32">
        <v>622</v>
      </c>
      <c r="F140" t="s" s="32">
        <v>630</v>
      </c>
      <c r="G140" t="s" s="32">
        <v>412</v>
      </c>
      <c r="H140" t="s" s="32">
        <v>907</v>
      </c>
      <c r="I140" t="s" s="32">
        <v>687</v>
      </c>
      <c r="J140" t="s" s="32">
        <v>660</v>
      </c>
      <c r="K140" t="s" s="35">
        <v>630</v>
      </c>
      <c r="L140" s="30"/>
    </row>
    <row r="141" ht="74.5" customHeight="1">
      <c r="A141" t="s" s="36">
        <v>908</v>
      </c>
      <c r="B141" t="s" s="37">
        <v>67</v>
      </c>
      <c r="C141" t="s" s="37">
        <v>66</v>
      </c>
      <c r="D141" t="s" s="37">
        <v>193</v>
      </c>
      <c r="E141" t="s" s="37">
        <v>622</v>
      </c>
      <c r="F141" t="s" s="37">
        <v>630</v>
      </c>
      <c r="G141" t="s" s="37">
        <v>424</v>
      </c>
      <c r="H141" t="s" s="37">
        <v>909</v>
      </c>
      <c r="I141" t="s" s="37">
        <v>687</v>
      </c>
      <c r="J141" t="s" s="37">
        <v>660</v>
      </c>
      <c r="K141" t="s" s="40">
        <v>630</v>
      </c>
      <c r="L141" s="30"/>
    </row>
    <row r="142" ht="74.5" customHeight="1">
      <c r="A142" t="s" s="31">
        <v>910</v>
      </c>
      <c r="B142" t="s" s="32">
        <v>67</v>
      </c>
      <c r="C142" t="s" s="32">
        <v>66</v>
      </c>
      <c r="D142" t="s" s="32">
        <v>193</v>
      </c>
      <c r="E142" t="s" s="32">
        <v>622</v>
      </c>
      <c r="F142" t="s" s="32">
        <v>622</v>
      </c>
      <c r="G142" t="s" s="32">
        <v>387</v>
      </c>
      <c r="H142" t="s" s="32">
        <v>911</v>
      </c>
      <c r="I142" t="s" s="32">
        <v>687</v>
      </c>
      <c r="J142" t="s" s="32">
        <v>660</v>
      </c>
      <c r="K142" t="s" s="35">
        <v>641</v>
      </c>
      <c r="L142" s="30"/>
    </row>
    <row r="143" ht="74.5" customHeight="1">
      <c r="A143" t="s" s="36">
        <v>912</v>
      </c>
      <c r="B143" t="s" s="37">
        <v>67</v>
      </c>
      <c r="C143" t="s" s="37">
        <v>66</v>
      </c>
      <c r="D143" t="s" s="37">
        <v>193</v>
      </c>
      <c r="E143" t="s" s="37">
        <v>622</v>
      </c>
      <c r="F143" t="s" s="37">
        <v>622</v>
      </c>
      <c r="G143" t="s" s="37">
        <v>400</v>
      </c>
      <c r="H143" t="s" s="37">
        <v>913</v>
      </c>
      <c r="I143" t="s" s="37">
        <v>687</v>
      </c>
      <c r="J143" t="s" s="37">
        <v>660</v>
      </c>
      <c r="K143" t="s" s="40">
        <v>641</v>
      </c>
      <c r="L143" s="30"/>
    </row>
    <row r="144" ht="74.5" customHeight="1">
      <c r="A144" t="s" s="31">
        <v>914</v>
      </c>
      <c r="B144" t="s" s="32">
        <v>67</v>
      </c>
      <c r="C144" t="s" s="32">
        <v>66</v>
      </c>
      <c r="D144" t="s" s="32">
        <v>193</v>
      </c>
      <c r="E144" t="s" s="32">
        <v>622</v>
      </c>
      <c r="F144" t="s" s="32">
        <v>622</v>
      </c>
      <c r="G144" t="s" s="32">
        <v>412</v>
      </c>
      <c r="H144" t="s" s="32">
        <v>915</v>
      </c>
      <c r="I144" t="s" s="32">
        <v>687</v>
      </c>
      <c r="J144" t="s" s="32">
        <v>660</v>
      </c>
      <c r="K144" t="s" s="35">
        <v>641</v>
      </c>
      <c r="L144" s="30"/>
    </row>
    <row r="145" ht="74.5" customHeight="1">
      <c r="A145" t="s" s="36">
        <v>916</v>
      </c>
      <c r="B145" t="s" s="37">
        <v>67</v>
      </c>
      <c r="C145" t="s" s="37">
        <v>66</v>
      </c>
      <c r="D145" t="s" s="37">
        <v>193</v>
      </c>
      <c r="E145" t="s" s="37">
        <v>622</v>
      </c>
      <c r="F145" t="s" s="37">
        <v>622</v>
      </c>
      <c r="G145" t="s" s="37">
        <v>424</v>
      </c>
      <c r="H145" t="s" s="37">
        <v>917</v>
      </c>
      <c r="I145" t="s" s="37">
        <v>687</v>
      </c>
      <c r="J145" t="s" s="37">
        <v>660</v>
      </c>
      <c r="K145" t="s" s="40">
        <v>641</v>
      </c>
      <c r="L145" s="30"/>
    </row>
    <row r="146" ht="74.5" customHeight="1">
      <c r="A146" t="s" s="31">
        <v>918</v>
      </c>
      <c r="B146" t="s" s="32">
        <v>67</v>
      </c>
      <c r="C146" t="s" s="32">
        <v>66</v>
      </c>
      <c r="D146" t="s" s="32">
        <v>205</v>
      </c>
      <c r="E146" t="s" s="32">
        <v>618</v>
      </c>
      <c r="F146" t="s" s="32">
        <v>618</v>
      </c>
      <c r="G146" t="s" s="32">
        <v>387</v>
      </c>
      <c r="H146" t="s" s="32">
        <v>919</v>
      </c>
      <c r="I146" t="s" s="32">
        <v>620</v>
      </c>
      <c r="J146" t="s" s="32">
        <v>920</v>
      </c>
      <c r="K146" t="s" s="35">
        <v>622</v>
      </c>
      <c r="L146" s="30"/>
    </row>
    <row r="147" ht="74.5" customHeight="1">
      <c r="A147" t="s" s="36">
        <v>921</v>
      </c>
      <c r="B147" t="s" s="37">
        <v>67</v>
      </c>
      <c r="C147" t="s" s="37">
        <v>66</v>
      </c>
      <c r="D147" t="s" s="37">
        <v>205</v>
      </c>
      <c r="E147" t="s" s="37">
        <v>618</v>
      </c>
      <c r="F147" t="s" s="37">
        <v>618</v>
      </c>
      <c r="G147" t="s" s="37">
        <v>400</v>
      </c>
      <c r="H147" t="s" s="37">
        <v>922</v>
      </c>
      <c r="I147" t="s" s="37">
        <v>620</v>
      </c>
      <c r="J147" t="s" s="37">
        <v>920</v>
      </c>
      <c r="K147" t="s" s="40">
        <v>622</v>
      </c>
      <c r="L147" s="30"/>
    </row>
    <row r="148" ht="74.5" customHeight="1">
      <c r="A148" t="s" s="31">
        <v>923</v>
      </c>
      <c r="B148" t="s" s="32">
        <v>67</v>
      </c>
      <c r="C148" t="s" s="32">
        <v>66</v>
      </c>
      <c r="D148" t="s" s="32">
        <v>205</v>
      </c>
      <c r="E148" t="s" s="32">
        <v>618</v>
      </c>
      <c r="F148" t="s" s="32">
        <v>618</v>
      </c>
      <c r="G148" t="s" s="32">
        <v>412</v>
      </c>
      <c r="H148" t="s" s="32">
        <v>924</v>
      </c>
      <c r="I148" t="s" s="32">
        <v>620</v>
      </c>
      <c r="J148" t="s" s="32">
        <v>920</v>
      </c>
      <c r="K148" t="s" s="35">
        <v>622</v>
      </c>
      <c r="L148" s="30"/>
    </row>
    <row r="149" ht="74.5" customHeight="1">
      <c r="A149" t="s" s="36">
        <v>925</v>
      </c>
      <c r="B149" t="s" s="37">
        <v>67</v>
      </c>
      <c r="C149" t="s" s="37">
        <v>66</v>
      </c>
      <c r="D149" t="s" s="37">
        <v>205</v>
      </c>
      <c r="E149" t="s" s="37">
        <v>618</v>
      </c>
      <c r="F149" t="s" s="37">
        <v>618</v>
      </c>
      <c r="G149" t="s" s="37">
        <v>424</v>
      </c>
      <c r="H149" t="s" s="37">
        <v>926</v>
      </c>
      <c r="I149" t="s" s="37">
        <v>620</v>
      </c>
      <c r="J149" t="s" s="37">
        <v>920</v>
      </c>
      <c r="K149" t="s" s="40">
        <v>622</v>
      </c>
      <c r="L149" s="30"/>
    </row>
    <row r="150" ht="74.5" customHeight="1">
      <c r="A150" t="s" s="31">
        <v>927</v>
      </c>
      <c r="B150" t="s" s="32">
        <v>67</v>
      </c>
      <c r="C150" t="s" s="32">
        <v>66</v>
      </c>
      <c r="D150" t="s" s="32">
        <v>205</v>
      </c>
      <c r="E150" t="s" s="32">
        <v>618</v>
      </c>
      <c r="F150" t="s" s="32">
        <v>630</v>
      </c>
      <c r="G150" t="s" s="32">
        <v>387</v>
      </c>
      <c r="H150" t="s" s="32">
        <v>928</v>
      </c>
      <c r="I150" t="s" s="32">
        <v>620</v>
      </c>
      <c r="J150" t="s" s="32">
        <v>929</v>
      </c>
      <c r="K150" t="s" s="35">
        <v>622</v>
      </c>
      <c r="L150" s="30"/>
    </row>
    <row r="151" ht="74.5" customHeight="1">
      <c r="A151" t="s" s="36">
        <v>930</v>
      </c>
      <c r="B151" t="s" s="37">
        <v>67</v>
      </c>
      <c r="C151" t="s" s="37">
        <v>66</v>
      </c>
      <c r="D151" t="s" s="37">
        <v>205</v>
      </c>
      <c r="E151" t="s" s="37">
        <v>618</v>
      </c>
      <c r="F151" t="s" s="37">
        <v>630</v>
      </c>
      <c r="G151" t="s" s="37">
        <v>400</v>
      </c>
      <c r="H151" t="s" s="37">
        <v>931</v>
      </c>
      <c r="I151" t="s" s="37">
        <v>620</v>
      </c>
      <c r="J151" t="s" s="37">
        <v>929</v>
      </c>
      <c r="K151" t="s" s="40">
        <v>622</v>
      </c>
      <c r="L151" s="30"/>
    </row>
    <row r="152" ht="74.5" customHeight="1">
      <c r="A152" t="s" s="31">
        <v>932</v>
      </c>
      <c r="B152" t="s" s="32">
        <v>67</v>
      </c>
      <c r="C152" t="s" s="32">
        <v>66</v>
      </c>
      <c r="D152" t="s" s="32">
        <v>205</v>
      </c>
      <c r="E152" t="s" s="32">
        <v>618</v>
      </c>
      <c r="F152" t="s" s="32">
        <v>630</v>
      </c>
      <c r="G152" t="s" s="32">
        <v>412</v>
      </c>
      <c r="H152" t="s" s="32">
        <v>933</v>
      </c>
      <c r="I152" t="s" s="32">
        <v>620</v>
      </c>
      <c r="J152" t="s" s="32">
        <v>929</v>
      </c>
      <c r="K152" t="s" s="35">
        <v>622</v>
      </c>
      <c r="L152" s="30"/>
    </row>
    <row r="153" ht="74.5" customHeight="1">
      <c r="A153" t="s" s="36">
        <v>934</v>
      </c>
      <c r="B153" t="s" s="37">
        <v>67</v>
      </c>
      <c r="C153" t="s" s="37">
        <v>66</v>
      </c>
      <c r="D153" t="s" s="37">
        <v>205</v>
      </c>
      <c r="E153" t="s" s="37">
        <v>618</v>
      </c>
      <c r="F153" t="s" s="37">
        <v>630</v>
      </c>
      <c r="G153" t="s" s="37">
        <v>424</v>
      </c>
      <c r="H153" t="s" s="37">
        <v>935</v>
      </c>
      <c r="I153" t="s" s="37">
        <v>620</v>
      </c>
      <c r="J153" t="s" s="37">
        <v>929</v>
      </c>
      <c r="K153" t="s" s="40">
        <v>622</v>
      </c>
      <c r="L153" s="30"/>
    </row>
    <row r="154" ht="74.5" customHeight="1">
      <c r="A154" t="s" s="31">
        <v>936</v>
      </c>
      <c r="B154" t="s" s="32">
        <v>67</v>
      </c>
      <c r="C154" t="s" s="32">
        <v>66</v>
      </c>
      <c r="D154" t="s" s="32">
        <v>205</v>
      </c>
      <c r="E154" t="s" s="32">
        <v>618</v>
      </c>
      <c r="F154" t="s" s="32">
        <v>622</v>
      </c>
      <c r="G154" t="s" s="32">
        <v>387</v>
      </c>
      <c r="H154" t="s" s="32">
        <v>937</v>
      </c>
      <c r="I154" t="s" s="32">
        <v>620</v>
      </c>
      <c r="J154" t="s" s="32">
        <v>929</v>
      </c>
      <c r="K154" t="s" s="35">
        <v>641</v>
      </c>
      <c r="L154" s="30"/>
    </row>
    <row r="155" ht="74.5" customHeight="1">
      <c r="A155" t="s" s="36">
        <v>938</v>
      </c>
      <c r="B155" t="s" s="37">
        <v>67</v>
      </c>
      <c r="C155" t="s" s="37">
        <v>66</v>
      </c>
      <c r="D155" t="s" s="37">
        <v>205</v>
      </c>
      <c r="E155" t="s" s="37">
        <v>618</v>
      </c>
      <c r="F155" t="s" s="37">
        <v>622</v>
      </c>
      <c r="G155" t="s" s="37">
        <v>400</v>
      </c>
      <c r="H155" t="s" s="37">
        <v>939</v>
      </c>
      <c r="I155" t="s" s="37">
        <v>620</v>
      </c>
      <c r="J155" t="s" s="37">
        <v>929</v>
      </c>
      <c r="K155" t="s" s="40">
        <v>641</v>
      </c>
      <c r="L155" s="30"/>
    </row>
    <row r="156" ht="74.5" customHeight="1">
      <c r="A156" t="s" s="31">
        <v>940</v>
      </c>
      <c r="B156" t="s" s="32">
        <v>67</v>
      </c>
      <c r="C156" t="s" s="32">
        <v>66</v>
      </c>
      <c r="D156" t="s" s="32">
        <v>205</v>
      </c>
      <c r="E156" t="s" s="32">
        <v>618</v>
      </c>
      <c r="F156" t="s" s="32">
        <v>622</v>
      </c>
      <c r="G156" t="s" s="32">
        <v>412</v>
      </c>
      <c r="H156" t="s" s="32">
        <v>941</v>
      </c>
      <c r="I156" t="s" s="32">
        <v>620</v>
      </c>
      <c r="J156" t="s" s="32">
        <v>929</v>
      </c>
      <c r="K156" t="s" s="35">
        <v>641</v>
      </c>
      <c r="L156" s="30"/>
    </row>
    <row r="157" ht="74.5" customHeight="1">
      <c r="A157" t="s" s="36">
        <v>942</v>
      </c>
      <c r="B157" t="s" s="37">
        <v>67</v>
      </c>
      <c r="C157" t="s" s="37">
        <v>66</v>
      </c>
      <c r="D157" t="s" s="37">
        <v>205</v>
      </c>
      <c r="E157" t="s" s="37">
        <v>618</v>
      </c>
      <c r="F157" t="s" s="37">
        <v>622</v>
      </c>
      <c r="G157" t="s" s="37">
        <v>424</v>
      </c>
      <c r="H157" t="s" s="37">
        <v>943</v>
      </c>
      <c r="I157" t="s" s="37">
        <v>620</v>
      </c>
      <c r="J157" t="s" s="37">
        <v>929</v>
      </c>
      <c r="K157" t="s" s="40">
        <v>641</v>
      </c>
      <c r="L157" s="30"/>
    </row>
    <row r="158" ht="74.5" customHeight="1">
      <c r="A158" t="s" s="31">
        <v>944</v>
      </c>
      <c r="B158" t="s" s="32">
        <v>67</v>
      </c>
      <c r="C158" t="s" s="32">
        <v>66</v>
      </c>
      <c r="D158" t="s" s="32">
        <v>205</v>
      </c>
      <c r="E158" t="s" s="32">
        <v>630</v>
      </c>
      <c r="F158" t="s" s="32">
        <v>618</v>
      </c>
      <c r="G158" t="s" s="32">
        <v>387</v>
      </c>
      <c r="H158" t="s" s="32">
        <v>945</v>
      </c>
      <c r="I158" t="s" s="32">
        <v>650</v>
      </c>
      <c r="J158" t="s" s="32">
        <v>946</v>
      </c>
      <c r="K158" t="s" s="35">
        <v>622</v>
      </c>
      <c r="L158" s="30"/>
    </row>
    <row r="159" ht="74.5" customHeight="1">
      <c r="A159" t="s" s="36">
        <v>947</v>
      </c>
      <c r="B159" t="s" s="37">
        <v>67</v>
      </c>
      <c r="C159" t="s" s="37">
        <v>66</v>
      </c>
      <c r="D159" t="s" s="37">
        <v>205</v>
      </c>
      <c r="E159" t="s" s="37">
        <v>630</v>
      </c>
      <c r="F159" t="s" s="37">
        <v>618</v>
      </c>
      <c r="G159" t="s" s="37">
        <v>400</v>
      </c>
      <c r="H159" t="s" s="37">
        <v>948</v>
      </c>
      <c r="I159" t="s" s="37">
        <v>650</v>
      </c>
      <c r="J159" t="s" s="37">
        <v>946</v>
      </c>
      <c r="K159" t="s" s="40">
        <v>622</v>
      </c>
      <c r="L159" s="30"/>
    </row>
    <row r="160" ht="74.5" customHeight="1">
      <c r="A160" t="s" s="31">
        <v>949</v>
      </c>
      <c r="B160" t="s" s="32">
        <v>67</v>
      </c>
      <c r="C160" t="s" s="32">
        <v>66</v>
      </c>
      <c r="D160" t="s" s="32">
        <v>205</v>
      </c>
      <c r="E160" t="s" s="32">
        <v>630</v>
      </c>
      <c r="F160" t="s" s="32">
        <v>618</v>
      </c>
      <c r="G160" t="s" s="32">
        <v>412</v>
      </c>
      <c r="H160" t="s" s="32">
        <v>950</v>
      </c>
      <c r="I160" t="s" s="32">
        <v>650</v>
      </c>
      <c r="J160" t="s" s="32">
        <v>946</v>
      </c>
      <c r="K160" t="s" s="35">
        <v>622</v>
      </c>
      <c r="L160" s="30"/>
    </row>
    <row r="161" ht="74.5" customHeight="1">
      <c r="A161" t="s" s="36">
        <v>951</v>
      </c>
      <c r="B161" t="s" s="37">
        <v>67</v>
      </c>
      <c r="C161" t="s" s="37">
        <v>66</v>
      </c>
      <c r="D161" t="s" s="37">
        <v>205</v>
      </c>
      <c r="E161" t="s" s="37">
        <v>630</v>
      </c>
      <c r="F161" t="s" s="37">
        <v>618</v>
      </c>
      <c r="G161" t="s" s="37">
        <v>424</v>
      </c>
      <c r="H161" t="s" s="37">
        <v>952</v>
      </c>
      <c r="I161" t="s" s="37">
        <v>650</v>
      </c>
      <c r="J161" t="s" s="37">
        <v>946</v>
      </c>
      <c r="K161" t="s" s="40">
        <v>622</v>
      </c>
      <c r="L161" s="30"/>
    </row>
    <row r="162" ht="74.5" customHeight="1">
      <c r="A162" t="s" s="31">
        <v>953</v>
      </c>
      <c r="B162" t="s" s="32">
        <v>67</v>
      </c>
      <c r="C162" t="s" s="32">
        <v>66</v>
      </c>
      <c r="D162" t="s" s="32">
        <v>205</v>
      </c>
      <c r="E162" t="s" s="32">
        <v>630</v>
      </c>
      <c r="F162" t="s" s="32">
        <v>630</v>
      </c>
      <c r="G162" t="s" s="32">
        <v>387</v>
      </c>
      <c r="H162" t="s" s="32">
        <v>954</v>
      </c>
      <c r="I162" t="s" s="32">
        <v>650</v>
      </c>
      <c r="J162" t="s" s="32">
        <v>955</v>
      </c>
      <c r="K162" t="s" s="35">
        <v>630</v>
      </c>
      <c r="L162" s="30"/>
    </row>
    <row r="163" ht="74.5" customHeight="1">
      <c r="A163" t="s" s="36">
        <v>956</v>
      </c>
      <c r="B163" t="s" s="37">
        <v>67</v>
      </c>
      <c r="C163" t="s" s="37">
        <v>66</v>
      </c>
      <c r="D163" t="s" s="37">
        <v>205</v>
      </c>
      <c r="E163" t="s" s="37">
        <v>630</v>
      </c>
      <c r="F163" t="s" s="37">
        <v>630</v>
      </c>
      <c r="G163" t="s" s="37">
        <v>400</v>
      </c>
      <c r="H163" t="s" s="37">
        <v>957</v>
      </c>
      <c r="I163" t="s" s="37">
        <v>650</v>
      </c>
      <c r="J163" t="s" s="37">
        <v>955</v>
      </c>
      <c r="K163" t="s" s="40">
        <v>630</v>
      </c>
      <c r="L163" s="30"/>
    </row>
    <row r="164" ht="74.5" customHeight="1">
      <c r="A164" t="s" s="31">
        <v>958</v>
      </c>
      <c r="B164" t="s" s="32">
        <v>67</v>
      </c>
      <c r="C164" t="s" s="32">
        <v>66</v>
      </c>
      <c r="D164" t="s" s="32">
        <v>205</v>
      </c>
      <c r="E164" t="s" s="32">
        <v>630</v>
      </c>
      <c r="F164" t="s" s="32">
        <v>630</v>
      </c>
      <c r="G164" t="s" s="32">
        <v>412</v>
      </c>
      <c r="H164" t="s" s="32">
        <v>959</v>
      </c>
      <c r="I164" t="s" s="32">
        <v>650</v>
      </c>
      <c r="J164" t="s" s="32">
        <v>955</v>
      </c>
      <c r="K164" t="s" s="35">
        <v>630</v>
      </c>
      <c r="L164" s="30"/>
    </row>
    <row r="165" ht="74.5" customHeight="1">
      <c r="A165" t="s" s="36">
        <v>960</v>
      </c>
      <c r="B165" t="s" s="37">
        <v>67</v>
      </c>
      <c r="C165" t="s" s="37">
        <v>66</v>
      </c>
      <c r="D165" t="s" s="37">
        <v>205</v>
      </c>
      <c r="E165" t="s" s="37">
        <v>630</v>
      </c>
      <c r="F165" t="s" s="37">
        <v>630</v>
      </c>
      <c r="G165" t="s" s="37">
        <v>424</v>
      </c>
      <c r="H165" t="s" s="37">
        <v>961</v>
      </c>
      <c r="I165" t="s" s="37">
        <v>650</v>
      </c>
      <c r="J165" t="s" s="37">
        <v>955</v>
      </c>
      <c r="K165" t="s" s="40">
        <v>630</v>
      </c>
      <c r="L165" s="30"/>
    </row>
    <row r="166" ht="74.5" customHeight="1">
      <c r="A166" t="s" s="31">
        <v>962</v>
      </c>
      <c r="B166" t="s" s="32">
        <v>67</v>
      </c>
      <c r="C166" t="s" s="32">
        <v>66</v>
      </c>
      <c r="D166" t="s" s="32">
        <v>205</v>
      </c>
      <c r="E166" t="s" s="32">
        <v>630</v>
      </c>
      <c r="F166" t="s" s="32">
        <v>622</v>
      </c>
      <c r="G166" t="s" s="32">
        <v>387</v>
      </c>
      <c r="H166" t="s" s="32">
        <v>963</v>
      </c>
      <c r="I166" t="s" s="32">
        <v>669</v>
      </c>
      <c r="J166" t="s" s="32">
        <v>955</v>
      </c>
      <c r="K166" t="s" s="35">
        <v>630</v>
      </c>
      <c r="L166" s="30"/>
    </row>
    <row r="167" ht="74.5" customHeight="1">
      <c r="A167" t="s" s="36">
        <v>964</v>
      </c>
      <c r="B167" t="s" s="37">
        <v>67</v>
      </c>
      <c r="C167" t="s" s="37">
        <v>66</v>
      </c>
      <c r="D167" t="s" s="37">
        <v>205</v>
      </c>
      <c r="E167" t="s" s="37">
        <v>630</v>
      </c>
      <c r="F167" t="s" s="37">
        <v>622</v>
      </c>
      <c r="G167" t="s" s="37">
        <v>400</v>
      </c>
      <c r="H167" t="s" s="37">
        <v>965</v>
      </c>
      <c r="I167" t="s" s="37">
        <v>669</v>
      </c>
      <c r="J167" t="s" s="37">
        <v>955</v>
      </c>
      <c r="K167" t="s" s="40">
        <v>630</v>
      </c>
      <c r="L167" s="30"/>
    </row>
    <row r="168" ht="74.5" customHeight="1">
      <c r="A168" t="s" s="31">
        <v>966</v>
      </c>
      <c r="B168" t="s" s="32">
        <v>67</v>
      </c>
      <c r="C168" t="s" s="32">
        <v>66</v>
      </c>
      <c r="D168" t="s" s="32">
        <v>205</v>
      </c>
      <c r="E168" t="s" s="32">
        <v>630</v>
      </c>
      <c r="F168" t="s" s="32">
        <v>622</v>
      </c>
      <c r="G168" t="s" s="32">
        <v>412</v>
      </c>
      <c r="H168" t="s" s="32">
        <v>967</v>
      </c>
      <c r="I168" t="s" s="32">
        <v>669</v>
      </c>
      <c r="J168" t="s" s="32">
        <v>955</v>
      </c>
      <c r="K168" t="s" s="35">
        <v>630</v>
      </c>
      <c r="L168" s="30"/>
    </row>
    <row r="169" ht="74.5" customHeight="1">
      <c r="A169" t="s" s="36">
        <v>968</v>
      </c>
      <c r="B169" t="s" s="37">
        <v>67</v>
      </c>
      <c r="C169" t="s" s="37">
        <v>66</v>
      </c>
      <c r="D169" t="s" s="37">
        <v>205</v>
      </c>
      <c r="E169" t="s" s="37">
        <v>630</v>
      </c>
      <c r="F169" t="s" s="37">
        <v>622</v>
      </c>
      <c r="G169" t="s" s="37">
        <v>424</v>
      </c>
      <c r="H169" t="s" s="37">
        <v>969</v>
      </c>
      <c r="I169" t="s" s="37">
        <v>669</v>
      </c>
      <c r="J169" t="s" s="37">
        <v>955</v>
      </c>
      <c r="K169" t="s" s="40">
        <v>630</v>
      </c>
      <c r="L169" s="30"/>
    </row>
    <row r="170" ht="74.5" customHeight="1">
      <c r="A170" t="s" s="31">
        <v>970</v>
      </c>
      <c r="B170" t="s" s="32">
        <v>67</v>
      </c>
      <c r="C170" t="s" s="32">
        <v>66</v>
      </c>
      <c r="D170" t="s" s="32">
        <v>205</v>
      </c>
      <c r="E170" t="s" s="32">
        <v>622</v>
      </c>
      <c r="F170" t="s" s="32">
        <v>618</v>
      </c>
      <c r="G170" t="s" s="32">
        <v>387</v>
      </c>
      <c r="H170" t="s" s="32">
        <v>971</v>
      </c>
      <c r="I170" t="s" s="32">
        <v>678</v>
      </c>
      <c r="J170" t="s" s="32">
        <v>946</v>
      </c>
      <c r="K170" t="s" s="35">
        <v>622</v>
      </c>
      <c r="L170" s="30"/>
    </row>
    <row r="171" ht="74.5" customHeight="1">
      <c r="A171" t="s" s="36">
        <v>972</v>
      </c>
      <c r="B171" t="s" s="37">
        <v>67</v>
      </c>
      <c r="C171" t="s" s="37">
        <v>66</v>
      </c>
      <c r="D171" t="s" s="37">
        <v>205</v>
      </c>
      <c r="E171" t="s" s="37">
        <v>622</v>
      </c>
      <c r="F171" t="s" s="37">
        <v>618</v>
      </c>
      <c r="G171" t="s" s="37">
        <v>400</v>
      </c>
      <c r="H171" t="s" s="37">
        <v>973</v>
      </c>
      <c r="I171" t="s" s="37">
        <v>678</v>
      </c>
      <c r="J171" t="s" s="37">
        <v>946</v>
      </c>
      <c r="K171" t="s" s="40">
        <v>622</v>
      </c>
      <c r="L171" s="30"/>
    </row>
    <row r="172" ht="74.5" customHeight="1">
      <c r="A172" t="s" s="31">
        <v>974</v>
      </c>
      <c r="B172" t="s" s="32">
        <v>67</v>
      </c>
      <c r="C172" t="s" s="32">
        <v>66</v>
      </c>
      <c r="D172" t="s" s="32">
        <v>205</v>
      </c>
      <c r="E172" t="s" s="32">
        <v>622</v>
      </c>
      <c r="F172" t="s" s="32">
        <v>618</v>
      </c>
      <c r="G172" t="s" s="32">
        <v>412</v>
      </c>
      <c r="H172" t="s" s="32">
        <v>975</v>
      </c>
      <c r="I172" t="s" s="32">
        <v>678</v>
      </c>
      <c r="J172" t="s" s="32">
        <v>946</v>
      </c>
      <c r="K172" t="s" s="35">
        <v>622</v>
      </c>
      <c r="L172" s="30"/>
    </row>
    <row r="173" ht="74.5" customHeight="1">
      <c r="A173" t="s" s="36">
        <v>976</v>
      </c>
      <c r="B173" t="s" s="37">
        <v>67</v>
      </c>
      <c r="C173" t="s" s="37">
        <v>66</v>
      </c>
      <c r="D173" t="s" s="37">
        <v>205</v>
      </c>
      <c r="E173" t="s" s="37">
        <v>622</v>
      </c>
      <c r="F173" t="s" s="37">
        <v>618</v>
      </c>
      <c r="G173" t="s" s="37">
        <v>424</v>
      </c>
      <c r="H173" t="s" s="37">
        <v>977</v>
      </c>
      <c r="I173" t="s" s="37">
        <v>678</v>
      </c>
      <c r="J173" t="s" s="37">
        <v>946</v>
      </c>
      <c r="K173" t="s" s="40">
        <v>622</v>
      </c>
      <c r="L173" s="30"/>
    </row>
    <row r="174" ht="74.5" customHeight="1">
      <c r="A174" t="s" s="31">
        <v>978</v>
      </c>
      <c r="B174" t="s" s="32">
        <v>67</v>
      </c>
      <c r="C174" t="s" s="32">
        <v>66</v>
      </c>
      <c r="D174" t="s" s="32">
        <v>205</v>
      </c>
      <c r="E174" t="s" s="32">
        <v>622</v>
      </c>
      <c r="F174" t="s" s="32">
        <v>630</v>
      </c>
      <c r="G174" t="s" s="32">
        <v>387</v>
      </c>
      <c r="H174" t="s" s="32">
        <v>979</v>
      </c>
      <c r="I174" t="s" s="32">
        <v>687</v>
      </c>
      <c r="J174" t="s" s="32">
        <v>955</v>
      </c>
      <c r="K174" t="s" s="35">
        <v>630</v>
      </c>
      <c r="L174" s="30"/>
    </row>
    <row r="175" ht="74.5" customHeight="1">
      <c r="A175" t="s" s="36">
        <v>980</v>
      </c>
      <c r="B175" t="s" s="37">
        <v>67</v>
      </c>
      <c r="C175" t="s" s="37">
        <v>66</v>
      </c>
      <c r="D175" t="s" s="37">
        <v>205</v>
      </c>
      <c r="E175" t="s" s="37">
        <v>622</v>
      </c>
      <c r="F175" t="s" s="37">
        <v>630</v>
      </c>
      <c r="G175" t="s" s="37">
        <v>400</v>
      </c>
      <c r="H175" t="s" s="37">
        <v>981</v>
      </c>
      <c r="I175" t="s" s="37">
        <v>687</v>
      </c>
      <c r="J175" t="s" s="37">
        <v>955</v>
      </c>
      <c r="K175" t="s" s="40">
        <v>630</v>
      </c>
      <c r="L175" s="30"/>
    </row>
    <row r="176" ht="74.5" customHeight="1">
      <c r="A176" t="s" s="31">
        <v>982</v>
      </c>
      <c r="B176" t="s" s="32">
        <v>67</v>
      </c>
      <c r="C176" t="s" s="32">
        <v>66</v>
      </c>
      <c r="D176" t="s" s="32">
        <v>205</v>
      </c>
      <c r="E176" t="s" s="32">
        <v>622</v>
      </c>
      <c r="F176" t="s" s="32">
        <v>630</v>
      </c>
      <c r="G176" t="s" s="32">
        <v>412</v>
      </c>
      <c r="H176" t="s" s="32">
        <v>983</v>
      </c>
      <c r="I176" t="s" s="32">
        <v>687</v>
      </c>
      <c r="J176" t="s" s="32">
        <v>955</v>
      </c>
      <c r="K176" t="s" s="35">
        <v>630</v>
      </c>
      <c r="L176" s="30"/>
    </row>
    <row r="177" ht="74.5" customHeight="1">
      <c r="A177" t="s" s="36">
        <v>984</v>
      </c>
      <c r="B177" t="s" s="37">
        <v>67</v>
      </c>
      <c r="C177" t="s" s="37">
        <v>66</v>
      </c>
      <c r="D177" t="s" s="37">
        <v>205</v>
      </c>
      <c r="E177" t="s" s="37">
        <v>622</v>
      </c>
      <c r="F177" t="s" s="37">
        <v>630</v>
      </c>
      <c r="G177" t="s" s="37">
        <v>424</v>
      </c>
      <c r="H177" t="s" s="37">
        <v>985</v>
      </c>
      <c r="I177" t="s" s="37">
        <v>687</v>
      </c>
      <c r="J177" t="s" s="37">
        <v>955</v>
      </c>
      <c r="K177" t="s" s="40">
        <v>630</v>
      </c>
      <c r="L177" s="30"/>
    </row>
    <row r="178" ht="74.5" customHeight="1">
      <c r="A178" t="s" s="31">
        <v>986</v>
      </c>
      <c r="B178" t="s" s="32">
        <v>67</v>
      </c>
      <c r="C178" t="s" s="32">
        <v>66</v>
      </c>
      <c r="D178" t="s" s="32">
        <v>205</v>
      </c>
      <c r="E178" t="s" s="32">
        <v>622</v>
      </c>
      <c r="F178" t="s" s="32">
        <v>622</v>
      </c>
      <c r="G178" t="s" s="32">
        <v>387</v>
      </c>
      <c r="H178" t="s" s="32">
        <v>987</v>
      </c>
      <c r="I178" t="s" s="32">
        <v>687</v>
      </c>
      <c r="J178" t="s" s="32">
        <v>955</v>
      </c>
      <c r="K178" t="s" s="35">
        <v>641</v>
      </c>
      <c r="L178" s="30"/>
    </row>
    <row r="179" ht="74.5" customHeight="1">
      <c r="A179" t="s" s="36">
        <v>988</v>
      </c>
      <c r="B179" t="s" s="37">
        <v>67</v>
      </c>
      <c r="C179" t="s" s="37">
        <v>66</v>
      </c>
      <c r="D179" t="s" s="37">
        <v>205</v>
      </c>
      <c r="E179" t="s" s="37">
        <v>622</v>
      </c>
      <c r="F179" t="s" s="37">
        <v>622</v>
      </c>
      <c r="G179" t="s" s="37">
        <v>400</v>
      </c>
      <c r="H179" t="s" s="37">
        <v>989</v>
      </c>
      <c r="I179" t="s" s="37">
        <v>687</v>
      </c>
      <c r="J179" t="s" s="37">
        <v>955</v>
      </c>
      <c r="K179" t="s" s="40">
        <v>641</v>
      </c>
      <c r="L179" s="30"/>
    </row>
    <row r="180" ht="74.5" customHeight="1">
      <c r="A180" t="s" s="31">
        <v>990</v>
      </c>
      <c r="B180" t="s" s="32">
        <v>67</v>
      </c>
      <c r="C180" t="s" s="32">
        <v>66</v>
      </c>
      <c r="D180" t="s" s="32">
        <v>205</v>
      </c>
      <c r="E180" t="s" s="32">
        <v>622</v>
      </c>
      <c r="F180" t="s" s="32">
        <v>622</v>
      </c>
      <c r="G180" t="s" s="32">
        <v>412</v>
      </c>
      <c r="H180" t="s" s="32">
        <v>991</v>
      </c>
      <c r="I180" t="s" s="32">
        <v>687</v>
      </c>
      <c r="J180" t="s" s="32">
        <v>955</v>
      </c>
      <c r="K180" t="s" s="35">
        <v>641</v>
      </c>
      <c r="L180" s="30"/>
    </row>
    <row r="181" ht="74.5" customHeight="1">
      <c r="A181" t="s" s="36">
        <v>992</v>
      </c>
      <c r="B181" t="s" s="37">
        <v>67</v>
      </c>
      <c r="C181" t="s" s="37">
        <v>66</v>
      </c>
      <c r="D181" t="s" s="37">
        <v>205</v>
      </c>
      <c r="E181" t="s" s="37">
        <v>622</v>
      </c>
      <c r="F181" t="s" s="37">
        <v>622</v>
      </c>
      <c r="G181" t="s" s="37">
        <v>424</v>
      </c>
      <c r="H181" t="s" s="37">
        <v>993</v>
      </c>
      <c r="I181" t="s" s="37">
        <v>687</v>
      </c>
      <c r="J181" t="s" s="37">
        <v>955</v>
      </c>
      <c r="K181" t="s" s="40">
        <v>641</v>
      </c>
      <c r="L181" s="30"/>
    </row>
    <row r="182" ht="74.5" customHeight="1">
      <c r="A182" t="s" s="31">
        <v>994</v>
      </c>
      <c r="B182" t="s" s="32">
        <v>92</v>
      </c>
      <c r="C182" t="s" s="32">
        <v>91</v>
      </c>
      <c r="D182" t="s" s="32">
        <v>156</v>
      </c>
      <c r="E182" t="s" s="32">
        <v>618</v>
      </c>
      <c r="F182" t="s" s="32">
        <v>618</v>
      </c>
      <c r="G182" t="s" s="32">
        <v>387</v>
      </c>
      <c r="H182" t="s" s="32">
        <v>995</v>
      </c>
      <c r="I182" t="s" s="32">
        <v>996</v>
      </c>
      <c r="J182" t="s" s="32">
        <v>621</v>
      </c>
      <c r="K182" t="s" s="35">
        <v>622</v>
      </c>
      <c r="L182" s="30"/>
    </row>
    <row r="183" ht="74.5" customHeight="1">
      <c r="A183" t="s" s="36">
        <v>997</v>
      </c>
      <c r="B183" t="s" s="37">
        <v>92</v>
      </c>
      <c r="C183" t="s" s="37">
        <v>91</v>
      </c>
      <c r="D183" t="s" s="37">
        <v>156</v>
      </c>
      <c r="E183" t="s" s="37">
        <v>618</v>
      </c>
      <c r="F183" t="s" s="37">
        <v>618</v>
      </c>
      <c r="G183" t="s" s="37">
        <v>400</v>
      </c>
      <c r="H183" t="s" s="37">
        <v>998</v>
      </c>
      <c r="I183" t="s" s="37">
        <v>996</v>
      </c>
      <c r="J183" t="s" s="37">
        <v>621</v>
      </c>
      <c r="K183" t="s" s="40">
        <v>622</v>
      </c>
      <c r="L183" s="30"/>
    </row>
    <row r="184" ht="74.5" customHeight="1">
      <c r="A184" t="s" s="31">
        <v>999</v>
      </c>
      <c r="B184" t="s" s="32">
        <v>92</v>
      </c>
      <c r="C184" t="s" s="32">
        <v>91</v>
      </c>
      <c r="D184" t="s" s="32">
        <v>156</v>
      </c>
      <c r="E184" t="s" s="32">
        <v>618</v>
      </c>
      <c r="F184" t="s" s="32">
        <v>618</v>
      </c>
      <c r="G184" t="s" s="32">
        <v>412</v>
      </c>
      <c r="H184" t="s" s="32">
        <v>1000</v>
      </c>
      <c r="I184" t="s" s="32">
        <v>996</v>
      </c>
      <c r="J184" t="s" s="32">
        <v>621</v>
      </c>
      <c r="K184" t="s" s="35">
        <v>622</v>
      </c>
      <c r="L184" s="30"/>
    </row>
    <row r="185" ht="74.5" customHeight="1">
      <c r="A185" t="s" s="36">
        <v>1001</v>
      </c>
      <c r="B185" t="s" s="37">
        <v>92</v>
      </c>
      <c r="C185" t="s" s="37">
        <v>91</v>
      </c>
      <c r="D185" t="s" s="37">
        <v>156</v>
      </c>
      <c r="E185" t="s" s="37">
        <v>618</v>
      </c>
      <c r="F185" t="s" s="37">
        <v>618</v>
      </c>
      <c r="G185" t="s" s="37">
        <v>424</v>
      </c>
      <c r="H185" t="s" s="37">
        <v>1002</v>
      </c>
      <c r="I185" t="s" s="37">
        <v>996</v>
      </c>
      <c r="J185" t="s" s="37">
        <v>621</v>
      </c>
      <c r="K185" t="s" s="40">
        <v>622</v>
      </c>
      <c r="L185" s="30"/>
    </row>
    <row r="186" ht="74.5" customHeight="1">
      <c r="A186" t="s" s="31">
        <v>1003</v>
      </c>
      <c r="B186" t="s" s="32">
        <v>92</v>
      </c>
      <c r="C186" t="s" s="32">
        <v>91</v>
      </c>
      <c r="D186" t="s" s="32">
        <v>156</v>
      </c>
      <c r="E186" t="s" s="32">
        <v>618</v>
      </c>
      <c r="F186" t="s" s="32">
        <v>630</v>
      </c>
      <c r="G186" t="s" s="32">
        <v>387</v>
      </c>
      <c r="H186" t="s" s="32">
        <v>1004</v>
      </c>
      <c r="I186" t="s" s="32">
        <v>996</v>
      </c>
      <c r="J186" t="s" s="32">
        <v>632</v>
      </c>
      <c r="K186" t="s" s="35">
        <v>622</v>
      </c>
      <c r="L186" s="30"/>
    </row>
    <row r="187" ht="74.5" customHeight="1">
      <c r="A187" t="s" s="36">
        <v>1005</v>
      </c>
      <c r="B187" t="s" s="37">
        <v>92</v>
      </c>
      <c r="C187" t="s" s="37">
        <v>91</v>
      </c>
      <c r="D187" t="s" s="37">
        <v>156</v>
      </c>
      <c r="E187" t="s" s="37">
        <v>618</v>
      </c>
      <c r="F187" t="s" s="37">
        <v>630</v>
      </c>
      <c r="G187" t="s" s="37">
        <v>400</v>
      </c>
      <c r="H187" t="s" s="37">
        <v>1006</v>
      </c>
      <c r="I187" t="s" s="37">
        <v>996</v>
      </c>
      <c r="J187" t="s" s="37">
        <v>632</v>
      </c>
      <c r="K187" t="s" s="40">
        <v>622</v>
      </c>
      <c r="L187" s="30"/>
    </row>
    <row r="188" ht="74.5" customHeight="1">
      <c r="A188" t="s" s="31">
        <v>1007</v>
      </c>
      <c r="B188" t="s" s="32">
        <v>92</v>
      </c>
      <c r="C188" t="s" s="32">
        <v>91</v>
      </c>
      <c r="D188" t="s" s="32">
        <v>156</v>
      </c>
      <c r="E188" t="s" s="32">
        <v>618</v>
      </c>
      <c r="F188" t="s" s="32">
        <v>630</v>
      </c>
      <c r="G188" t="s" s="32">
        <v>412</v>
      </c>
      <c r="H188" t="s" s="32">
        <v>1008</v>
      </c>
      <c r="I188" t="s" s="32">
        <v>996</v>
      </c>
      <c r="J188" t="s" s="32">
        <v>632</v>
      </c>
      <c r="K188" t="s" s="35">
        <v>622</v>
      </c>
      <c r="L188" s="30"/>
    </row>
    <row r="189" ht="74.5" customHeight="1">
      <c r="A189" t="s" s="36">
        <v>1009</v>
      </c>
      <c r="B189" t="s" s="37">
        <v>92</v>
      </c>
      <c r="C189" t="s" s="37">
        <v>91</v>
      </c>
      <c r="D189" t="s" s="37">
        <v>156</v>
      </c>
      <c r="E189" t="s" s="37">
        <v>618</v>
      </c>
      <c r="F189" t="s" s="37">
        <v>630</v>
      </c>
      <c r="G189" t="s" s="37">
        <v>424</v>
      </c>
      <c r="H189" t="s" s="37">
        <v>1010</v>
      </c>
      <c r="I189" t="s" s="37">
        <v>996</v>
      </c>
      <c r="J189" t="s" s="37">
        <v>632</v>
      </c>
      <c r="K189" t="s" s="40">
        <v>622</v>
      </c>
      <c r="L189" s="30"/>
    </row>
    <row r="190" ht="74.5" customHeight="1">
      <c r="A190" t="s" s="31">
        <v>1011</v>
      </c>
      <c r="B190" t="s" s="32">
        <v>92</v>
      </c>
      <c r="C190" t="s" s="32">
        <v>91</v>
      </c>
      <c r="D190" t="s" s="32">
        <v>156</v>
      </c>
      <c r="E190" t="s" s="32">
        <v>618</v>
      </c>
      <c r="F190" t="s" s="32">
        <v>622</v>
      </c>
      <c r="G190" t="s" s="32">
        <v>387</v>
      </c>
      <c r="H190" t="s" s="32">
        <v>1012</v>
      </c>
      <c r="I190" t="s" s="32">
        <v>996</v>
      </c>
      <c r="J190" t="s" s="32">
        <v>632</v>
      </c>
      <c r="K190" t="s" s="35">
        <v>641</v>
      </c>
      <c r="L190" s="30"/>
    </row>
    <row r="191" ht="74.5" customHeight="1">
      <c r="A191" t="s" s="36">
        <v>1013</v>
      </c>
      <c r="B191" t="s" s="37">
        <v>92</v>
      </c>
      <c r="C191" t="s" s="37">
        <v>91</v>
      </c>
      <c r="D191" t="s" s="37">
        <v>156</v>
      </c>
      <c r="E191" t="s" s="37">
        <v>618</v>
      </c>
      <c r="F191" t="s" s="37">
        <v>622</v>
      </c>
      <c r="G191" t="s" s="37">
        <v>400</v>
      </c>
      <c r="H191" t="s" s="37">
        <v>1014</v>
      </c>
      <c r="I191" t="s" s="37">
        <v>996</v>
      </c>
      <c r="J191" t="s" s="37">
        <v>632</v>
      </c>
      <c r="K191" t="s" s="40">
        <v>641</v>
      </c>
      <c r="L191" s="30"/>
    </row>
    <row r="192" ht="74.5" customHeight="1">
      <c r="A192" t="s" s="31">
        <v>1015</v>
      </c>
      <c r="B192" t="s" s="32">
        <v>92</v>
      </c>
      <c r="C192" t="s" s="32">
        <v>91</v>
      </c>
      <c r="D192" t="s" s="32">
        <v>156</v>
      </c>
      <c r="E192" t="s" s="32">
        <v>618</v>
      </c>
      <c r="F192" t="s" s="32">
        <v>622</v>
      </c>
      <c r="G192" t="s" s="32">
        <v>412</v>
      </c>
      <c r="H192" t="s" s="32">
        <v>1016</v>
      </c>
      <c r="I192" t="s" s="32">
        <v>996</v>
      </c>
      <c r="J192" t="s" s="32">
        <v>632</v>
      </c>
      <c r="K192" t="s" s="35">
        <v>641</v>
      </c>
      <c r="L192" s="30"/>
    </row>
    <row r="193" ht="74.5" customHeight="1">
      <c r="A193" t="s" s="36">
        <v>1017</v>
      </c>
      <c r="B193" t="s" s="37">
        <v>92</v>
      </c>
      <c r="C193" t="s" s="37">
        <v>91</v>
      </c>
      <c r="D193" t="s" s="37">
        <v>156</v>
      </c>
      <c r="E193" t="s" s="37">
        <v>618</v>
      </c>
      <c r="F193" t="s" s="37">
        <v>622</v>
      </c>
      <c r="G193" t="s" s="37">
        <v>424</v>
      </c>
      <c r="H193" t="s" s="37">
        <v>1018</v>
      </c>
      <c r="I193" t="s" s="37">
        <v>996</v>
      </c>
      <c r="J193" t="s" s="37">
        <v>632</v>
      </c>
      <c r="K193" t="s" s="40">
        <v>641</v>
      </c>
      <c r="L193" s="30"/>
    </row>
    <row r="194" ht="74.5" customHeight="1">
      <c r="A194" t="s" s="31">
        <v>1019</v>
      </c>
      <c r="B194" t="s" s="32">
        <v>92</v>
      </c>
      <c r="C194" t="s" s="32">
        <v>91</v>
      </c>
      <c r="D194" t="s" s="32">
        <v>156</v>
      </c>
      <c r="E194" t="s" s="32">
        <v>630</v>
      </c>
      <c r="F194" t="s" s="32">
        <v>618</v>
      </c>
      <c r="G194" t="s" s="32">
        <v>387</v>
      </c>
      <c r="H194" t="s" s="32">
        <v>1020</v>
      </c>
      <c r="I194" t="s" s="32">
        <v>1021</v>
      </c>
      <c r="J194" t="s" s="32">
        <v>651</v>
      </c>
      <c r="K194" t="s" s="35">
        <v>622</v>
      </c>
      <c r="L194" s="30"/>
    </row>
    <row r="195" ht="74.5" customHeight="1">
      <c r="A195" t="s" s="36">
        <v>1022</v>
      </c>
      <c r="B195" t="s" s="37">
        <v>92</v>
      </c>
      <c r="C195" t="s" s="37">
        <v>91</v>
      </c>
      <c r="D195" t="s" s="37">
        <v>156</v>
      </c>
      <c r="E195" t="s" s="37">
        <v>630</v>
      </c>
      <c r="F195" t="s" s="37">
        <v>618</v>
      </c>
      <c r="G195" t="s" s="37">
        <v>400</v>
      </c>
      <c r="H195" t="s" s="37">
        <v>1023</v>
      </c>
      <c r="I195" t="s" s="37">
        <v>1021</v>
      </c>
      <c r="J195" t="s" s="37">
        <v>651</v>
      </c>
      <c r="K195" t="s" s="40">
        <v>622</v>
      </c>
      <c r="L195" s="30"/>
    </row>
    <row r="196" ht="74.5" customHeight="1">
      <c r="A196" t="s" s="31">
        <v>1024</v>
      </c>
      <c r="B196" t="s" s="32">
        <v>92</v>
      </c>
      <c r="C196" t="s" s="32">
        <v>91</v>
      </c>
      <c r="D196" t="s" s="32">
        <v>156</v>
      </c>
      <c r="E196" t="s" s="32">
        <v>630</v>
      </c>
      <c r="F196" t="s" s="32">
        <v>618</v>
      </c>
      <c r="G196" t="s" s="32">
        <v>412</v>
      </c>
      <c r="H196" t="s" s="32">
        <v>1025</v>
      </c>
      <c r="I196" t="s" s="32">
        <v>1021</v>
      </c>
      <c r="J196" t="s" s="32">
        <v>651</v>
      </c>
      <c r="K196" t="s" s="35">
        <v>622</v>
      </c>
      <c r="L196" s="30"/>
    </row>
    <row r="197" ht="74.5" customHeight="1">
      <c r="A197" t="s" s="36">
        <v>1026</v>
      </c>
      <c r="B197" t="s" s="37">
        <v>92</v>
      </c>
      <c r="C197" t="s" s="37">
        <v>91</v>
      </c>
      <c r="D197" t="s" s="37">
        <v>156</v>
      </c>
      <c r="E197" t="s" s="37">
        <v>630</v>
      </c>
      <c r="F197" t="s" s="37">
        <v>618</v>
      </c>
      <c r="G197" t="s" s="37">
        <v>424</v>
      </c>
      <c r="H197" t="s" s="37">
        <v>1027</v>
      </c>
      <c r="I197" t="s" s="37">
        <v>1021</v>
      </c>
      <c r="J197" t="s" s="37">
        <v>651</v>
      </c>
      <c r="K197" t="s" s="40">
        <v>622</v>
      </c>
      <c r="L197" s="30"/>
    </row>
    <row r="198" ht="74.5" customHeight="1">
      <c r="A198" t="s" s="31">
        <v>1028</v>
      </c>
      <c r="B198" t="s" s="32">
        <v>92</v>
      </c>
      <c r="C198" t="s" s="32">
        <v>91</v>
      </c>
      <c r="D198" t="s" s="32">
        <v>156</v>
      </c>
      <c r="E198" t="s" s="32">
        <v>630</v>
      </c>
      <c r="F198" t="s" s="32">
        <v>630</v>
      </c>
      <c r="G198" t="s" s="32">
        <v>387</v>
      </c>
      <c r="H198" t="s" s="32">
        <v>1029</v>
      </c>
      <c r="I198" t="s" s="32">
        <v>1021</v>
      </c>
      <c r="J198" t="s" s="32">
        <v>660</v>
      </c>
      <c r="K198" t="s" s="35">
        <v>630</v>
      </c>
      <c r="L198" s="30"/>
    </row>
    <row r="199" ht="74.5" customHeight="1">
      <c r="A199" t="s" s="36">
        <v>1030</v>
      </c>
      <c r="B199" t="s" s="37">
        <v>92</v>
      </c>
      <c r="C199" t="s" s="37">
        <v>91</v>
      </c>
      <c r="D199" t="s" s="37">
        <v>156</v>
      </c>
      <c r="E199" t="s" s="37">
        <v>630</v>
      </c>
      <c r="F199" t="s" s="37">
        <v>630</v>
      </c>
      <c r="G199" t="s" s="37">
        <v>400</v>
      </c>
      <c r="H199" t="s" s="37">
        <v>1031</v>
      </c>
      <c r="I199" t="s" s="37">
        <v>1021</v>
      </c>
      <c r="J199" t="s" s="37">
        <v>660</v>
      </c>
      <c r="K199" t="s" s="40">
        <v>630</v>
      </c>
      <c r="L199" s="30"/>
    </row>
    <row r="200" ht="74.5" customHeight="1">
      <c r="A200" t="s" s="31">
        <v>1032</v>
      </c>
      <c r="B200" t="s" s="32">
        <v>92</v>
      </c>
      <c r="C200" t="s" s="32">
        <v>91</v>
      </c>
      <c r="D200" t="s" s="32">
        <v>156</v>
      </c>
      <c r="E200" t="s" s="32">
        <v>630</v>
      </c>
      <c r="F200" t="s" s="32">
        <v>630</v>
      </c>
      <c r="G200" t="s" s="32">
        <v>412</v>
      </c>
      <c r="H200" t="s" s="32">
        <v>1033</v>
      </c>
      <c r="I200" t="s" s="32">
        <v>1021</v>
      </c>
      <c r="J200" t="s" s="32">
        <v>660</v>
      </c>
      <c r="K200" t="s" s="35">
        <v>630</v>
      </c>
      <c r="L200" s="30"/>
    </row>
    <row r="201" ht="74.5" customHeight="1">
      <c r="A201" t="s" s="36">
        <v>1034</v>
      </c>
      <c r="B201" t="s" s="37">
        <v>92</v>
      </c>
      <c r="C201" t="s" s="37">
        <v>91</v>
      </c>
      <c r="D201" t="s" s="37">
        <v>156</v>
      </c>
      <c r="E201" t="s" s="37">
        <v>630</v>
      </c>
      <c r="F201" t="s" s="37">
        <v>630</v>
      </c>
      <c r="G201" t="s" s="37">
        <v>424</v>
      </c>
      <c r="H201" t="s" s="37">
        <v>1035</v>
      </c>
      <c r="I201" t="s" s="37">
        <v>1021</v>
      </c>
      <c r="J201" t="s" s="37">
        <v>660</v>
      </c>
      <c r="K201" t="s" s="40">
        <v>630</v>
      </c>
      <c r="L201" s="30"/>
    </row>
    <row r="202" ht="74.5" customHeight="1">
      <c r="A202" t="s" s="31">
        <v>1036</v>
      </c>
      <c r="B202" t="s" s="32">
        <v>92</v>
      </c>
      <c r="C202" t="s" s="32">
        <v>91</v>
      </c>
      <c r="D202" t="s" s="32">
        <v>156</v>
      </c>
      <c r="E202" t="s" s="32">
        <v>630</v>
      </c>
      <c r="F202" t="s" s="32">
        <v>622</v>
      </c>
      <c r="G202" t="s" s="32">
        <v>387</v>
      </c>
      <c r="H202" t="s" s="32">
        <v>1037</v>
      </c>
      <c r="I202" t="s" s="32">
        <v>1038</v>
      </c>
      <c r="J202" t="s" s="32">
        <v>660</v>
      </c>
      <c r="K202" t="s" s="35">
        <v>630</v>
      </c>
      <c r="L202" s="30"/>
    </row>
    <row r="203" ht="74.5" customHeight="1">
      <c r="A203" t="s" s="36">
        <v>1039</v>
      </c>
      <c r="B203" t="s" s="37">
        <v>92</v>
      </c>
      <c r="C203" t="s" s="37">
        <v>91</v>
      </c>
      <c r="D203" t="s" s="37">
        <v>156</v>
      </c>
      <c r="E203" t="s" s="37">
        <v>630</v>
      </c>
      <c r="F203" t="s" s="37">
        <v>622</v>
      </c>
      <c r="G203" t="s" s="37">
        <v>400</v>
      </c>
      <c r="H203" t="s" s="37">
        <v>1040</v>
      </c>
      <c r="I203" t="s" s="37">
        <v>1038</v>
      </c>
      <c r="J203" t="s" s="37">
        <v>660</v>
      </c>
      <c r="K203" t="s" s="40">
        <v>630</v>
      </c>
      <c r="L203" s="30"/>
    </row>
    <row r="204" ht="74.5" customHeight="1">
      <c r="A204" t="s" s="31">
        <v>1041</v>
      </c>
      <c r="B204" t="s" s="32">
        <v>92</v>
      </c>
      <c r="C204" t="s" s="32">
        <v>91</v>
      </c>
      <c r="D204" t="s" s="32">
        <v>156</v>
      </c>
      <c r="E204" t="s" s="32">
        <v>630</v>
      </c>
      <c r="F204" t="s" s="32">
        <v>622</v>
      </c>
      <c r="G204" t="s" s="32">
        <v>412</v>
      </c>
      <c r="H204" t="s" s="32">
        <v>1042</v>
      </c>
      <c r="I204" t="s" s="32">
        <v>1038</v>
      </c>
      <c r="J204" t="s" s="32">
        <v>660</v>
      </c>
      <c r="K204" t="s" s="35">
        <v>630</v>
      </c>
      <c r="L204" s="30"/>
    </row>
    <row r="205" ht="74.5" customHeight="1">
      <c r="A205" t="s" s="36">
        <v>1043</v>
      </c>
      <c r="B205" t="s" s="37">
        <v>92</v>
      </c>
      <c r="C205" t="s" s="37">
        <v>91</v>
      </c>
      <c r="D205" t="s" s="37">
        <v>156</v>
      </c>
      <c r="E205" t="s" s="37">
        <v>630</v>
      </c>
      <c r="F205" t="s" s="37">
        <v>622</v>
      </c>
      <c r="G205" t="s" s="37">
        <v>424</v>
      </c>
      <c r="H205" t="s" s="37">
        <v>1044</v>
      </c>
      <c r="I205" t="s" s="37">
        <v>1038</v>
      </c>
      <c r="J205" t="s" s="37">
        <v>660</v>
      </c>
      <c r="K205" t="s" s="40">
        <v>630</v>
      </c>
      <c r="L205" s="30"/>
    </row>
    <row r="206" ht="74.5" customHeight="1">
      <c r="A206" t="s" s="31">
        <v>1045</v>
      </c>
      <c r="B206" t="s" s="32">
        <v>92</v>
      </c>
      <c r="C206" t="s" s="32">
        <v>91</v>
      </c>
      <c r="D206" t="s" s="32">
        <v>156</v>
      </c>
      <c r="E206" t="s" s="32">
        <v>622</v>
      </c>
      <c r="F206" t="s" s="32">
        <v>618</v>
      </c>
      <c r="G206" t="s" s="32">
        <v>387</v>
      </c>
      <c r="H206" t="s" s="32">
        <v>1046</v>
      </c>
      <c r="I206" t="s" s="32">
        <v>1047</v>
      </c>
      <c r="J206" t="s" s="32">
        <v>651</v>
      </c>
      <c r="K206" t="s" s="35">
        <v>622</v>
      </c>
      <c r="L206" s="30"/>
    </row>
    <row r="207" ht="74.5" customHeight="1">
      <c r="A207" t="s" s="36">
        <v>1048</v>
      </c>
      <c r="B207" t="s" s="37">
        <v>92</v>
      </c>
      <c r="C207" t="s" s="37">
        <v>91</v>
      </c>
      <c r="D207" t="s" s="37">
        <v>156</v>
      </c>
      <c r="E207" t="s" s="37">
        <v>622</v>
      </c>
      <c r="F207" t="s" s="37">
        <v>618</v>
      </c>
      <c r="G207" t="s" s="37">
        <v>400</v>
      </c>
      <c r="H207" t="s" s="37">
        <v>1049</v>
      </c>
      <c r="I207" t="s" s="37">
        <v>1047</v>
      </c>
      <c r="J207" t="s" s="37">
        <v>651</v>
      </c>
      <c r="K207" t="s" s="40">
        <v>622</v>
      </c>
      <c r="L207" s="30"/>
    </row>
    <row r="208" ht="74.5" customHeight="1">
      <c r="A208" t="s" s="31">
        <v>1050</v>
      </c>
      <c r="B208" t="s" s="32">
        <v>92</v>
      </c>
      <c r="C208" t="s" s="32">
        <v>91</v>
      </c>
      <c r="D208" t="s" s="32">
        <v>156</v>
      </c>
      <c r="E208" t="s" s="32">
        <v>622</v>
      </c>
      <c r="F208" t="s" s="32">
        <v>618</v>
      </c>
      <c r="G208" t="s" s="32">
        <v>412</v>
      </c>
      <c r="H208" t="s" s="32">
        <v>1051</v>
      </c>
      <c r="I208" t="s" s="32">
        <v>1047</v>
      </c>
      <c r="J208" t="s" s="32">
        <v>651</v>
      </c>
      <c r="K208" t="s" s="35">
        <v>622</v>
      </c>
      <c r="L208" s="30"/>
    </row>
    <row r="209" ht="74.5" customHeight="1">
      <c r="A209" t="s" s="36">
        <v>1052</v>
      </c>
      <c r="B209" t="s" s="37">
        <v>92</v>
      </c>
      <c r="C209" t="s" s="37">
        <v>91</v>
      </c>
      <c r="D209" t="s" s="37">
        <v>156</v>
      </c>
      <c r="E209" t="s" s="37">
        <v>622</v>
      </c>
      <c r="F209" t="s" s="37">
        <v>618</v>
      </c>
      <c r="G209" t="s" s="37">
        <v>424</v>
      </c>
      <c r="H209" t="s" s="37">
        <v>1053</v>
      </c>
      <c r="I209" t="s" s="37">
        <v>1047</v>
      </c>
      <c r="J209" t="s" s="37">
        <v>651</v>
      </c>
      <c r="K209" t="s" s="40">
        <v>622</v>
      </c>
      <c r="L209" s="30"/>
    </row>
    <row r="210" ht="74.5" customHeight="1">
      <c r="A210" t="s" s="31">
        <v>1054</v>
      </c>
      <c r="B210" t="s" s="32">
        <v>92</v>
      </c>
      <c r="C210" t="s" s="32">
        <v>91</v>
      </c>
      <c r="D210" t="s" s="32">
        <v>156</v>
      </c>
      <c r="E210" t="s" s="32">
        <v>622</v>
      </c>
      <c r="F210" t="s" s="32">
        <v>630</v>
      </c>
      <c r="G210" t="s" s="32">
        <v>387</v>
      </c>
      <c r="H210" t="s" s="32">
        <v>1055</v>
      </c>
      <c r="I210" t="s" s="32">
        <v>1056</v>
      </c>
      <c r="J210" t="s" s="32">
        <v>660</v>
      </c>
      <c r="K210" t="s" s="35">
        <v>630</v>
      </c>
      <c r="L210" s="30"/>
    </row>
    <row r="211" ht="74.5" customHeight="1">
      <c r="A211" t="s" s="36">
        <v>1057</v>
      </c>
      <c r="B211" t="s" s="37">
        <v>92</v>
      </c>
      <c r="C211" t="s" s="37">
        <v>91</v>
      </c>
      <c r="D211" t="s" s="37">
        <v>156</v>
      </c>
      <c r="E211" t="s" s="37">
        <v>622</v>
      </c>
      <c r="F211" t="s" s="37">
        <v>630</v>
      </c>
      <c r="G211" t="s" s="37">
        <v>400</v>
      </c>
      <c r="H211" t="s" s="37">
        <v>1058</v>
      </c>
      <c r="I211" t="s" s="37">
        <v>1056</v>
      </c>
      <c r="J211" t="s" s="37">
        <v>660</v>
      </c>
      <c r="K211" t="s" s="40">
        <v>630</v>
      </c>
      <c r="L211" s="30"/>
    </row>
    <row r="212" ht="74.5" customHeight="1">
      <c r="A212" t="s" s="31">
        <v>1059</v>
      </c>
      <c r="B212" t="s" s="32">
        <v>92</v>
      </c>
      <c r="C212" t="s" s="32">
        <v>91</v>
      </c>
      <c r="D212" t="s" s="32">
        <v>156</v>
      </c>
      <c r="E212" t="s" s="32">
        <v>622</v>
      </c>
      <c r="F212" t="s" s="32">
        <v>630</v>
      </c>
      <c r="G212" t="s" s="32">
        <v>412</v>
      </c>
      <c r="H212" t="s" s="32">
        <v>1060</v>
      </c>
      <c r="I212" t="s" s="32">
        <v>1056</v>
      </c>
      <c r="J212" t="s" s="32">
        <v>660</v>
      </c>
      <c r="K212" t="s" s="35">
        <v>630</v>
      </c>
      <c r="L212" s="30"/>
    </row>
    <row r="213" ht="74.5" customHeight="1">
      <c r="A213" t="s" s="36">
        <v>1061</v>
      </c>
      <c r="B213" t="s" s="37">
        <v>92</v>
      </c>
      <c r="C213" t="s" s="37">
        <v>91</v>
      </c>
      <c r="D213" t="s" s="37">
        <v>156</v>
      </c>
      <c r="E213" t="s" s="37">
        <v>622</v>
      </c>
      <c r="F213" t="s" s="37">
        <v>630</v>
      </c>
      <c r="G213" t="s" s="37">
        <v>424</v>
      </c>
      <c r="H213" t="s" s="37">
        <v>1062</v>
      </c>
      <c r="I213" t="s" s="37">
        <v>1056</v>
      </c>
      <c r="J213" t="s" s="37">
        <v>660</v>
      </c>
      <c r="K213" t="s" s="40">
        <v>630</v>
      </c>
      <c r="L213" s="30"/>
    </row>
    <row r="214" ht="74.5" customHeight="1">
      <c r="A214" t="s" s="31">
        <v>1063</v>
      </c>
      <c r="B214" t="s" s="32">
        <v>92</v>
      </c>
      <c r="C214" t="s" s="32">
        <v>91</v>
      </c>
      <c r="D214" t="s" s="32">
        <v>156</v>
      </c>
      <c r="E214" t="s" s="32">
        <v>622</v>
      </c>
      <c r="F214" t="s" s="32">
        <v>622</v>
      </c>
      <c r="G214" t="s" s="32">
        <v>387</v>
      </c>
      <c r="H214" t="s" s="32">
        <v>1064</v>
      </c>
      <c r="I214" t="s" s="32">
        <v>1056</v>
      </c>
      <c r="J214" t="s" s="32">
        <v>660</v>
      </c>
      <c r="K214" t="s" s="35">
        <v>641</v>
      </c>
      <c r="L214" s="30"/>
    </row>
    <row r="215" ht="74.5" customHeight="1">
      <c r="A215" t="s" s="36">
        <v>1065</v>
      </c>
      <c r="B215" t="s" s="37">
        <v>92</v>
      </c>
      <c r="C215" t="s" s="37">
        <v>91</v>
      </c>
      <c r="D215" t="s" s="37">
        <v>156</v>
      </c>
      <c r="E215" t="s" s="37">
        <v>622</v>
      </c>
      <c r="F215" t="s" s="37">
        <v>622</v>
      </c>
      <c r="G215" t="s" s="37">
        <v>400</v>
      </c>
      <c r="H215" t="s" s="37">
        <v>1066</v>
      </c>
      <c r="I215" t="s" s="37">
        <v>1056</v>
      </c>
      <c r="J215" t="s" s="37">
        <v>660</v>
      </c>
      <c r="K215" t="s" s="40">
        <v>641</v>
      </c>
      <c r="L215" s="30"/>
    </row>
    <row r="216" ht="74.5" customHeight="1">
      <c r="A216" t="s" s="31">
        <v>1067</v>
      </c>
      <c r="B216" t="s" s="32">
        <v>92</v>
      </c>
      <c r="C216" t="s" s="32">
        <v>91</v>
      </c>
      <c r="D216" t="s" s="32">
        <v>156</v>
      </c>
      <c r="E216" t="s" s="32">
        <v>622</v>
      </c>
      <c r="F216" t="s" s="32">
        <v>622</v>
      </c>
      <c r="G216" t="s" s="32">
        <v>412</v>
      </c>
      <c r="H216" t="s" s="32">
        <v>1068</v>
      </c>
      <c r="I216" t="s" s="32">
        <v>1056</v>
      </c>
      <c r="J216" t="s" s="32">
        <v>660</v>
      </c>
      <c r="K216" t="s" s="35">
        <v>641</v>
      </c>
      <c r="L216" s="30"/>
    </row>
    <row r="217" ht="74.5" customHeight="1">
      <c r="A217" t="s" s="36">
        <v>1069</v>
      </c>
      <c r="B217" t="s" s="37">
        <v>92</v>
      </c>
      <c r="C217" t="s" s="37">
        <v>91</v>
      </c>
      <c r="D217" t="s" s="37">
        <v>156</v>
      </c>
      <c r="E217" t="s" s="37">
        <v>622</v>
      </c>
      <c r="F217" t="s" s="37">
        <v>622</v>
      </c>
      <c r="G217" t="s" s="37">
        <v>424</v>
      </c>
      <c r="H217" t="s" s="37">
        <v>1070</v>
      </c>
      <c r="I217" t="s" s="37">
        <v>1056</v>
      </c>
      <c r="J217" t="s" s="37">
        <v>660</v>
      </c>
      <c r="K217" t="s" s="40">
        <v>641</v>
      </c>
      <c r="L217" s="30"/>
    </row>
    <row r="218" ht="74.5" customHeight="1">
      <c r="A218" t="s" s="31">
        <v>1071</v>
      </c>
      <c r="B218" t="s" s="32">
        <v>92</v>
      </c>
      <c r="C218" t="s" s="32">
        <v>91</v>
      </c>
      <c r="D218" t="s" s="32">
        <v>169</v>
      </c>
      <c r="E218" t="s" s="32">
        <v>618</v>
      </c>
      <c r="F218" t="s" s="32">
        <v>618</v>
      </c>
      <c r="G218" t="s" s="32">
        <v>387</v>
      </c>
      <c r="H218" t="s" s="32">
        <v>1072</v>
      </c>
      <c r="I218" t="s" s="32">
        <v>996</v>
      </c>
      <c r="J218" t="s" s="32">
        <v>621</v>
      </c>
      <c r="K218" t="s" s="35">
        <v>622</v>
      </c>
      <c r="L218" s="30"/>
    </row>
    <row r="219" ht="74.5" customHeight="1">
      <c r="A219" t="s" s="36">
        <v>1073</v>
      </c>
      <c r="B219" t="s" s="37">
        <v>92</v>
      </c>
      <c r="C219" t="s" s="37">
        <v>91</v>
      </c>
      <c r="D219" t="s" s="37">
        <v>169</v>
      </c>
      <c r="E219" t="s" s="37">
        <v>618</v>
      </c>
      <c r="F219" t="s" s="37">
        <v>618</v>
      </c>
      <c r="G219" t="s" s="37">
        <v>400</v>
      </c>
      <c r="H219" t="s" s="37">
        <v>1074</v>
      </c>
      <c r="I219" t="s" s="37">
        <v>996</v>
      </c>
      <c r="J219" t="s" s="37">
        <v>621</v>
      </c>
      <c r="K219" t="s" s="40">
        <v>622</v>
      </c>
      <c r="L219" s="30"/>
    </row>
    <row r="220" ht="74.5" customHeight="1">
      <c r="A220" t="s" s="31">
        <v>1075</v>
      </c>
      <c r="B220" t="s" s="32">
        <v>92</v>
      </c>
      <c r="C220" t="s" s="32">
        <v>91</v>
      </c>
      <c r="D220" t="s" s="32">
        <v>169</v>
      </c>
      <c r="E220" t="s" s="32">
        <v>618</v>
      </c>
      <c r="F220" t="s" s="32">
        <v>618</v>
      </c>
      <c r="G220" t="s" s="32">
        <v>412</v>
      </c>
      <c r="H220" t="s" s="32">
        <v>1076</v>
      </c>
      <c r="I220" t="s" s="32">
        <v>996</v>
      </c>
      <c r="J220" t="s" s="32">
        <v>621</v>
      </c>
      <c r="K220" t="s" s="35">
        <v>622</v>
      </c>
      <c r="L220" s="30"/>
    </row>
    <row r="221" ht="74.5" customHeight="1">
      <c r="A221" t="s" s="36">
        <v>1077</v>
      </c>
      <c r="B221" t="s" s="37">
        <v>92</v>
      </c>
      <c r="C221" t="s" s="37">
        <v>91</v>
      </c>
      <c r="D221" t="s" s="37">
        <v>169</v>
      </c>
      <c r="E221" t="s" s="37">
        <v>618</v>
      </c>
      <c r="F221" t="s" s="37">
        <v>618</v>
      </c>
      <c r="G221" t="s" s="37">
        <v>424</v>
      </c>
      <c r="H221" t="s" s="37">
        <v>1078</v>
      </c>
      <c r="I221" t="s" s="37">
        <v>996</v>
      </c>
      <c r="J221" t="s" s="37">
        <v>621</v>
      </c>
      <c r="K221" t="s" s="40">
        <v>622</v>
      </c>
      <c r="L221" s="30"/>
    </row>
    <row r="222" ht="74.5" customHeight="1">
      <c r="A222" t="s" s="31">
        <v>1079</v>
      </c>
      <c r="B222" t="s" s="32">
        <v>92</v>
      </c>
      <c r="C222" t="s" s="32">
        <v>91</v>
      </c>
      <c r="D222" t="s" s="32">
        <v>169</v>
      </c>
      <c r="E222" t="s" s="32">
        <v>618</v>
      </c>
      <c r="F222" t="s" s="32">
        <v>630</v>
      </c>
      <c r="G222" t="s" s="32">
        <v>387</v>
      </c>
      <c r="H222" t="s" s="32">
        <v>1080</v>
      </c>
      <c r="I222" t="s" s="32">
        <v>996</v>
      </c>
      <c r="J222" t="s" s="32">
        <v>632</v>
      </c>
      <c r="K222" t="s" s="35">
        <v>622</v>
      </c>
      <c r="L222" s="30"/>
    </row>
    <row r="223" ht="74.5" customHeight="1">
      <c r="A223" t="s" s="36">
        <v>1081</v>
      </c>
      <c r="B223" t="s" s="37">
        <v>92</v>
      </c>
      <c r="C223" t="s" s="37">
        <v>91</v>
      </c>
      <c r="D223" t="s" s="37">
        <v>169</v>
      </c>
      <c r="E223" t="s" s="37">
        <v>618</v>
      </c>
      <c r="F223" t="s" s="37">
        <v>630</v>
      </c>
      <c r="G223" t="s" s="37">
        <v>400</v>
      </c>
      <c r="H223" t="s" s="37">
        <v>1082</v>
      </c>
      <c r="I223" t="s" s="37">
        <v>996</v>
      </c>
      <c r="J223" t="s" s="37">
        <v>632</v>
      </c>
      <c r="K223" t="s" s="40">
        <v>622</v>
      </c>
      <c r="L223" s="30"/>
    </row>
    <row r="224" ht="74.5" customHeight="1">
      <c r="A224" t="s" s="31">
        <v>1083</v>
      </c>
      <c r="B224" t="s" s="32">
        <v>92</v>
      </c>
      <c r="C224" t="s" s="32">
        <v>91</v>
      </c>
      <c r="D224" t="s" s="32">
        <v>169</v>
      </c>
      <c r="E224" t="s" s="32">
        <v>618</v>
      </c>
      <c r="F224" t="s" s="32">
        <v>630</v>
      </c>
      <c r="G224" t="s" s="32">
        <v>412</v>
      </c>
      <c r="H224" t="s" s="32">
        <v>1084</v>
      </c>
      <c r="I224" t="s" s="32">
        <v>996</v>
      </c>
      <c r="J224" t="s" s="32">
        <v>632</v>
      </c>
      <c r="K224" t="s" s="35">
        <v>622</v>
      </c>
      <c r="L224" s="30"/>
    </row>
    <row r="225" ht="74.5" customHeight="1">
      <c r="A225" t="s" s="36">
        <v>1085</v>
      </c>
      <c r="B225" t="s" s="37">
        <v>92</v>
      </c>
      <c r="C225" t="s" s="37">
        <v>91</v>
      </c>
      <c r="D225" t="s" s="37">
        <v>169</v>
      </c>
      <c r="E225" t="s" s="37">
        <v>618</v>
      </c>
      <c r="F225" t="s" s="37">
        <v>630</v>
      </c>
      <c r="G225" t="s" s="37">
        <v>424</v>
      </c>
      <c r="H225" t="s" s="37">
        <v>1086</v>
      </c>
      <c r="I225" t="s" s="37">
        <v>996</v>
      </c>
      <c r="J225" t="s" s="37">
        <v>632</v>
      </c>
      <c r="K225" t="s" s="40">
        <v>622</v>
      </c>
      <c r="L225" s="30"/>
    </row>
    <row r="226" ht="74.5" customHeight="1">
      <c r="A226" t="s" s="31">
        <v>1087</v>
      </c>
      <c r="B226" t="s" s="32">
        <v>92</v>
      </c>
      <c r="C226" t="s" s="32">
        <v>91</v>
      </c>
      <c r="D226" t="s" s="32">
        <v>169</v>
      </c>
      <c r="E226" t="s" s="32">
        <v>618</v>
      </c>
      <c r="F226" t="s" s="32">
        <v>622</v>
      </c>
      <c r="G226" t="s" s="32">
        <v>387</v>
      </c>
      <c r="H226" t="s" s="32">
        <v>1088</v>
      </c>
      <c r="I226" t="s" s="32">
        <v>996</v>
      </c>
      <c r="J226" t="s" s="32">
        <v>632</v>
      </c>
      <c r="K226" t="s" s="35">
        <v>641</v>
      </c>
      <c r="L226" s="30"/>
    </row>
    <row r="227" ht="74.5" customHeight="1">
      <c r="A227" t="s" s="36">
        <v>1089</v>
      </c>
      <c r="B227" t="s" s="37">
        <v>92</v>
      </c>
      <c r="C227" t="s" s="37">
        <v>91</v>
      </c>
      <c r="D227" t="s" s="37">
        <v>169</v>
      </c>
      <c r="E227" t="s" s="37">
        <v>618</v>
      </c>
      <c r="F227" t="s" s="37">
        <v>622</v>
      </c>
      <c r="G227" t="s" s="37">
        <v>400</v>
      </c>
      <c r="H227" t="s" s="37">
        <v>1090</v>
      </c>
      <c r="I227" t="s" s="37">
        <v>996</v>
      </c>
      <c r="J227" t="s" s="37">
        <v>632</v>
      </c>
      <c r="K227" t="s" s="40">
        <v>641</v>
      </c>
      <c r="L227" s="30"/>
    </row>
    <row r="228" ht="74.5" customHeight="1">
      <c r="A228" t="s" s="31">
        <v>1091</v>
      </c>
      <c r="B228" t="s" s="32">
        <v>92</v>
      </c>
      <c r="C228" t="s" s="32">
        <v>91</v>
      </c>
      <c r="D228" t="s" s="32">
        <v>169</v>
      </c>
      <c r="E228" t="s" s="32">
        <v>618</v>
      </c>
      <c r="F228" t="s" s="32">
        <v>622</v>
      </c>
      <c r="G228" t="s" s="32">
        <v>412</v>
      </c>
      <c r="H228" t="s" s="32">
        <v>1092</v>
      </c>
      <c r="I228" t="s" s="32">
        <v>996</v>
      </c>
      <c r="J228" t="s" s="32">
        <v>632</v>
      </c>
      <c r="K228" t="s" s="35">
        <v>641</v>
      </c>
      <c r="L228" s="30"/>
    </row>
    <row r="229" ht="74.5" customHeight="1">
      <c r="A229" t="s" s="36">
        <v>1093</v>
      </c>
      <c r="B229" t="s" s="37">
        <v>92</v>
      </c>
      <c r="C229" t="s" s="37">
        <v>91</v>
      </c>
      <c r="D229" t="s" s="37">
        <v>169</v>
      </c>
      <c r="E229" t="s" s="37">
        <v>618</v>
      </c>
      <c r="F229" t="s" s="37">
        <v>622</v>
      </c>
      <c r="G229" t="s" s="37">
        <v>424</v>
      </c>
      <c r="H229" t="s" s="37">
        <v>1094</v>
      </c>
      <c r="I229" t="s" s="37">
        <v>996</v>
      </c>
      <c r="J229" t="s" s="37">
        <v>632</v>
      </c>
      <c r="K229" t="s" s="40">
        <v>641</v>
      </c>
      <c r="L229" s="30"/>
    </row>
    <row r="230" ht="74.5" customHeight="1">
      <c r="A230" t="s" s="31">
        <v>1095</v>
      </c>
      <c r="B230" t="s" s="32">
        <v>92</v>
      </c>
      <c r="C230" t="s" s="32">
        <v>91</v>
      </c>
      <c r="D230" t="s" s="32">
        <v>169</v>
      </c>
      <c r="E230" t="s" s="32">
        <v>630</v>
      </c>
      <c r="F230" t="s" s="32">
        <v>618</v>
      </c>
      <c r="G230" t="s" s="32">
        <v>387</v>
      </c>
      <c r="H230" t="s" s="32">
        <v>1096</v>
      </c>
      <c r="I230" t="s" s="32">
        <v>1021</v>
      </c>
      <c r="J230" t="s" s="32">
        <v>651</v>
      </c>
      <c r="K230" t="s" s="35">
        <v>622</v>
      </c>
      <c r="L230" s="30"/>
    </row>
    <row r="231" ht="74.5" customHeight="1">
      <c r="A231" t="s" s="36">
        <v>1097</v>
      </c>
      <c r="B231" t="s" s="37">
        <v>92</v>
      </c>
      <c r="C231" t="s" s="37">
        <v>91</v>
      </c>
      <c r="D231" t="s" s="37">
        <v>169</v>
      </c>
      <c r="E231" t="s" s="37">
        <v>630</v>
      </c>
      <c r="F231" t="s" s="37">
        <v>618</v>
      </c>
      <c r="G231" t="s" s="37">
        <v>400</v>
      </c>
      <c r="H231" t="s" s="37">
        <v>1098</v>
      </c>
      <c r="I231" t="s" s="37">
        <v>1021</v>
      </c>
      <c r="J231" t="s" s="37">
        <v>651</v>
      </c>
      <c r="K231" t="s" s="40">
        <v>622</v>
      </c>
      <c r="L231" s="30"/>
    </row>
    <row r="232" ht="74.5" customHeight="1">
      <c r="A232" t="s" s="31">
        <v>1099</v>
      </c>
      <c r="B232" t="s" s="32">
        <v>92</v>
      </c>
      <c r="C232" t="s" s="32">
        <v>91</v>
      </c>
      <c r="D232" t="s" s="32">
        <v>169</v>
      </c>
      <c r="E232" t="s" s="32">
        <v>630</v>
      </c>
      <c r="F232" t="s" s="32">
        <v>618</v>
      </c>
      <c r="G232" t="s" s="32">
        <v>412</v>
      </c>
      <c r="H232" t="s" s="32">
        <v>1100</v>
      </c>
      <c r="I232" t="s" s="32">
        <v>1021</v>
      </c>
      <c r="J232" t="s" s="32">
        <v>651</v>
      </c>
      <c r="K232" t="s" s="35">
        <v>622</v>
      </c>
      <c r="L232" s="30"/>
    </row>
    <row r="233" ht="74.5" customHeight="1">
      <c r="A233" t="s" s="36">
        <v>1101</v>
      </c>
      <c r="B233" t="s" s="37">
        <v>92</v>
      </c>
      <c r="C233" t="s" s="37">
        <v>91</v>
      </c>
      <c r="D233" t="s" s="37">
        <v>169</v>
      </c>
      <c r="E233" t="s" s="37">
        <v>630</v>
      </c>
      <c r="F233" t="s" s="37">
        <v>618</v>
      </c>
      <c r="G233" t="s" s="37">
        <v>424</v>
      </c>
      <c r="H233" t="s" s="37">
        <v>1102</v>
      </c>
      <c r="I233" t="s" s="37">
        <v>1021</v>
      </c>
      <c r="J233" t="s" s="37">
        <v>651</v>
      </c>
      <c r="K233" t="s" s="40">
        <v>622</v>
      </c>
      <c r="L233" s="30"/>
    </row>
    <row r="234" ht="74.5" customHeight="1">
      <c r="A234" t="s" s="31">
        <v>1103</v>
      </c>
      <c r="B234" t="s" s="32">
        <v>92</v>
      </c>
      <c r="C234" t="s" s="32">
        <v>91</v>
      </c>
      <c r="D234" t="s" s="32">
        <v>169</v>
      </c>
      <c r="E234" t="s" s="32">
        <v>630</v>
      </c>
      <c r="F234" t="s" s="32">
        <v>630</v>
      </c>
      <c r="G234" t="s" s="32">
        <v>387</v>
      </c>
      <c r="H234" t="s" s="32">
        <v>1104</v>
      </c>
      <c r="I234" t="s" s="32">
        <v>1021</v>
      </c>
      <c r="J234" t="s" s="32">
        <v>660</v>
      </c>
      <c r="K234" t="s" s="35">
        <v>630</v>
      </c>
      <c r="L234" s="30"/>
    </row>
    <row r="235" ht="74.5" customHeight="1">
      <c r="A235" t="s" s="36">
        <v>1105</v>
      </c>
      <c r="B235" t="s" s="37">
        <v>92</v>
      </c>
      <c r="C235" t="s" s="37">
        <v>91</v>
      </c>
      <c r="D235" t="s" s="37">
        <v>169</v>
      </c>
      <c r="E235" t="s" s="37">
        <v>630</v>
      </c>
      <c r="F235" t="s" s="37">
        <v>630</v>
      </c>
      <c r="G235" t="s" s="37">
        <v>400</v>
      </c>
      <c r="H235" t="s" s="37">
        <v>1106</v>
      </c>
      <c r="I235" t="s" s="37">
        <v>1021</v>
      </c>
      <c r="J235" t="s" s="37">
        <v>660</v>
      </c>
      <c r="K235" t="s" s="40">
        <v>630</v>
      </c>
      <c r="L235" s="30"/>
    </row>
    <row r="236" ht="62.5" customHeight="1">
      <c r="A236" t="s" s="31">
        <v>1107</v>
      </c>
      <c r="B236" t="s" s="32">
        <v>92</v>
      </c>
      <c r="C236" t="s" s="32">
        <v>91</v>
      </c>
      <c r="D236" t="s" s="32">
        <v>169</v>
      </c>
      <c r="E236" t="s" s="32">
        <v>630</v>
      </c>
      <c r="F236" t="s" s="32">
        <v>630</v>
      </c>
      <c r="G236" t="s" s="32">
        <v>412</v>
      </c>
      <c r="H236" t="s" s="32">
        <v>1108</v>
      </c>
      <c r="I236" t="s" s="32">
        <v>1021</v>
      </c>
      <c r="J236" t="s" s="32">
        <v>660</v>
      </c>
      <c r="K236" t="s" s="35">
        <v>630</v>
      </c>
      <c r="L236" s="30"/>
    </row>
    <row r="237" ht="74.5" customHeight="1">
      <c r="A237" t="s" s="36">
        <v>1109</v>
      </c>
      <c r="B237" t="s" s="37">
        <v>92</v>
      </c>
      <c r="C237" t="s" s="37">
        <v>91</v>
      </c>
      <c r="D237" t="s" s="37">
        <v>169</v>
      </c>
      <c r="E237" t="s" s="37">
        <v>630</v>
      </c>
      <c r="F237" t="s" s="37">
        <v>630</v>
      </c>
      <c r="G237" t="s" s="37">
        <v>424</v>
      </c>
      <c r="H237" t="s" s="37">
        <v>1110</v>
      </c>
      <c r="I237" t="s" s="37">
        <v>1021</v>
      </c>
      <c r="J237" t="s" s="37">
        <v>660</v>
      </c>
      <c r="K237" t="s" s="40">
        <v>630</v>
      </c>
      <c r="L237" s="30"/>
    </row>
    <row r="238" ht="74.5" customHeight="1">
      <c r="A238" t="s" s="31">
        <v>1111</v>
      </c>
      <c r="B238" t="s" s="32">
        <v>92</v>
      </c>
      <c r="C238" t="s" s="32">
        <v>91</v>
      </c>
      <c r="D238" t="s" s="32">
        <v>169</v>
      </c>
      <c r="E238" t="s" s="32">
        <v>630</v>
      </c>
      <c r="F238" t="s" s="32">
        <v>622</v>
      </c>
      <c r="G238" t="s" s="32">
        <v>387</v>
      </c>
      <c r="H238" t="s" s="32">
        <v>1112</v>
      </c>
      <c r="I238" t="s" s="32">
        <v>1038</v>
      </c>
      <c r="J238" t="s" s="32">
        <v>660</v>
      </c>
      <c r="K238" t="s" s="35">
        <v>630</v>
      </c>
      <c r="L238" s="30"/>
    </row>
    <row r="239" ht="74.5" customHeight="1">
      <c r="A239" t="s" s="36">
        <v>1113</v>
      </c>
      <c r="B239" t="s" s="37">
        <v>92</v>
      </c>
      <c r="C239" t="s" s="37">
        <v>91</v>
      </c>
      <c r="D239" t="s" s="37">
        <v>169</v>
      </c>
      <c r="E239" t="s" s="37">
        <v>630</v>
      </c>
      <c r="F239" t="s" s="37">
        <v>622</v>
      </c>
      <c r="G239" t="s" s="37">
        <v>400</v>
      </c>
      <c r="H239" t="s" s="37">
        <v>1114</v>
      </c>
      <c r="I239" t="s" s="37">
        <v>1038</v>
      </c>
      <c r="J239" t="s" s="37">
        <v>660</v>
      </c>
      <c r="K239" t="s" s="40">
        <v>630</v>
      </c>
      <c r="L239" s="30"/>
    </row>
    <row r="240" ht="74.5" customHeight="1">
      <c r="A240" t="s" s="31">
        <v>1115</v>
      </c>
      <c r="B240" t="s" s="32">
        <v>92</v>
      </c>
      <c r="C240" t="s" s="32">
        <v>91</v>
      </c>
      <c r="D240" t="s" s="32">
        <v>169</v>
      </c>
      <c r="E240" t="s" s="32">
        <v>630</v>
      </c>
      <c r="F240" t="s" s="32">
        <v>622</v>
      </c>
      <c r="G240" t="s" s="32">
        <v>412</v>
      </c>
      <c r="H240" t="s" s="32">
        <v>1116</v>
      </c>
      <c r="I240" t="s" s="32">
        <v>1038</v>
      </c>
      <c r="J240" t="s" s="32">
        <v>660</v>
      </c>
      <c r="K240" t="s" s="35">
        <v>630</v>
      </c>
      <c r="L240" s="30"/>
    </row>
    <row r="241" ht="74.5" customHeight="1">
      <c r="A241" t="s" s="36">
        <v>1117</v>
      </c>
      <c r="B241" t="s" s="37">
        <v>92</v>
      </c>
      <c r="C241" t="s" s="37">
        <v>91</v>
      </c>
      <c r="D241" t="s" s="37">
        <v>169</v>
      </c>
      <c r="E241" t="s" s="37">
        <v>630</v>
      </c>
      <c r="F241" t="s" s="37">
        <v>622</v>
      </c>
      <c r="G241" t="s" s="37">
        <v>424</v>
      </c>
      <c r="H241" t="s" s="37">
        <v>1118</v>
      </c>
      <c r="I241" t="s" s="37">
        <v>1038</v>
      </c>
      <c r="J241" t="s" s="37">
        <v>660</v>
      </c>
      <c r="K241" t="s" s="40">
        <v>630</v>
      </c>
      <c r="L241" s="30"/>
    </row>
    <row r="242" ht="74.5" customHeight="1">
      <c r="A242" t="s" s="31">
        <v>1119</v>
      </c>
      <c r="B242" t="s" s="32">
        <v>92</v>
      </c>
      <c r="C242" t="s" s="32">
        <v>91</v>
      </c>
      <c r="D242" t="s" s="32">
        <v>169</v>
      </c>
      <c r="E242" t="s" s="32">
        <v>622</v>
      </c>
      <c r="F242" t="s" s="32">
        <v>618</v>
      </c>
      <c r="G242" t="s" s="32">
        <v>387</v>
      </c>
      <c r="H242" t="s" s="32">
        <v>1120</v>
      </c>
      <c r="I242" t="s" s="32">
        <v>1047</v>
      </c>
      <c r="J242" t="s" s="32">
        <v>651</v>
      </c>
      <c r="K242" t="s" s="35">
        <v>622</v>
      </c>
      <c r="L242" s="30"/>
    </row>
    <row r="243" ht="74.5" customHeight="1">
      <c r="A243" t="s" s="36">
        <v>1121</v>
      </c>
      <c r="B243" t="s" s="37">
        <v>92</v>
      </c>
      <c r="C243" t="s" s="37">
        <v>91</v>
      </c>
      <c r="D243" t="s" s="37">
        <v>169</v>
      </c>
      <c r="E243" t="s" s="37">
        <v>622</v>
      </c>
      <c r="F243" t="s" s="37">
        <v>618</v>
      </c>
      <c r="G243" t="s" s="37">
        <v>400</v>
      </c>
      <c r="H243" t="s" s="37">
        <v>1122</v>
      </c>
      <c r="I243" t="s" s="37">
        <v>1047</v>
      </c>
      <c r="J243" t="s" s="37">
        <v>651</v>
      </c>
      <c r="K243" t="s" s="40">
        <v>622</v>
      </c>
      <c r="L243" s="30"/>
    </row>
    <row r="244" ht="74.5" customHeight="1">
      <c r="A244" t="s" s="31">
        <v>1123</v>
      </c>
      <c r="B244" t="s" s="32">
        <v>92</v>
      </c>
      <c r="C244" t="s" s="32">
        <v>91</v>
      </c>
      <c r="D244" t="s" s="32">
        <v>169</v>
      </c>
      <c r="E244" t="s" s="32">
        <v>622</v>
      </c>
      <c r="F244" t="s" s="32">
        <v>618</v>
      </c>
      <c r="G244" t="s" s="32">
        <v>412</v>
      </c>
      <c r="H244" t="s" s="32">
        <v>1124</v>
      </c>
      <c r="I244" t="s" s="32">
        <v>1047</v>
      </c>
      <c r="J244" t="s" s="32">
        <v>651</v>
      </c>
      <c r="K244" t="s" s="35">
        <v>622</v>
      </c>
      <c r="L244" s="30"/>
    </row>
    <row r="245" ht="74.5" customHeight="1">
      <c r="A245" t="s" s="36">
        <v>1125</v>
      </c>
      <c r="B245" t="s" s="37">
        <v>92</v>
      </c>
      <c r="C245" t="s" s="37">
        <v>91</v>
      </c>
      <c r="D245" t="s" s="37">
        <v>169</v>
      </c>
      <c r="E245" t="s" s="37">
        <v>622</v>
      </c>
      <c r="F245" t="s" s="37">
        <v>618</v>
      </c>
      <c r="G245" t="s" s="37">
        <v>424</v>
      </c>
      <c r="H245" t="s" s="37">
        <v>1126</v>
      </c>
      <c r="I245" t="s" s="37">
        <v>1047</v>
      </c>
      <c r="J245" t="s" s="37">
        <v>651</v>
      </c>
      <c r="K245" t="s" s="40">
        <v>622</v>
      </c>
      <c r="L245" s="30"/>
    </row>
    <row r="246" ht="74.5" customHeight="1">
      <c r="A246" t="s" s="31">
        <v>1127</v>
      </c>
      <c r="B246" t="s" s="32">
        <v>92</v>
      </c>
      <c r="C246" t="s" s="32">
        <v>91</v>
      </c>
      <c r="D246" t="s" s="32">
        <v>169</v>
      </c>
      <c r="E246" t="s" s="32">
        <v>622</v>
      </c>
      <c r="F246" t="s" s="32">
        <v>630</v>
      </c>
      <c r="G246" t="s" s="32">
        <v>387</v>
      </c>
      <c r="H246" t="s" s="32">
        <v>1128</v>
      </c>
      <c r="I246" t="s" s="32">
        <v>1056</v>
      </c>
      <c r="J246" t="s" s="32">
        <v>660</v>
      </c>
      <c r="K246" t="s" s="35">
        <v>630</v>
      </c>
      <c r="L246" s="30"/>
    </row>
    <row r="247" ht="74.5" customHeight="1">
      <c r="A247" t="s" s="36">
        <v>1129</v>
      </c>
      <c r="B247" t="s" s="37">
        <v>92</v>
      </c>
      <c r="C247" t="s" s="37">
        <v>91</v>
      </c>
      <c r="D247" t="s" s="37">
        <v>169</v>
      </c>
      <c r="E247" t="s" s="37">
        <v>622</v>
      </c>
      <c r="F247" t="s" s="37">
        <v>630</v>
      </c>
      <c r="G247" t="s" s="37">
        <v>400</v>
      </c>
      <c r="H247" t="s" s="37">
        <v>1130</v>
      </c>
      <c r="I247" t="s" s="37">
        <v>1056</v>
      </c>
      <c r="J247" t="s" s="37">
        <v>660</v>
      </c>
      <c r="K247" t="s" s="40">
        <v>630</v>
      </c>
      <c r="L247" s="30"/>
    </row>
    <row r="248" ht="62.5" customHeight="1">
      <c r="A248" t="s" s="31">
        <v>1131</v>
      </c>
      <c r="B248" t="s" s="32">
        <v>92</v>
      </c>
      <c r="C248" t="s" s="32">
        <v>91</v>
      </c>
      <c r="D248" t="s" s="32">
        <v>169</v>
      </c>
      <c r="E248" t="s" s="32">
        <v>622</v>
      </c>
      <c r="F248" t="s" s="32">
        <v>630</v>
      </c>
      <c r="G248" t="s" s="32">
        <v>412</v>
      </c>
      <c r="H248" t="s" s="32">
        <v>1132</v>
      </c>
      <c r="I248" t="s" s="32">
        <v>1056</v>
      </c>
      <c r="J248" t="s" s="32">
        <v>660</v>
      </c>
      <c r="K248" t="s" s="35">
        <v>630</v>
      </c>
      <c r="L248" s="30"/>
    </row>
    <row r="249" ht="74.5" customHeight="1">
      <c r="A249" t="s" s="36">
        <v>1133</v>
      </c>
      <c r="B249" t="s" s="37">
        <v>92</v>
      </c>
      <c r="C249" t="s" s="37">
        <v>91</v>
      </c>
      <c r="D249" t="s" s="37">
        <v>169</v>
      </c>
      <c r="E249" t="s" s="37">
        <v>622</v>
      </c>
      <c r="F249" t="s" s="37">
        <v>630</v>
      </c>
      <c r="G249" t="s" s="37">
        <v>424</v>
      </c>
      <c r="H249" t="s" s="37">
        <v>1134</v>
      </c>
      <c r="I249" t="s" s="37">
        <v>1056</v>
      </c>
      <c r="J249" t="s" s="37">
        <v>660</v>
      </c>
      <c r="K249" t="s" s="40">
        <v>630</v>
      </c>
      <c r="L249" s="30"/>
    </row>
    <row r="250" ht="74.5" customHeight="1">
      <c r="A250" t="s" s="31">
        <v>1135</v>
      </c>
      <c r="B250" t="s" s="32">
        <v>92</v>
      </c>
      <c r="C250" t="s" s="32">
        <v>91</v>
      </c>
      <c r="D250" t="s" s="32">
        <v>169</v>
      </c>
      <c r="E250" t="s" s="32">
        <v>622</v>
      </c>
      <c r="F250" t="s" s="32">
        <v>622</v>
      </c>
      <c r="G250" t="s" s="32">
        <v>387</v>
      </c>
      <c r="H250" t="s" s="32">
        <v>1136</v>
      </c>
      <c r="I250" t="s" s="32">
        <v>1056</v>
      </c>
      <c r="J250" t="s" s="32">
        <v>660</v>
      </c>
      <c r="K250" t="s" s="35">
        <v>641</v>
      </c>
      <c r="L250" s="30"/>
    </row>
    <row r="251" ht="74.5" customHeight="1">
      <c r="A251" t="s" s="36">
        <v>1137</v>
      </c>
      <c r="B251" t="s" s="37">
        <v>92</v>
      </c>
      <c r="C251" t="s" s="37">
        <v>91</v>
      </c>
      <c r="D251" t="s" s="37">
        <v>169</v>
      </c>
      <c r="E251" t="s" s="37">
        <v>622</v>
      </c>
      <c r="F251" t="s" s="37">
        <v>622</v>
      </c>
      <c r="G251" t="s" s="37">
        <v>400</v>
      </c>
      <c r="H251" t="s" s="37">
        <v>1138</v>
      </c>
      <c r="I251" t="s" s="37">
        <v>1056</v>
      </c>
      <c r="J251" t="s" s="37">
        <v>660</v>
      </c>
      <c r="K251" t="s" s="40">
        <v>641</v>
      </c>
      <c r="L251" s="30"/>
    </row>
    <row r="252" ht="62.5" customHeight="1">
      <c r="A252" t="s" s="31">
        <v>1139</v>
      </c>
      <c r="B252" t="s" s="32">
        <v>92</v>
      </c>
      <c r="C252" t="s" s="32">
        <v>91</v>
      </c>
      <c r="D252" t="s" s="32">
        <v>169</v>
      </c>
      <c r="E252" t="s" s="32">
        <v>622</v>
      </c>
      <c r="F252" t="s" s="32">
        <v>622</v>
      </c>
      <c r="G252" t="s" s="32">
        <v>412</v>
      </c>
      <c r="H252" t="s" s="32">
        <v>1140</v>
      </c>
      <c r="I252" t="s" s="32">
        <v>1056</v>
      </c>
      <c r="J252" t="s" s="32">
        <v>660</v>
      </c>
      <c r="K252" t="s" s="35">
        <v>641</v>
      </c>
      <c r="L252" s="30"/>
    </row>
    <row r="253" ht="74.5" customHeight="1">
      <c r="A253" t="s" s="36">
        <v>1141</v>
      </c>
      <c r="B253" t="s" s="37">
        <v>92</v>
      </c>
      <c r="C253" t="s" s="37">
        <v>91</v>
      </c>
      <c r="D253" t="s" s="37">
        <v>169</v>
      </c>
      <c r="E253" t="s" s="37">
        <v>622</v>
      </c>
      <c r="F253" t="s" s="37">
        <v>622</v>
      </c>
      <c r="G253" t="s" s="37">
        <v>424</v>
      </c>
      <c r="H253" t="s" s="37">
        <v>1142</v>
      </c>
      <c r="I253" t="s" s="37">
        <v>1056</v>
      </c>
      <c r="J253" t="s" s="37">
        <v>660</v>
      </c>
      <c r="K253" t="s" s="40">
        <v>641</v>
      </c>
      <c r="L253" s="30"/>
    </row>
    <row r="254" ht="74.5" customHeight="1">
      <c r="A254" t="s" s="31">
        <v>1143</v>
      </c>
      <c r="B254" t="s" s="32">
        <v>92</v>
      </c>
      <c r="C254" t="s" s="32">
        <v>91</v>
      </c>
      <c r="D254" t="s" s="32">
        <v>181</v>
      </c>
      <c r="E254" t="s" s="32">
        <v>618</v>
      </c>
      <c r="F254" t="s" s="32">
        <v>618</v>
      </c>
      <c r="G254" t="s" s="32">
        <v>387</v>
      </c>
      <c r="H254" t="s" s="32">
        <v>1144</v>
      </c>
      <c r="I254" t="s" s="32">
        <v>996</v>
      </c>
      <c r="J254" t="s" s="32">
        <v>621</v>
      </c>
      <c r="K254" t="s" s="35">
        <v>622</v>
      </c>
      <c r="L254" s="30"/>
    </row>
    <row r="255" ht="74.5" customHeight="1">
      <c r="A255" t="s" s="36">
        <v>1145</v>
      </c>
      <c r="B255" t="s" s="37">
        <v>92</v>
      </c>
      <c r="C255" t="s" s="37">
        <v>91</v>
      </c>
      <c r="D255" t="s" s="37">
        <v>181</v>
      </c>
      <c r="E255" t="s" s="37">
        <v>618</v>
      </c>
      <c r="F255" t="s" s="37">
        <v>618</v>
      </c>
      <c r="G255" t="s" s="37">
        <v>400</v>
      </c>
      <c r="H255" t="s" s="37">
        <v>1146</v>
      </c>
      <c r="I255" t="s" s="37">
        <v>996</v>
      </c>
      <c r="J255" t="s" s="37">
        <v>621</v>
      </c>
      <c r="K255" t="s" s="40">
        <v>622</v>
      </c>
      <c r="L255" s="30"/>
    </row>
    <row r="256" ht="74.5" customHeight="1">
      <c r="A256" t="s" s="31">
        <v>1147</v>
      </c>
      <c r="B256" t="s" s="32">
        <v>92</v>
      </c>
      <c r="C256" t="s" s="32">
        <v>91</v>
      </c>
      <c r="D256" t="s" s="32">
        <v>181</v>
      </c>
      <c r="E256" t="s" s="32">
        <v>618</v>
      </c>
      <c r="F256" t="s" s="32">
        <v>618</v>
      </c>
      <c r="G256" t="s" s="32">
        <v>412</v>
      </c>
      <c r="H256" t="s" s="32">
        <v>1148</v>
      </c>
      <c r="I256" t="s" s="32">
        <v>996</v>
      </c>
      <c r="J256" t="s" s="32">
        <v>621</v>
      </c>
      <c r="K256" t="s" s="35">
        <v>622</v>
      </c>
      <c r="L256" s="30"/>
    </row>
    <row r="257" ht="74.5" customHeight="1">
      <c r="A257" t="s" s="36">
        <v>1149</v>
      </c>
      <c r="B257" t="s" s="37">
        <v>92</v>
      </c>
      <c r="C257" t="s" s="37">
        <v>91</v>
      </c>
      <c r="D257" t="s" s="37">
        <v>181</v>
      </c>
      <c r="E257" t="s" s="37">
        <v>618</v>
      </c>
      <c r="F257" t="s" s="37">
        <v>618</v>
      </c>
      <c r="G257" t="s" s="37">
        <v>424</v>
      </c>
      <c r="H257" t="s" s="37">
        <v>1150</v>
      </c>
      <c r="I257" t="s" s="37">
        <v>996</v>
      </c>
      <c r="J257" t="s" s="37">
        <v>621</v>
      </c>
      <c r="K257" t="s" s="40">
        <v>622</v>
      </c>
      <c r="L257" s="30"/>
    </row>
    <row r="258" ht="74.5" customHeight="1">
      <c r="A258" t="s" s="31">
        <v>1151</v>
      </c>
      <c r="B258" t="s" s="32">
        <v>92</v>
      </c>
      <c r="C258" t="s" s="32">
        <v>91</v>
      </c>
      <c r="D258" t="s" s="32">
        <v>181</v>
      </c>
      <c r="E258" t="s" s="32">
        <v>618</v>
      </c>
      <c r="F258" t="s" s="32">
        <v>630</v>
      </c>
      <c r="G258" t="s" s="32">
        <v>387</v>
      </c>
      <c r="H258" t="s" s="32">
        <v>1152</v>
      </c>
      <c r="I258" t="s" s="32">
        <v>996</v>
      </c>
      <c r="J258" t="s" s="32">
        <v>632</v>
      </c>
      <c r="K258" t="s" s="35">
        <v>622</v>
      </c>
      <c r="L258" s="30"/>
    </row>
    <row r="259" ht="74.5" customHeight="1">
      <c r="A259" t="s" s="36">
        <v>1153</v>
      </c>
      <c r="B259" t="s" s="37">
        <v>92</v>
      </c>
      <c r="C259" t="s" s="37">
        <v>91</v>
      </c>
      <c r="D259" t="s" s="37">
        <v>181</v>
      </c>
      <c r="E259" t="s" s="37">
        <v>618</v>
      </c>
      <c r="F259" t="s" s="37">
        <v>630</v>
      </c>
      <c r="G259" t="s" s="37">
        <v>400</v>
      </c>
      <c r="H259" t="s" s="37">
        <v>1154</v>
      </c>
      <c r="I259" t="s" s="37">
        <v>996</v>
      </c>
      <c r="J259" t="s" s="37">
        <v>632</v>
      </c>
      <c r="K259" t="s" s="40">
        <v>622</v>
      </c>
      <c r="L259" s="30"/>
    </row>
    <row r="260" ht="74.5" customHeight="1">
      <c r="A260" t="s" s="31">
        <v>1155</v>
      </c>
      <c r="B260" t="s" s="32">
        <v>92</v>
      </c>
      <c r="C260" t="s" s="32">
        <v>91</v>
      </c>
      <c r="D260" t="s" s="32">
        <v>181</v>
      </c>
      <c r="E260" t="s" s="32">
        <v>618</v>
      </c>
      <c r="F260" t="s" s="32">
        <v>630</v>
      </c>
      <c r="G260" t="s" s="32">
        <v>412</v>
      </c>
      <c r="H260" t="s" s="32">
        <v>1156</v>
      </c>
      <c r="I260" t="s" s="32">
        <v>996</v>
      </c>
      <c r="J260" t="s" s="32">
        <v>632</v>
      </c>
      <c r="K260" t="s" s="35">
        <v>622</v>
      </c>
      <c r="L260" s="30"/>
    </row>
    <row r="261" ht="74.5" customHeight="1">
      <c r="A261" t="s" s="36">
        <v>1157</v>
      </c>
      <c r="B261" t="s" s="37">
        <v>92</v>
      </c>
      <c r="C261" t="s" s="37">
        <v>91</v>
      </c>
      <c r="D261" t="s" s="37">
        <v>181</v>
      </c>
      <c r="E261" t="s" s="37">
        <v>618</v>
      </c>
      <c r="F261" t="s" s="37">
        <v>630</v>
      </c>
      <c r="G261" t="s" s="37">
        <v>424</v>
      </c>
      <c r="H261" t="s" s="37">
        <v>1158</v>
      </c>
      <c r="I261" t="s" s="37">
        <v>996</v>
      </c>
      <c r="J261" t="s" s="37">
        <v>632</v>
      </c>
      <c r="K261" t="s" s="40">
        <v>622</v>
      </c>
      <c r="L261" s="30"/>
    </row>
    <row r="262" ht="74.5" customHeight="1">
      <c r="A262" t="s" s="31">
        <v>1159</v>
      </c>
      <c r="B262" t="s" s="32">
        <v>92</v>
      </c>
      <c r="C262" t="s" s="32">
        <v>91</v>
      </c>
      <c r="D262" t="s" s="32">
        <v>181</v>
      </c>
      <c r="E262" t="s" s="32">
        <v>618</v>
      </c>
      <c r="F262" t="s" s="32">
        <v>622</v>
      </c>
      <c r="G262" t="s" s="32">
        <v>387</v>
      </c>
      <c r="H262" t="s" s="32">
        <v>1160</v>
      </c>
      <c r="I262" t="s" s="32">
        <v>996</v>
      </c>
      <c r="J262" t="s" s="32">
        <v>632</v>
      </c>
      <c r="K262" t="s" s="35">
        <v>641</v>
      </c>
      <c r="L262" s="30"/>
    </row>
    <row r="263" ht="74.5" customHeight="1">
      <c r="A263" t="s" s="36">
        <v>1161</v>
      </c>
      <c r="B263" t="s" s="37">
        <v>92</v>
      </c>
      <c r="C263" t="s" s="37">
        <v>91</v>
      </c>
      <c r="D263" t="s" s="37">
        <v>181</v>
      </c>
      <c r="E263" t="s" s="37">
        <v>618</v>
      </c>
      <c r="F263" t="s" s="37">
        <v>622</v>
      </c>
      <c r="G263" t="s" s="37">
        <v>400</v>
      </c>
      <c r="H263" t="s" s="37">
        <v>1162</v>
      </c>
      <c r="I263" t="s" s="37">
        <v>996</v>
      </c>
      <c r="J263" t="s" s="37">
        <v>632</v>
      </c>
      <c r="K263" t="s" s="40">
        <v>641</v>
      </c>
      <c r="L263" s="30"/>
    </row>
    <row r="264" ht="74.5" customHeight="1">
      <c r="A264" t="s" s="31">
        <v>1163</v>
      </c>
      <c r="B264" t="s" s="32">
        <v>92</v>
      </c>
      <c r="C264" t="s" s="32">
        <v>91</v>
      </c>
      <c r="D264" t="s" s="32">
        <v>181</v>
      </c>
      <c r="E264" t="s" s="32">
        <v>618</v>
      </c>
      <c r="F264" t="s" s="32">
        <v>622</v>
      </c>
      <c r="G264" t="s" s="32">
        <v>412</v>
      </c>
      <c r="H264" t="s" s="32">
        <v>1164</v>
      </c>
      <c r="I264" t="s" s="32">
        <v>996</v>
      </c>
      <c r="J264" t="s" s="32">
        <v>632</v>
      </c>
      <c r="K264" t="s" s="35">
        <v>641</v>
      </c>
      <c r="L264" s="30"/>
    </row>
    <row r="265" ht="74.5" customHeight="1">
      <c r="A265" t="s" s="36">
        <v>1165</v>
      </c>
      <c r="B265" t="s" s="37">
        <v>92</v>
      </c>
      <c r="C265" t="s" s="37">
        <v>91</v>
      </c>
      <c r="D265" t="s" s="37">
        <v>181</v>
      </c>
      <c r="E265" t="s" s="37">
        <v>618</v>
      </c>
      <c r="F265" t="s" s="37">
        <v>622</v>
      </c>
      <c r="G265" t="s" s="37">
        <v>424</v>
      </c>
      <c r="H265" t="s" s="37">
        <v>1166</v>
      </c>
      <c r="I265" t="s" s="37">
        <v>996</v>
      </c>
      <c r="J265" t="s" s="37">
        <v>632</v>
      </c>
      <c r="K265" t="s" s="40">
        <v>641</v>
      </c>
      <c r="L265" s="30"/>
    </row>
    <row r="266" ht="74.5" customHeight="1">
      <c r="A266" t="s" s="31">
        <v>1167</v>
      </c>
      <c r="B266" t="s" s="32">
        <v>92</v>
      </c>
      <c r="C266" t="s" s="32">
        <v>91</v>
      </c>
      <c r="D266" t="s" s="32">
        <v>181</v>
      </c>
      <c r="E266" t="s" s="32">
        <v>630</v>
      </c>
      <c r="F266" t="s" s="32">
        <v>618</v>
      </c>
      <c r="G266" t="s" s="32">
        <v>387</v>
      </c>
      <c r="H266" t="s" s="32">
        <v>1168</v>
      </c>
      <c r="I266" t="s" s="32">
        <v>1021</v>
      </c>
      <c r="J266" t="s" s="32">
        <v>651</v>
      </c>
      <c r="K266" t="s" s="35">
        <v>622</v>
      </c>
      <c r="L266" s="30"/>
    </row>
    <row r="267" ht="74.5" customHeight="1">
      <c r="A267" t="s" s="36">
        <v>1169</v>
      </c>
      <c r="B267" t="s" s="37">
        <v>92</v>
      </c>
      <c r="C267" t="s" s="37">
        <v>91</v>
      </c>
      <c r="D267" t="s" s="37">
        <v>181</v>
      </c>
      <c r="E267" t="s" s="37">
        <v>630</v>
      </c>
      <c r="F267" t="s" s="37">
        <v>618</v>
      </c>
      <c r="G267" t="s" s="37">
        <v>400</v>
      </c>
      <c r="H267" t="s" s="37">
        <v>1170</v>
      </c>
      <c r="I267" t="s" s="37">
        <v>1021</v>
      </c>
      <c r="J267" t="s" s="37">
        <v>651</v>
      </c>
      <c r="K267" t="s" s="40">
        <v>622</v>
      </c>
      <c r="L267" s="30"/>
    </row>
    <row r="268" ht="74.5" customHeight="1">
      <c r="A268" t="s" s="31">
        <v>1171</v>
      </c>
      <c r="B268" t="s" s="32">
        <v>92</v>
      </c>
      <c r="C268" t="s" s="32">
        <v>91</v>
      </c>
      <c r="D268" t="s" s="32">
        <v>181</v>
      </c>
      <c r="E268" t="s" s="32">
        <v>630</v>
      </c>
      <c r="F268" t="s" s="32">
        <v>618</v>
      </c>
      <c r="G268" t="s" s="32">
        <v>412</v>
      </c>
      <c r="H268" t="s" s="32">
        <v>1172</v>
      </c>
      <c r="I268" t="s" s="32">
        <v>1021</v>
      </c>
      <c r="J268" t="s" s="32">
        <v>651</v>
      </c>
      <c r="K268" t="s" s="35">
        <v>622</v>
      </c>
      <c r="L268" s="30"/>
    </row>
    <row r="269" ht="74.5" customHeight="1">
      <c r="A269" t="s" s="36">
        <v>1173</v>
      </c>
      <c r="B269" t="s" s="37">
        <v>92</v>
      </c>
      <c r="C269" t="s" s="37">
        <v>91</v>
      </c>
      <c r="D269" t="s" s="37">
        <v>181</v>
      </c>
      <c r="E269" t="s" s="37">
        <v>630</v>
      </c>
      <c r="F269" t="s" s="37">
        <v>618</v>
      </c>
      <c r="G269" t="s" s="37">
        <v>424</v>
      </c>
      <c r="H269" t="s" s="37">
        <v>1174</v>
      </c>
      <c r="I269" t="s" s="37">
        <v>1021</v>
      </c>
      <c r="J269" t="s" s="37">
        <v>651</v>
      </c>
      <c r="K269" t="s" s="40">
        <v>622</v>
      </c>
      <c r="L269" s="30"/>
    </row>
    <row r="270" ht="74.5" customHeight="1">
      <c r="A270" t="s" s="31">
        <v>1175</v>
      </c>
      <c r="B270" t="s" s="32">
        <v>92</v>
      </c>
      <c r="C270" t="s" s="32">
        <v>91</v>
      </c>
      <c r="D270" t="s" s="32">
        <v>181</v>
      </c>
      <c r="E270" t="s" s="32">
        <v>630</v>
      </c>
      <c r="F270" t="s" s="32">
        <v>630</v>
      </c>
      <c r="G270" t="s" s="32">
        <v>387</v>
      </c>
      <c r="H270" t="s" s="32">
        <v>1176</v>
      </c>
      <c r="I270" t="s" s="32">
        <v>1021</v>
      </c>
      <c r="J270" t="s" s="32">
        <v>660</v>
      </c>
      <c r="K270" t="s" s="35">
        <v>630</v>
      </c>
      <c r="L270" s="30"/>
    </row>
    <row r="271" ht="74.5" customHeight="1">
      <c r="A271" t="s" s="36">
        <v>1177</v>
      </c>
      <c r="B271" t="s" s="37">
        <v>92</v>
      </c>
      <c r="C271" t="s" s="37">
        <v>91</v>
      </c>
      <c r="D271" t="s" s="37">
        <v>181</v>
      </c>
      <c r="E271" t="s" s="37">
        <v>630</v>
      </c>
      <c r="F271" t="s" s="37">
        <v>630</v>
      </c>
      <c r="G271" t="s" s="37">
        <v>400</v>
      </c>
      <c r="H271" t="s" s="37">
        <v>1178</v>
      </c>
      <c r="I271" t="s" s="37">
        <v>1021</v>
      </c>
      <c r="J271" t="s" s="37">
        <v>660</v>
      </c>
      <c r="K271" t="s" s="40">
        <v>630</v>
      </c>
      <c r="L271" s="30"/>
    </row>
    <row r="272" ht="74.5" customHeight="1">
      <c r="A272" t="s" s="31">
        <v>1179</v>
      </c>
      <c r="B272" t="s" s="32">
        <v>92</v>
      </c>
      <c r="C272" t="s" s="32">
        <v>91</v>
      </c>
      <c r="D272" t="s" s="32">
        <v>181</v>
      </c>
      <c r="E272" t="s" s="32">
        <v>630</v>
      </c>
      <c r="F272" t="s" s="32">
        <v>630</v>
      </c>
      <c r="G272" t="s" s="32">
        <v>412</v>
      </c>
      <c r="H272" t="s" s="32">
        <v>1180</v>
      </c>
      <c r="I272" t="s" s="32">
        <v>1021</v>
      </c>
      <c r="J272" t="s" s="32">
        <v>660</v>
      </c>
      <c r="K272" t="s" s="35">
        <v>630</v>
      </c>
      <c r="L272" s="30"/>
    </row>
    <row r="273" ht="74.5" customHeight="1">
      <c r="A273" t="s" s="36">
        <v>1181</v>
      </c>
      <c r="B273" t="s" s="37">
        <v>92</v>
      </c>
      <c r="C273" t="s" s="37">
        <v>91</v>
      </c>
      <c r="D273" t="s" s="37">
        <v>181</v>
      </c>
      <c r="E273" t="s" s="37">
        <v>630</v>
      </c>
      <c r="F273" t="s" s="37">
        <v>630</v>
      </c>
      <c r="G273" t="s" s="37">
        <v>424</v>
      </c>
      <c r="H273" t="s" s="37">
        <v>1182</v>
      </c>
      <c r="I273" t="s" s="37">
        <v>1021</v>
      </c>
      <c r="J273" t="s" s="37">
        <v>660</v>
      </c>
      <c r="K273" t="s" s="40">
        <v>630</v>
      </c>
      <c r="L273" s="30"/>
    </row>
    <row r="274" ht="74.5" customHeight="1">
      <c r="A274" t="s" s="31">
        <v>1183</v>
      </c>
      <c r="B274" t="s" s="32">
        <v>92</v>
      </c>
      <c r="C274" t="s" s="32">
        <v>91</v>
      </c>
      <c r="D274" t="s" s="32">
        <v>181</v>
      </c>
      <c r="E274" t="s" s="32">
        <v>630</v>
      </c>
      <c r="F274" t="s" s="32">
        <v>622</v>
      </c>
      <c r="G274" t="s" s="32">
        <v>387</v>
      </c>
      <c r="H274" t="s" s="32">
        <v>1184</v>
      </c>
      <c r="I274" t="s" s="32">
        <v>1038</v>
      </c>
      <c r="J274" t="s" s="32">
        <v>660</v>
      </c>
      <c r="K274" t="s" s="35">
        <v>630</v>
      </c>
      <c r="L274" s="30"/>
    </row>
    <row r="275" ht="74.5" customHeight="1">
      <c r="A275" t="s" s="36">
        <v>1185</v>
      </c>
      <c r="B275" t="s" s="37">
        <v>92</v>
      </c>
      <c r="C275" t="s" s="37">
        <v>91</v>
      </c>
      <c r="D275" t="s" s="37">
        <v>181</v>
      </c>
      <c r="E275" t="s" s="37">
        <v>630</v>
      </c>
      <c r="F275" t="s" s="37">
        <v>622</v>
      </c>
      <c r="G275" t="s" s="37">
        <v>400</v>
      </c>
      <c r="H275" t="s" s="37">
        <v>1186</v>
      </c>
      <c r="I275" t="s" s="37">
        <v>1038</v>
      </c>
      <c r="J275" t="s" s="37">
        <v>660</v>
      </c>
      <c r="K275" t="s" s="40">
        <v>630</v>
      </c>
      <c r="L275" s="30"/>
    </row>
    <row r="276" ht="74.5" customHeight="1">
      <c r="A276" t="s" s="31">
        <v>1187</v>
      </c>
      <c r="B276" t="s" s="32">
        <v>92</v>
      </c>
      <c r="C276" t="s" s="32">
        <v>91</v>
      </c>
      <c r="D276" t="s" s="32">
        <v>181</v>
      </c>
      <c r="E276" t="s" s="32">
        <v>630</v>
      </c>
      <c r="F276" t="s" s="32">
        <v>622</v>
      </c>
      <c r="G276" t="s" s="32">
        <v>412</v>
      </c>
      <c r="H276" t="s" s="32">
        <v>1188</v>
      </c>
      <c r="I276" t="s" s="32">
        <v>1038</v>
      </c>
      <c r="J276" t="s" s="32">
        <v>660</v>
      </c>
      <c r="K276" t="s" s="35">
        <v>630</v>
      </c>
      <c r="L276" s="30"/>
    </row>
    <row r="277" ht="74.5" customHeight="1">
      <c r="A277" t="s" s="36">
        <v>1189</v>
      </c>
      <c r="B277" t="s" s="37">
        <v>92</v>
      </c>
      <c r="C277" t="s" s="37">
        <v>91</v>
      </c>
      <c r="D277" t="s" s="37">
        <v>181</v>
      </c>
      <c r="E277" t="s" s="37">
        <v>630</v>
      </c>
      <c r="F277" t="s" s="37">
        <v>622</v>
      </c>
      <c r="G277" t="s" s="37">
        <v>424</v>
      </c>
      <c r="H277" t="s" s="37">
        <v>1190</v>
      </c>
      <c r="I277" t="s" s="37">
        <v>1038</v>
      </c>
      <c r="J277" t="s" s="37">
        <v>660</v>
      </c>
      <c r="K277" t="s" s="40">
        <v>630</v>
      </c>
      <c r="L277" s="30"/>
    </row>
    <row r="278" ht="74.5" customHeight="1">
      <c r="A278" t="s" s="31">
        <v>1191</v>
      </c>
      <c r="B278" t="s" s="32">
        <v>92</v>
      </c>
      <c r="C278" t="s" s="32">
        <v>91</v>
      </c>
      <c r="D278" t="s" s="32">
        <v>181</v>
      </c>
      <c r="E278" t="s" s="32">
        <v>622</v>
      </c>
      <c r="F278" t="s" s="32">
        <v>618</v>
      </c>
      <c r="G278" t="s" s="32">
        <v>387</v>
      </c>
      <c r="H278" t="s" s="32">
        <v>1192</v>
      </c>
      <c r="I278" t="s" s="32">
        <v>1047</v>
      </c>
      <c r="J278" t="s" s="32">
        <v>651</v>
      </c>
      <c r="K278" t="s" s="35">
        <v>622</v>
      </c>
      <c r="L278" s="30"/>
    </row>
    <row r="279" ht="74.5" customHeight="1">
      <c r="A279" t="s" s="36">
        <v>1193</v>
      </c>
      <c r="B279" t="s" s="37">
        <v>92</v>
      </c>
      <c r="C279" t="s" s="37">
        <v>91</v>
      </c>
      <c r="D279" t="s" s="37">
        <v>181</v>
      </c>
      <c r="E279" t="s" s="37">
        <v>622</v>
      </c>
      <c r="F279" t="s" s="37">
        <v>618</v>
      </c>
      <c r="G279" t="s" s="37">
        <v>400</v>
      </c>
      <c r="H279" t="s" s="37">
        <v>1194</v>
      </c>
      <c r="I279" t="s" s="37">
        <v>1047</v>
      </c>
      <c r="J279" t="s" s="37">
        <v>651</v>
      </c>
      <c r="K279" t="s" s="40">
        <v>622</v>
      </c>
      <c r="L279" s="30"/>
    </row>
    <row r="280" ht="74.5" customHeight="1">
      <c r="A280" t="s" s="31">
        <v>1195</v>
      </c>
      <c r="B280" t="s" s="32">
        <v>92</v>
      </c>
      <c r="C280" t="s" s="32">
        <v>91</v>
      </c>
      <c r="D280" t="s" s="32">
        <v>181</v>
      </c>
      <c r="E280" t="s" s="32">
        <v>622</v>
      </c>
      <c r="F280" t="s" s="32">
        <v>618</v>
      </c>
      <c r="G280" t="s" s="32">
        <v>412</v>
      </c>
      <c r="H280" t="s" s="32">
        <v>1196</v>
      </c>
      <c r="I280" t="s" s="32">
        <v>1047</v>
      </c>
      <c r="J280" t="s" s="32">
        <v>651</v>
      </c>
      <c r="K280" t="s" s="35">
        <v>622</v>
      </c>
      <c r="L280" s="30"/>
    </row>
    <row r="281" ht="74.5" customHeight="1">
      <c r="A281" t="s" s="36">
        <v>1197</v>
      </c>
      <c r="B281" t="s" s="37">
        <v>92</v>
      </c>
      <c r="C281" t="s" s="37">
        <v>91</v>
      </c>
      <c r="D281" t="s" s="37">
        <v>181</v>
      </c>
      <c r="E281" t="s" s="37">
        <v>622</v>
      </c>
      <c r="F281" t="s" s="37">
        <v>618</v>
      </c>
      <c r="G281" t="s" s="37">
        <v>424</v>
      </c>
      <c r="H281" t="s" s="37">
        <v>1198</v>
      </c>
      <c r="I281" t="s" s="37">
        <v>1047</v>
      </c>
      <c r="J281" t="s" s="37">
        <v>651</v>
      </c>
      <c r="K281" t="s" s="40">
        <v>622</v>
      </c>
      <c r="L281" s="30"/>
    </row>
    <row r="282" ht="74.5" customHeight="1">
      <c r="A282" t="s" s="31">
        <v>1199</v>
      </c>
      <c r="B282" t="s" s="32">
        <v>92</v>
      </c>
      <c r="C282" t="s" s="32">
        <v>91</v>
      </c>
      <c r="D282" t="s" s="32">
        <v>181</v>
      </c>
      <c r="E282" t="s" s="32">
        <v>622</v>
      </c>
      <c r="F282" t="s" s="32">
        <v>630</v>
      </c>
      <c r="G282" t="s" s="32">
        <v>387</v>
      </c>
      <c r="H282" t="s" s="32">
        <v>1200</v>
      </c>
      <c r="I282" t="s" s="32">
        <v>1056</v>
      </c>
      <c r="J282" t="s" s="32">
        <v>660</v>
      </c>
      <c r="K282" t="s" s="35">
        <v>630</v>
      </c>
      <c r="L282" s="30"/>
    </row>
    <row r="283" ht="74.5" customHeight="1">
      <c r="A283" t="s" s="36">
        <v>1201</v>
      </c>
      <c r="B283" t="s" s="37">
        <v>92</v>
      </c>
      <c r="C283" t="s" s="37">
        <v>91</v>
      </c>
      <c r="D283" t="s" s="37">
        <v>181</v>
      </c>
      <c r="E283" t="s" s="37">
        <v>622</v>
      </c>
      <c r="F283" t="s" s="37">
        <v>630</v>
      </c>
      <c r="G283" t="s" s="37">
        <v>400</v>
      </c>
      <c r="H283" t="s" s="37">
        <v>1202</v>
      </c>
      <c r="I283" t="s" s="37">
        <v>1056</v>
      </c>
      <c r="J283" t="s" s="37">
        <v>660</v>
      </c>
      <c r="K283" t="s" s="40">
        <v>630</v>
      </c>
      <c r="L283" s="30"/>
    </row>
    <row r="284" ht="74.5" customHeight="1">
      <c r="A284" t="s" s="31">
        <v>1203</v>
      </c>
      <c r="B284" t="s" s="32">
        <v>92</v>
      </c>
      <c r="C284" t="s" s="32">
        <v>91</v>
      </c>
      <c r="D284" t="s" s="32">
        <v>181</v>
      </c>
      <c r="E284" t="s" s="32">
        <v>622</v>
      </c>
      <c r="F284" t="s" s="32">
        <v>630</v>
      </c>
      <c r="G284" t="s" s="32">
        <v>412</v>
      </c>
      <c r="H284" t="s" s="32">
        <v>1204</v>
      </c>
      <c r="I284" t="s" s="32">
        <v>1056</v>
      </c>
      <c r="J284" t="s" s="32">
        <v>660</v>
      </c>
      <c r="K284" t="s" s="35">
        <v>630</v>
      </c>
      <c r="L284" s="30"/>
    </row>
    <row r="285" ht="74.5" customHeight="1">
      <c r="A285" t="s" s="36">
        <v>1205</v>
      </c>
      <c r="B285" t="s" s="37">
        <v>92</v>
      </c>
      <c r="C285" t="s" s="37">
        <v>91</v>
      </c>
      <c r="D285" t="s" s="37">
        <v>181</v>
      </c>
      <c r="E285" t="s" s="37">
        <v>622</v>
      </c>
      <c r="F285" t="s" s="37">
        <v>630</v>
      </c>
      <c r="G285" t="s" s="37">
        <v>424</v>
      </c>
      <c r="H285" t="s" s="37">
        <v>1206</v>
      </c>
      <c r="I285" t="s" s="37">
        <v>1056</v>
      </c>
      <c r="J285" t="s" s="37">
        <v>660</v>
      </c>
      <c r="K285" t="s" s="40">
        <v>630</v>
      </c>
      <c r="L285" s="30"/>
    </row>
    <row r="286" ht="74.5" customHeight="1">
      <c r="A286" t="s" s="31">
        <v>1207</v>
      </c>
      <c r="B286" t="s" s="32">
        <v>92</v>
      </c>
      <c r="C286" t="s" s="32">
        <v>91</v>
      </c>
      <c r="D286" t="s" s="32">
        <v>181</v>
      </c>
      <c r="E286" t="s" s="32">
        <v>622</v>
      </c>
      <c r="F286" t="s" s="32">
        <v>622</v>
      </c>
      <c r="G286" t="s" s="32">
        <v>387</v>
      </c>
      <c r="H286" t="s" s="32">
        <v>1208</v>
      </c>
      <c r="I286" t="s" s="32">
        <v>1056</v>
      </c>
      <c r="J286" t="s" s="32">
        <v>660</v>
      </c>
      <c r="K286" t="s" s="35">
        <v>641</v>
      </c>
      <c r="L286" s="30"/>
    </row>
    <row r="287" ht="74.5" customHeight="1">
      <c r="A287" t="s" s="36">
        <v>1209</v>
      </c>
      <c r="B287" t="s" s="37">
        <v>92</v>
      </c>
      <c r="C287" t="s" s="37">
        <v>91</v>
      </c>
      <c r="D287" t="s" s="37">
        <v>181</v>
      </c>
      <c r="E287" t="s" s="37">
        <v>622</v>
      </c>
      <c r="F287" t="s" s="37">
        <v>622</v>
      </c>
      <c r="G287" t="s" s="37">
        <v>400</v>
      </c>
      <c r="H287" t="s" s="37">
        <v>1210</v>
      </c>
      <c r="I287" t="s" s="37">
        <v>1056</v>
      </c>
      <c r="J287" t="s" s="37">
        <v>660</v>
      </c>
      <c r="K287" t="s" s="40">
        <v>641</v>
      </c>
      <c r="L287" s="30"/>
    </row>
    <row r="288" ht="74.5" customHeight="1">
      <c r="A288" t="s" s="31">
        <v>1211</v>
      </c>
      <c r="B288" t="s" s="32">
        <v>92</v>
      </c>
      <c r="C288" t="s" s="32">
        <v>91</v>
      </c>
      <c r="D288" t="s" s="32">
        <v>181</v>
      </c>
      <c r="E288" t="s" s="32">
        <v>622</v>
      </c>
      <c r="F288" t="s" s="32">
        <v>622</v>
      </c>
      <c r="G288" t="s" s="32">
        <v>412</v>
      </c>
      <c r="H288" t="s" s="32">
        <v>1212</v>
      </c>
      <c r="I288" t="s" s="32">
        <v>1056</v>
      </c>
      <c r="J288" t="s" s="32">
        <v>660</v>
      </c>
      <c r="K288" t="s" s="35">
        <v>641</v>
      </c>
      <c r="L288" s="30"/>
    </row>
    <row r="289" ht="74.5" customHeight="1">
      <c r="A289" t="s" s="36">
        <v>1213</v>
      </c>
      <c r="B289" t="s" s="37">
        <v>92</v>
      </c>
      <c r="C289" t="s" s="37">
        <v>91</v>
      </c>
      <c r="D289" t="s" s="37">
        <v>181</v>
      </c>
      <c r="E289" t="s" s="37">
        <v>622</v>
      </c>
      <c r="F289" t="s" s="37">
        <v>622</v>
      </c>
      <c r="G289" t="s" s="37">
        <v>424</v>
      </c>
      <c r="H289" t="s" s="37">
        <v>1214</v>
      </c>
      <c r="I289" t="s" s="37">
        <v>1056</v>
      </c>
      <c r="J289" t="s" s="37">
        <v>660</v>
      </c>
      <c r="K289" t="s" s="40">
        <v>641</v>
      </c>
      <c r="L289" s="30"/>
    </row>
    <row r="290" ht="74.5" customHeight="1">
      <c r="A290" t="s" s="31">
        <v>1215</v>
      </c>
      <c r="B290" t="s" s="32">
        <v>92</v>
      </c>
      <c r="C290" t="s" s="32">
        <v>91</v>
      </c>
      <c r="D290" t="s" s="32">
        <v>193</v>
      </c>
      <c r="E290" t="s" s="32">
        <v>618</v>
      </c>
      <c r="F290" t="s" s="32">
        <v>618</v>
      </c>
      <c r="G290" t="s" s="32">
        <v>387</v>
      </c>
      <c r="H290" t="s" s="32">
        <v>1216</v>
      </c>
      <c r="I290" t="s" s="32">
        <v>996</v>
      </c>
      <c r="J290" t="s" s="32">
        <v>621</v>
      </c>
      <c r="K290" t="s" s="35">
        <v>622</v>
      </c>
      <c r="L290" s="30"/>
    </row>
    <row r="291" ht="74.5" customHeight="1">
      <c r="A291" t="s" s="36">
        <v>1217</v>
      </c>
      <c r="B291" t="s" s="37">
        <v>92</v>
      </c>
      <c r="C291" t="s" s="37">
        <v>91</v>
      </c>
      <c r="D291" t="s" s="37">
        <v>193</v>
      </c>
      <c r="E291" t="s" s="37">
        <v>618</v>
      </c>
      <c r="F291" t="s" s="37">
        <v>618</v>
      </c>
      <c r="G291" t="s" s="37">
        <v>400</v>
      </c>
      <c r="H291" t="s" s="37">
        <v>1218</v>
      </c>
      <c r="I291" t="s" s="37">
        <v>996</v>
      </c>
      <c r="J291" t="s" s="37">
        <v>621</v>
      </c>
      <c r="K291" t="s" s="40">
        <v>622</v>
      </c>
      <c r="L291" s="30"/>
    </row>
    <row r="292" ht="74.5" customHeight="1">
      <c r="A292" t="s" s="31">
        <v>1219</v>
      </c>
      <c r="B292" t="s" s="32">
        <v>92</v>
      </c>
      <c r="C292" t="s" s="32">
        <v>91</v>
      </c>
      <c r="D292" t="s" s="32">
        <v>193</v>
      </c>
      <c r="E292" t="s" s="32">
        <v>618</v>
      </c>
      <c r="F292" t="s" s="32">
        <v>618</v>
      </c>
      <c r="G292" t="s" s="32">
        <v>412</v>
      </c>
      <c r="H292" t="s" s="32">
        <v>1220</v>
      </c>
      <c r="I292" t="s" s="32">
        <v>996</v>
      </c>
      <c r="J292" t="s" s="32">
        <v>621</v>
      </c>
      <c r="K292" t="s" s="35">
        <v>622</v>
      </c>
      <c r="L292" s="30"/>
    </row>
    <row r="293" ht="74.5" customHeight="1">
      <c r="A293" t="s" s="36">
        <v>1221</v>
      </c>
      <c r="B293" t="s" s="37">
        <v>92</v>
      </c>
      <c r="C293" t="s" s="37">
        <v>91</v>
      </c>
      <c r="D293" t="s" s="37">
        <v>193</v>
      </c>
      <c r="E293" t="s" s="37">
        <v>618</v>
      </c>
      <c r="F293" t="s" s="37">
        <v>618</v>
      </c>
      <c r="G293" t="s" s="37">
        <v>424</v>
      </c>
      <c r="H293" t="s" s="37">
        <v>1222</v>
      </c>
      <c r="I293" t="s" s="37">
        <v>996</v>
      </c>
      <c r="J293" t="s" s="37">
        <v>621</v>
      </c>
      <c r="K293" t="s" s="40">
        <v>622</v>
      </c>
      <c r="L293" s="30"/>
    </row>
    <row r="294" ht="74.5" customHeight="1">
      <c r="A294" t="s" s="31">
        <v>1223</v>
      </c>
      <c r="B294" t="s" s="32">
        <v>92</v>
      </c>
      <c r="C294" t="s" s="32">
        <v>91</v>
      </c>
      <c r="D294" t="s" s="32">
        <v>193</v>
      </c>
      <c r="E294" t="s" s="32">
        <v>618</v>
      </c>
      <c r="F294" t="s" s="32">
        <v>630</v>
      </c>
      <c r="G294" t="s" s="32">
        <v>387</v>
      </c>
      <c r="H294" t="s" s="32">
        <v>1224</v>
      </c>
      <c r="I294" t="s" s="32">
        <v>996</v>
      </c>
      <c r="J294" t="s" s="32">
        <v>632</v>
      </c>
      <c r="K294" t="s" s="35">
        <v>622</v>
      </c>
      <c r="L294" s="30"/>
    </row>
    <row r="295" ht="74.5" customHeight="1">
      <c r="A295" t="s" s="36">
        <v>1225</v>
      </c>
      <c r="B295" t="s" s="37">
        <v>92</v>
      </c>
      <c r="C295" t="s" s="37">
        <v>91</v>
      </c>
      <c r="D295" t="s" s="37">
        <v>193</v>
      </c>
      <c r="E295" t="s" s="37">
        <v>618</v>
      </c>
      <c r="F295" t="s" s="37">
        <v>630</v>
      </c>
      <c r="G295" t="s" s="37">
        <v>400</v>
      </c>
      <c r="H295" t="s" s="37">
        <v>1226</v>
      </c>
      <c r="I295" t="s" s="37">
        <v>996</v>
      </c>
      <c r="J295" t="s" s="37">
        <v>632</v>
      </c>
      <c r="K295" t="s" s="40">
        <v>622</v>
      </c>
      <c r="L295" s="30"/>
    </row>
    <row r="296" ht="74.5" customHeight="1">
      <c r="A296" t="s" s="31">
        <v>1227</v>
      </c>
      <c r="B296" t="s" s="32">
        <v>92</v>
      </c>
      <c r="C296" t="s" s="32">
        <v>91</v>
      </c>
      <c r="D296" t="s" s="32">
        <v>193</v>
      </c>
      <c r="E296" t="s" s="32">
        <v>618</v>
      </c>
      <c r="F296" t="s" s="32">
        <v>630</v>
      </c>
      <c r="G296" t="s" s="32">
        <v>412</v>
      </c>
      <c r="H296" t="s" s="32">
        <v>1228</v>
      </c>
      <c r="I296" t="s" s="32">
        <v>996</v>
      </c>
      <c r="J296" t="s" s="32">
        <v>632</v>
      </c>
      <c r="K296" t="s" s="35">
        <v>622</v>
      </c>
      <c r="L296" s="30"/>
    </row>
    <row r="297" ht="74.5" customHeight="1">
      <c r="A297" t="s" s="36">
        <v>1229</v>
      </c>
      <c r="B297" t="s" s="37">
        <v>92</v>
      </c>
      <c r="C297" t="s" s="37">
        <v>91</v>
      </c>
      <c r="D297" t="s" s="37">
        <v>193</v>
      </c>
      <c r="E297" t="s" s="37">
        <v>618</v>
      </c>
      <c r="F297" t="s" s="37">
        <v>630</v>
      </c>
      <c r="G297" t="s" s="37">
        <v>424</v>
      </c>
      <c r="H297" t="s" s="37">
        <v>1230</v>
      </c>
      <c r="I297" t="s" s="37">
        <v>996</v>
      </c>
      <c r="J297" t="s" s="37">
        <v>632</v>
      </c>
      <c r="K297" t="s" s="40">
        <v>622</v>
      </c>
      <c r="L297" s="30"/>
    </row>
    <row r="298" ht="74.5" customHeight="1">
      <c r="A298" t="s" s="31">
        <v>1231</v>
      </c>
      <c r="B298" t="s" s="32">
        <v>92</v>
      </c>
      <c r="C298" t="s" s="32">
        <v>91</v>
      </c>
      <c r="D298" t="s" s="32">
        <v>193</v>
      </c>
      <c r="E298" t="s" s="32">
        <v>618</v>
      </c>
      <c r="F298" t="s" s="32">
        <v>622</v>
      </c>
      <c r="G298" t="s" s="32">
        <v>387</v>
      </c>
      <c r="H298" t="s" s="32">
        <v>1232</v>
      </c>
      <c r="I298" t="s" s="32">
        <v>996</v>
      </c>
      <c r="J298" t="s" s="32">
        <v>632</v>
      </c>
      <c r="K298" t="s" s="35">
        <v>641</v>
      </c>
      <c r="L298" s="30"/>
    </row>
    <row r="299" ht="74.5" customHeight="1">
      <c r="A299" t="s" s="36">
        <v>1233</v>
      </c>
      <c r="B299" t="s" s="37">
        <v>92</v>
      </c>
      <c r="C299" t="s" s="37">
        <v>91</v>
      </c>
      <c r="D299" t="s" s="37">
        <v>193</v>
      </c>
      <c r="E299" t="s" s="37">
        <v>618</v>
      </c>
      <c r="F299" t="s" s="37">
        <v>622</v>
      </c>
      <c r="G299" t="s" s="37">
        <v>400</v>
      </c>
      <c r="H299" t="s" s="37">
        <v>1234</v>
      </c>
      <c r="I299" t="s" s="37">
        <v>996</v>
      </c>
      <c r="J299" t="s" s="37">
        <v>632</v>
      </c>
      <c r="K299" t="s" s="40">
        <v>641</v>
      </c>
      <c r="L299" s="30"/>
    </row>
    <row r="300" ht="74.5" customHeight="1">
      <c r="A300" t="s" s="31">
        <v>1235</v>
      </c>
      <c r="B300" t="s" s="32">
        <v>92</v>
      </c>
      <c r="C300" t="s" s="32">
        <v>91</v>
      </c>
      <c r="D300" t="s" s="32">
        <v>193</v>
      </c>
      <c r="E300" t="s" s="32">
        <v>618</v>
      </c>
      <c r="F300" t="s" s="32">
        <v>622</v>
      </c>
      <c r="G300" t="s" s="32">
        <v>412</v>
      </c>
      <c r="H300" t="s" s="32">
        <v>1236</v>
      </c>
      <c r="I300" t="s" s="32">
        <v>996</v>
      </c>
      <c r="J300" t="s" s="32">
        <v>632</v>
      </c>
      <c r="K300" t="s" s="35">
        <v>641</v>
      </c>
      <c r="L300" s="30"/>
    </row>
    <row r="301" ht="74.5" customHeight="1">
      <c r="A301" t="s" s="36">
        <v>1237</v>
      </c>
      <c r="B301" t="s" s="37">
        <v>92</v>
      </c>
      <c r="C301" t="s" s="37">
        <v>91</v>
      </c>
      <c r="D301" t="s" s="37">
        <v>193</v>
      </c>
      <c r="E301" t="s" s="37">
        <v>618</v>
      </c>
      <c r="F301" t="s" s="37">
        <v>622</v>
      </c>
      <c r="G301" t="s" s="37">
        <v>424</v>
      </c>
      <c r="H301" t="s" s="37">
        <v>1238</v>
      </c>
      <c r="I301" t="s" s="37">
        <v>996</v>
      </c>
      <c r="J301" t="s" s="37">
        <v>632</v>
      </c>
      <c r="K301" t="s" s="40">
        <v>641</v>
      </c>
      <c r="L301" s="30"/>
    </row>
    <row r="302" ht="74.5" customHeight="1">
      <c r="A302" t="s" s="31">
        <v>1239</v>
      </c>
      <c r="B302" t="s" s="32">
        <v>92</v>
      </c>
      <c r="C302" t="s" s="32">
        <v>91</v>
      </c>
      <c r="D302" t="s" s="32">
        <v>193</v>
      </c>
      <c r="E302" t="s" s="32">
        <v>630</v>
      </c>
      <c r="F302" t="s" s="32">
        <v>618</v>
      </c>
      <c r="G302" t="s" s="32">
        <v>387</v>
      </c>
      <c r="H302" t="s" s="32">
        <v>1240</v>
      </c>
      <c r="I302" t="s" s="32">
        <v>1021</v>
      </c>
      <c r="J302" t="s" s="32">
        <v>651</v>
      </c>
      <c r="K302" t="s" s="35">
        <v>622</v>
      </c>
      <c r="L302" s="30"/>
    </row>
    <row r="303" ht="74.5" customHeight="1">
      <c r="A303" t="s" s="36">
        <v>1241</v>
      </c>
      <c r="B303" t="s" s="37">
        <v>92</v>
      </c>
      <c r="C303" t="s" s="37">
        <v>91</v>
      </c>
      <c r="D303" t="s" s="37">
        <v>193</v>
      </c>
      <c r="E303" t="s" s="37">
        <v>630</v>
      </c>
      <c r="F303" t="s" s="37">
        <v>618</v>
      </c>
      <c r="G303" t="s" s="37">
        <v>400</v>
      </c>
      <c r="H303" t="s" s="37">
        <v>1242</v>
      </c>
      <c r="I303" t="s" s="37">
        <v>1021</v>
      </c>
      <c r="J303" t="s" s="37">
        <v>651</v>
      </c>
      <c r="K303" t="s" s="40">
        <v>622</v>
      </c>
      <c r="L303" s="30"/>
    </row>
    <row r="304" ht="74.5" customHeight="1">
      <c r="A304" t="s" s="31">
        <v>1243</v>
      </c>
      <c r="B304" t="s" s="32">
        <v>92</v>
      </c>
      <c r="C304" t="s" s="32">
        <v>91</v>
      </c>
      <c r="D304" t="s" s="32">
        <v>193</v>
      </c>
      <c r="E304" t="s" s="32">
        <v>630</v>
      </c>
      <c r="F304" t="s" s="32">
        <v>618</v>
      </c>
      <c r="G304" t="s" s="32">
        <v>412</v>
      </c>
      <c r="H304" t="s" s="32">
        <v>1244</v>
      </c>
      <c r="I304" t="s" s="32">
        <v>1021</v>
      </c>
      <c r="J304" t="s" s="32">
        <v>651</v>
      </c>
      <c r="K304" t="s" s="35">
        <v>622</v>
      </c>
      <c r="L304" s="30"/>
    </row>
    <row r="305" ht="74.5" customHeight="1">
      <c r="A305" t="s" s="36">
        <v>1245</v>
      </c>
      <c r="B305" t="s" s="37">
        <v>92</v>
      </c>
      <c r="C305" t="s" s="37">
        <v>91</v>
      </c>
      <c r="D305" t="s" s="37">
        <v>193</v>
      </c>
      <c r="E305" t="s" s="37">
        <v>630</v>
      </c>
      <c r="F305" t="s" s="37">
        <v>618</v>
      </c>
      <c r="G305" t="s" s="37">
        <v>424</v>
      </c>
      <c r="H305" t="s" s="37">
        <v>1246</v>
      </c>
      <c r="I305" t="s" s="37">
        <v>1021</v>
      </c>
      <c r="J305" t="s" s="37">
        <v>651</v>
      </c>
      <c r="K305" t="s" s="40">
        <v>622</v>
      </c>
      <c r="L305" s="30"/>
    </row>
    <row r="306" ht="74.5" customHeight="1">
      <c r="A306" t="s" s="31">
        <v>1247</v>
      </c>
      <c r="B306" t="s" s="32">
        <v>92</v>
      </c>
      <c r="C306" t="s" s="32">
        <v>91</v>
      </c>
      <c r="D306" t="s" s="32">
        <v>193</v>
      </c>
      <c r="E306" t="s" s="32">
        <v>630</v>
      </c>
      <c r="F306" t="s" s="32">
        <v>630</v>
      </c>
      <c r="G306" t="s" s="32">
        <v>387</v>
      </c>
      <c r="H306" t="s" s="32">
        <v>1248</v>
      </c>
      <c r="I306" t="s" s="32">
        <v>1021</v>
      </c>
      <c r="J306" t="s" s="32">
        <v>660</v>
      </c>
      <c r="K306" t="s" s="35">
        <v>630</v>
      </c>
      <c r="L306" s="30"/>
    </row>
    <row r="307" ht="74.5" customHeight="1">
      <c r="A307" t="s" s="36">
        <v>1249</v>
      </c>
      <c r="B307" t="s" s="37">
        <v>92</v>
      </c>
      <c r="C307" t="s" s="37">
        <v>91</v>
      </c>
      <c r="D307" t="s" s="37">
        <v>193</v>
      </c>
      <c r="E307" t="s" s="37">
        <v>630</v>
      </c>
      <c r="F307" t="s" s="37">
        <v>630</v>
      </c>
      <c r="G307" t="s" s="37">
        <v>400</v>
      </c>
      <c r="H307" t="s" s="37">
        <v>1250</v>
      </c>
      <c r="I307" t="s" s="37">
        <v>1021</v>
      </c>
      <c r="J307" t="s" s="37">
        <v>660</v>
      </c>
      <c r="K307" t="s" s="40">
        <v>630</v>
      </c>
      <c r="L307" s="30"/>
    </row>
    <row r="308" ht="74.5" customHeight="1">
      <c r="A308" t="s" s="31">
        <v>1251</v>
      </c>
      <c r="B308" t="s" s="32">
        <v>92</v>
      </c>
      <c r="C308" t="s" s="32">
        <v>91</v>
      </c>
      <c r="D308" t="s" s="32">
        <v>193</v>
      </c>
      <c r="E308" t="s" s="32">
        <v>630</v>
      </c>
      <c r="F308" t="s" s="32">
        <v>630</v>
      </c>
      <c r="G308" t="s" s="32">
        <v>412</v>
      </c>
      <c r="H308" t="s" s="32">
        <v>1252</v>
      </c>
      <c r="I308" t="s" s="32">
        <v>1021</v>
      </c>
      <c r="J308" t="s" s="32">
        <v>660</v>
      </c>
      <c r="K308" t="s" s="35">
        <v>630</v>
      </c>
      <c r="L308" s="30"/>
    </row>
    <row r="309" ht="74.5" customHeight="1">
      <c r="A309" t="s" s="36">
        <v>1253</v>
      </c>
      <c r="B309" t="s" s="37">
        <v>92</v>
      </c>
      <c r="C309" t="s" s="37">
        <v>91</v>
      </c>
      <c r="D309" t="s" s="37">
        <v>193</v>
      </c>
      <c r="E309" t="s" s="37">
        <v>630</v>
      </c>
      <c r="F309" t="s" s="37">
        <v>630</v>
      </c>
      <c r="G309" t="s" s="37">
        <v>424</v>
      </c>
      <c r="H309" t="s" s="37">
        <v>1254</v>
      </c>
      <c r="I309" t="s" s="37">
        <v>1021</v>
      </c>
      <c r="J309" t="s" s="37">
        <v>660</v>
      </c>
      <c r="K309" t="s" s="40">
        <v>630</v>
      </c>
      <c r="L309" s="30"/>
    </row>
    <row r="310" ht="74.5" customHeight="1">
      <c r="A310" t="s" s="31">
        <v>1255</v>
      </c>
      <c r="B310" t="s" s="32">
        <v>92</v>
      </c>
      <c r="C310" t="s" s="32">
        <v>91</v>
      </c>
      <c r="D310" t="s" s="32">
        <v>193</v>
      </c>
      <c r="E310" t="s" s="32">
        <v>630</v>
      </c>
      <c r="F310" t="s" s="32">
        <v>622</v>
      </c>
      <c r="G310" t="s" s="32">
        <v>387</v>
      </c>
      <c r="H310" t="s" s="32">
        <v>1256</v>
      </c>
      <c r="I310" t="s" s="32">
        <v>1038</v>
      </c>
      <c r="J310" t="s" s="32">
        <v>660</v>
      </c>
      <c r="K310" t="s" s="35">
        <v>630</v>
      </c>
      <c r="L310" s="30"/>
    </row>
    <row r="311" ht="74.5" customHeight="1">
      <c r="A311" t="s" s="36">
        <v>1257</v>
      </c>
      <c r="B311" t="s" s="37">
        <v>92</v>
      </c>
      <c r="C311" t="s" s="37">
        <v>91</v>
      </c>
      <c r="D311" t="s" s="37">
        <v>193</v>
      </c>
      <c r="E311" t="s" s="37">
        <v>630</v>
      </c>
      <c r="F311" t="s" s="37">
        <v>622</v>
      </c>
      <c r="G311" t="s" s="37">
        <v>400</v>
      </c>
      <c r="H311" t="s" s="37">
        <v>1258</v>
      </c>
      <c r="I311" t="s" s="37">
        <v>1038</v>
      </c>
      <c r="J311" t="s" s="37">
        <v>660</v>
      </c>
      <c r="K311" t="s" s="40">
        <v>630</v>
      </c>
      <c r="L311" s="30"/>
    </row>
    <row r="312" ht="74.5" customHeight="1">
      <c r="A312" t="s" s="31">
        <v>1259</v>
      </c>
      <c r="B312" t="s" s="32">
        <v>92</v>
      </c>
      <c r="C312" t="s" s="32">
        <v>91</v>
      </c>
      <c r="D312" t="s" s="32">
        <v>193</v>
      </c>
      <c r="E312" t="s" s="32">
        <v>630</v>
      </c>
      <c r="F312" t="s" s="32">
        <v>622</v>
      </c>
      <c r="G312" t="s" s="32">
        <v>412</v>
      </c>
      <c r="H312" t="s" s="32">
        <v>1260</v>
      </c>
      <c r="I312" t="s" s="32">
        <v>1038</v>
      </c>
      <c r="J312" t="s" s="32">
        <v>660</v>
      </c>
      <c r="K312" t="s" s="35">
        <v>630</v>
      </c>
      <c r="L312" s="30"/>
    </row>
    <row r="313" ht="74.5" customHeight="1">
      <c r="A313" t="s" s="36">
        <v>1261</v>
      </c>
      <c r="B313" t="s" s="37">
        <v>92</v>
      </c>
      <c r="C313" t="s" s="37">
        <v>91</v>
      </c>
      <c r="D313" t="s" s="37">
        <v>193</v>
      </c>
      <c r="E313" t="s" s="37">
        <v>630</v>
      </c>
      <c r="F313" t="s" s="37">
        <v>622</v>
      </c>
      <c r="G313" t="s" s="37">
        <v>424</v>
      </c>
      <c r="H313" t="s" s="37">
        <v>1262</v>
      </c>
      <c r="I313" t="s" s="37">
        <v>1038</v>
      </c>
      <c r="J313" t="s" s="37">
        <v>660</v>
      </c>
      <c r="K313" t="s" s="40">
        <v>630</v>
      </c>
      <c r="L313" s="30"/>
    </row>
    <row r="314" ht="74.5" customHeight="1">
      <c r="A314" t="s" s="31">
        <v>1263</v>
      </c>
      <c r="B314" t="s" s="32">
        <v>92</v>
      </c>
      <c r="C314" t="s" s="32">
        <v>91</v>
      </c>
      <c r="D314" t="s" s="32">
        <v>193</v>
      </c>
      <c r="E314" t="s" s="32">
        <v>622</v>
      </c>
      <c r="F314" t="s" s="32">
        <v>618</v>
      </c>
      <c r="G314" t="s" s="32">
        <v>387</v>
      </c>
      <c r="H314" t="s" s="32">
        <v>1264</v>
      </c>
      <c r="I314" t="s" s="32">
        <v>1047</v>
      </c>
      <c r="J314" t="s" s="32">
        <v>651</v>
      </c>
      <c r="K314" t="s" s="35">
        <v>622</v>
      </c>
      <c r="L314" s="30"/>
    </row>
    <row r="315" ht="74.5" customHeight="1">
      <c r="A315" t="s" s="36">
        <v>1265</v>
      </c>
      <c r="B315" t="s" s="37">
        <v>92</v>
      </c>
      <c r="C315" t="s" s="37">
        <v>91</v>
      </c>
      <c r="D315" t="s" s="37">
        <v>193</v>
      </c>
      <c r="E315" t="s" s="37">
        <v>622</v>
      </c>
      <c r="F315" t="s" s="37">
        <v>618</v>
      </c>
      <c r="G315" t="s" s="37">
        <v>400</v>
      </c>
      <c r="H315" t="s" s="37">
        <v>1266</v>
      </c>
      <c r="I315" t="s" s="37">
        <v>1047</v>
      </c>
      <c r="J315" t="s" s="37">
        <v>651</v>
      </c>
      <c r="K315" t="s" s="40">
        <v>622</v>
      </c>
      <c r="L315" s="30"/>
    </row>
    <row r="316" ht="74.5" customHeight="1">
      <c r="A316" t="s" s="31">
        <v>1267</v>
      </c>
      <c r="B316" t="s" s="32">
        <v>92</v>
      </c>
      <c r="C316" t="s" s="32">
        <v>91</v>
      </c>
      <c r="D316" t="s" s="32">
        <v>193</v>
      </c>
      <c r="E316" t="s" s="32">
        <v>622</v>
      </c>
      <c r="F316" t="s" s="32">
        <v>618</v>
      </c>
      <c r="G316" t="s" s="32">
        <v>412</v>
      </c>
      <c r="H316" t="s" s="32">
        <v>1268</v>
      </c>
      <c r="I316" t="s" s="32">
        <v>1047</v>
      </c>
      <c r="J316" t="s" s="32">
        <v>651</v>
      </c>
      <c r="K316" t="s" s="35">
        <v>622</v>
      </c>
      <c r="L316" s="30"/>
    </row>
    <row r="317" ht="74.5" customHeight="1">
      <c r="A317" t="s" s="36">
        <v>1269</v>
      </c>
      <c r="B317" t="s" s="37">
        <v>92</v>
      </c>
      <c r="C317" t="s" s="37">
        <v>91</v>
      </c>
      <c r="D317" t="s" s="37">
        <v>193</v>
      </c>
      <c r="E317" t="s" s="37">
        <v>622</v>
      </c>
      <c r="F317" t="s" s="37">
        <v>618</v>
      </c>
      <c r="G317" t="s" s="37">
        <v>424</v>
      </c>
      <c r="H317" t="s" s="37">
        <v>1270</v>
      </c>
      <c r="I317" t="s" s="37">
        <v>1047</v>
      </c>
      <c r="J317" t="s" s="37">
        <v>651</v>
      </c>
      <c r="K317" t="s" s="40">
        <v>622</v>
      </c>
      <c r="L317" s="30"/>
    </row>
    <row r="318" ht="74.5" customHeight="1">
      <c r="A318" t="s" s="31">
        <v>1271</v>
      </c>
      <c r="B318" t="s" s="32">
        <v>92</v>
      </c>
      <c r="C318" t="s" s="32">
        <v>91</v>
      </c>
      <c r="D318" t="s" s="32">
        <v>193</v>
      </c>
      <c r="E318" t="s" s="32">
        <v>622</v>
      </c>
      <c r="F318" t="s" s="32">
        <v>630</v>
      </c>
      <c r="G318" t="s" s="32">
        <v>387</v>
      </c>
      <c r="H318" t="s" s="32">
        <v>1272</v>
      </c>
      <c r="I318" t="s" s="32">
        <v>1056</v>
      </c>
      <c r="J318" t="s" s="32">
        <v>660</v>
      </c>
      <c r="K318" t="s" s="35">
        <v>630</v>
      </c>
      <c r="L318" s="30"/>
    </row>
    <row r="319" ht="74.5" customHeight="1">
      <c r="A319" t="s" s="36">
        <v>1273</v>
      </c>
      <c r="B319" t="s" s="37">
        <v>92</v>
      </c>
      <c r="C319" t="s" s="37">
        <v>91</v>
      </c>
      <c r="D319" t="s" s="37">
        <v>193</v>
      </c>
      <c r="E319" t="s" s="37">
        <v>622</v>
      </c>
      <c r="F319" t="s" s="37">
        <v>630</v>
      </c>
      <c r="G319" t="s" s="37">
        <v>400</v>
      </c>
      <c r="H319" t="s" s="37">
        <v>1274</v>
      </c>
      <c r="I319" t="s" s="37">
        <v>1056</v>
      </c>
      <c r="J319" t="s" s="37">
        <v>660</v>
      </c>
      <c r="K319" t="s" s="40">
        <v>630</v>
      </c>
      <c r="L319" s="30"/>
    </row>
    <row r="320" ht="74.5" customHeight="1">
      <c r="A320" t="s" s="31">
        <v>1275</v>
      </c>
      <c r="B320" t="s" s="32">
        <v>92</v>
      </c>
      <c r="C320" t="s" s="32">
        <v>91</v>
      </c>
      <c r="D320" t="s" s="32">
        <v>193</v>
      </c>
      <c r="E320" t="s" s="32">
        <v>622</v>
      </c>
      <c r="F320" t="s" s="32">
        <v>630</v>
      </c>
      <c r="G320" t="s" s="32">
        <v>412</v>
      </c>
      <c r="H320" t="s" s="32">
        <v>1276</v>
      </c>
      <c r="I320" t="s" s="32">
        <v>1056</v>
      </c>
      <c r="J320" t="s" s="32">
        <v>660</v>
      </c>
      <c r="K320" t="s" s="35">
        <v>630</v>
      </c>
      <c r="L320" s="30"/>
    </row>
    <row r="321" ht="74.5" customHeight="1">
      <c r="A321" t="s" s="36">
        <v>1277</v>
      </c>
      <c r="B321" t="s" s="37">
        <v>92</v>
      </c>
      <c r="C321" t="s" s="37">
        <v>91</v>
      </c>
      <c r="D321" t="s" s="37">
        <v>193</v>
      </c>
      <c r="E321" t="s" s="37">
        <v>622</v>
      </c>
      <c r="F321" t="s" s="37">
        <v>630</v>
      </c>
      <c r="G321" t="s" s="37">
        <v>424</v>
      </c>
      <c r="H321" t="s" s="37">
        <v>1278</v>
      </c>
      <c r="I321" t="s" s="37">
        <v>1056</v>
      </c>
      <c r="J321" t="s" s="37">
        <v>660</v>
      </c>
      <c r="K321" t="s" s="40">
        <v>630</v>
      </c>
      <c r="L321" s="30"/>
    </row>
    <row r="322" ht="74.5" customHeight="1">
      <c r="A322" t="s" s="31">
        <v>1279</v>
      </c>
      <c r="B322" t="s" s="32">
        <v>92</v>
      </c>
      <c r="C322" t="s" s="32">
        <v>91</v>
      </c>
      <c r="D322" t="s" s="32">
        <v>193</v>
      </c>
      <c r="E322" t="s" s="32">
        <v>622</v>
      </c>
      <c r="F322" t="s" s="32">
        <v>622</v>
      </c>
      <c r="G322" t="s" s="32">
        <v>387</v>
      </c>
      <c r="H322" t="s" s="32">
        <v>1280</v>
      </c>
      <c r="I322" t="s" s="32">
        <v>1056</v>
      </c>
      <c r="J322" t="s" s="32">
        <v>660</v>
      </c>
      <c r="K322" t="s" s="35">
        <v>641</v>
      </c>
      <c r="L322" s="30"/>
    </row>
    <row r="323" ht="74.5" customHeight="1">
      <c r="A323" t="s" s="36">
        <v>1281</v>
      </c>
      <c r="B323" t="s" s="37">
        <v>92</v>
      </c>
      <c r="C323" t="s" s="37">
        <v>91</v>
      </c>
      <c r="D323" t="s" s="37">
        <v>193</v>
      </c>
      <c r="E323" t="s" s="37">
        <v>622</v>
      </c>
      <c r="F323" t="s" s="37">
        <v>622</v>
      </c>
      <c r="G323" t="s" s="37">
        <v>400</v>
      </c>
      <c r="H323" t="s" s="37">
        <v>1282</v>
      </c>
      <c r="I323" t="s" s="37">
        <v>1056</v>
      </c>
      <c r="J323" t="s" s="37">
        <v>660</v>
      </c>
      <c r="K323" t="s" s="40">
        <v>641</v>
      </c>
      <c r="L323" s="30"/>
    </row>
    <row r="324" ht="74.5" customHeight="1">
      <c r="A324" t="s" s="31">
        <v>1283</v>
      </c>
      <c r="B324" t="s" s="32">
        <v>92</v>
      </c>
      <c r="C324" t="s" s="32">
        <v>91</v>
      </c>
      <c r="D324" t="s" s="32">
        <v>193</v>
      </c>
      <c r="E324" t="s" s="32">
        <v>622</v>
      </c>
      <c r="F324" t="s" s="32">
        <v>622</v>
      </c>
      <c r="G324" t="s" s="32">
        <v>412</v>
      </c>
      <c r="H324" t="s" s="32">
        <v>1284</v>
      </c>
      <c r="I324" t="s" s="32">
        <v>1056</v>
      </c>
      <c r="J324" t="s" s="32">
        <v>660</v>
      </c>
      <c r="K324" t="s" s="35">
        <v>641</v>
      </c>
      <c r="L324" s="30"/>
    </row>
    <row r="325" ht="74.5" customHeight="1">
      <c r="A325" t="s" s="36">
        <v>1285</v>
      </c>
      <c r="B325" t="s" s="37">
        <v>92</v>
      </c>
      <c r="C325" t="s" s="37">
        <v>91</v>
      </c>
      <c r="D325" t="s" s="37">
        <v>193</v>
      </c>
      <c r="E325" t="s" s="37">
        <v>622</v>
      </c>
      <c r="F325" t="s" s="37">
        <v>622</v>
      </c>
      <c r="G325" t="s" s="37">
        <v>424</v>
      </c>
      <c r="H325" t="s" s="37">
        <v>1286</v>
      </c>
      <c r="I325" t="s" s="37">
        <v>1056</v>
      </c>
      <c r="J325" t="s" s="37">
        <v>660</v>
      </c>
      <c r="K325" t="s" s="40">
        <v>641</v>
      </c>
      <c r="L325" s="30"/>
    </row>
    <row r="326" ht="74.5" customHeight="1">
      <c r="A326" t="s" s="31">
        <v>1287</v>
      </c>
      <c r="B326" t="s" s="32">
        <v>92</v>
      </c>
      <c r="C326" t="s" s="32">
        <v>91</v>
      </c>
      <c r="D326" t="s" s="32">
        <v>205</v>
      </c>
      <c r="E326" t="s" s="32">
        <v>618</v>
      </c>
      <c r="F326" t="s" s="32">
        <v>618</v>
      </c>
      <c r="G326" t="s" s="32">
        <v>387</v>
      </c>
      <c r="H326" t="s" s="32">
        <v>1288</v>
      </c>
      <c r="I326" t="s" s="32">
        <v>996</v>
      </c>
      <c r="J326" t="s" s="32">
        <v>920</v>
      </c>
      <c r="K326" t="s" s="35">
        <v>622</v>
      </c>
      <c r="L326" s="30"/>
    </row>
    <row r="327" ht="74.5" customHeight="1">
      <c r="A327" t="s" s="36">
        <v>1289</v>
      </c>
      <c r="B327" t="s" s="37">
        <v>92</v>
      </c>
      <c r="C327" t="s" s="37">
        <v>91</v>
      </c>
      <c r="D327" t="s" s="37">
        <v>205</v>
      </c>
      <c r="E327" t="s" s="37">
        <v>618</v>
      </c>
      <c r="F327" t="s" s="37">
        <v>618</v>
      </c>
      <c r="G327" t="s" s="37">
        <v>400</v>
      </c>
      <c r="H327" t="s" s="37">
        <v>1290</v>
      </c>
      <c r="I327" t="s" s="37">
        <v>996</v>
      </c>
      <c r="J327" t="s" s="37">
        <v>920</v>
      </c>
      <c r="K327" t="s" s="40">
        <v>622</v>
      </c>
      <c r="L327" s="30"/>
    </row>
    <row r="328" ht="74.5" customHeight="1">
      <c r="A328" t="s" s="31">
        <v>1291</v>
      </c>
      <c r="B328" t="s" s="32">
        <v>92</v>
      </c>
      <c r="C328" t="s" s="32">
        <v>91</v>
      </c>
      <c r="D328" t="s" s="32">
        <v>205</v>
      </c>
      <c r="E328" t="s" s="32">
        <v>618</v>
      </c>
      <c r="F328" t="s" s="32">
        <v>618</v>
      </c>
      <c r="G328" t="s" s="32">
        <v>412</v>
      </c>
      <c r="H328" t="s" s="32">
        <v>1292</v>
      </c>
      <c r="I328" t="s" s="32">
        <v>996</v>
      </c>
      <c r="J328" t="s" s="32">
        <v>920</v>
      </c>
      <c r="K328" t="s" s="35">
        <v>622</v>
      </c>
      <c r="L328" s="30"/>
    </row>
    <row r="329" ht="74.5" customHeight="1">
      <c r="A329" t="s" s="36">
        <v>1293</v>
      </c>
      <c r="B329" t="s" s="37">
        <v>92</v>
      </c>
      <c r="C329" t="s" s="37">
        <v>91</v>
      </c>
      <c r="D329" t="s" s="37">
        <v>205</v>
      </c>
      <c r="E329" t="s" s="37">
        <v>618</v>
      </c>
      <c r="F329" t="s" s="37">
        <v>618</v>
      </c>
      <c r="G329" t="s" s="37">
        <v>424</v>
      </c>
      <c r="H329" t="s" s="37">
        <v>1294</v>
      </c>
      <c r="I329" t="s" s="37">
        <v>996</v>
      </c>
      <c r="J329" t="s" s="37">
        <v>920</v>
      </c>
      <c r="K329" t="s" s="40">
        <v>622</v>
      </c>
      <c r="L329" s="30"/>
    </row>
    <row r="330" ht="74.5" customHeight="1">
      <c r="A330" t="s" s="31">
        <v>1295</v>
      </c>
      <c r="B330" t="s" s="32">
        <v>92</v>
      </c>
      <c r="C330" t="s" s="32">
        <v>91</v>
      </c>
      <c r="D330" t="s" s="32">
        <v>205</v>
      </c>
      <c r="E330" t="s" s="32">
        <v>618</v>
      </c>
      <c r="F330" t="s" s="32">
        <v>630</v>
      </c>
      <c r="G330" t="s" s="32">
        <v>387</v>
      </c>
      <c r="H330" t="s" s="32">
        <v>1296</v>
      </c>
      <c r="I330" t="s" s="32">
        <v>996</v>
      </c>
      <c r="J330" t="s" s="32">
        <v>929</v>
      </c>
      <c r="K330" t="s" s="35">
        <v>622</v>
      </c>
      <c r="L330" s="30"/>
    </row>
    <row r="331" ht="74.5" customHeight="1">
      <c r="A331" t="s" s="36">
        <v>1297</v>
      </c>
      <c r="B331" t="s" s="37">
        <v>92</v>
      </c>
      <c r="C331" t="s" s="37">
        <v>91</v>
      </c>
      <c r="D331" t="s" s="37">
        <v>205</v>
      </c>
      <c r="E331" t="s" s="37">
        <v>618</v>
      </c>
      <c r="F331" t="s" s="37">
        <v>630</v>
      </c>
      <c r="G331" t="s" s="37">
        <v>400</v>
      </c>
      <c r="H331" t="s" s="37">
        <v>1298</v>
      </c>
      <c r="I331" t="s" s="37">
        <v>996</v>
      </c>
      <c r="J331" t="s" s="37">
        <v>929</v>
      </c>
      <c r="K331" t="s" s="40">
        <v>622</v>
      </c>
      <c r="L331" s="30"/>
    </row>
    <row r="332" ht="74.5" customHeight="1">
      <c r="A332" t="s" s="31">
        <v>1299</v>
      </c>
      <c r="B332" t="s" s="32">
        <v>92</v>
      </c>
      <c r="C332" t="s" s="32">
        <v>91</v>
      </c>
      <c r="D332" t="s" s="32">
        <v>205</v>
      </c>
      <c r="E332" t="s" s="32">
        <v>618</v>
      </c>
      <c r="F332" t="s" s="32">
        <v>630</v>
      </c>
      <c r="G332" t="s" s="32">
        <v>412</v>
      </c>
      <c r="H332" t="s" s="32">
        <v>1300</v>
      </c>
      <c r="I332" t="s" s="32">
        <v>996</v>
      </c>
      <c r="J332" t="s" s="32">
        <v>929</v>
      </c>
      <c r="K332" t="s" s="35">
        <v>622</v>
      </c>
      <c r="L332" s="30"/>
    </row>
    <row r="333" ht="74.5" customHeight="1">
      <c r="A333" t="s" s="36">
        <v>1301</v>
      </c>
      <c r="B333" t="s" s="37">
        <v>92</v>
      </c>
      <c r="C333" t="s" s="37">
        <v>91</v>
      </c>
      <c r="D333" t="s" s="37">
        <v>205</v>
      </c>
      <c r="E333" t="s" s="37">
        <v>618</v>
      </c>
      <c r="F333" t="s" s="37">
        <v>630</v>
      </c>
      <c r="G333" t="s" s="37">
        <v>424</v>
      </c>
      <c r="H333" t="s" s="37">
        <v>1302</v>
      </c>
      <c r="I333" t="s" s="37">
        <v>996</v>
      </c>
      <c r="J333" t="s" s="37">
        <v>929</v>
      </c>
      <c r="K333" t="s" s="40">
        <v>622</v>
      </c>
      <c r="L333" s="30"/>
    </row>
    <row r="334" ht="74.5" customHeight="1">
      <c r="A334" t="s" s="31">
        <v>1303</v>
      </c>
      <c r="B334" t="s" s="32">
        <v>92</v>
      </c>
      <c r="C334" t="s" s="32">
        <v>91</v>
      </c>
      <c r="D334" t="s" s="32">
        <v>205</v>
      </c>
      <c r="E334" t="s" s="32">
        <v>618</v>
      </c>
      <c r="F334" t="s" s="32">
        <v>622</v>
      </c>
      <c r="G334" t="s" s="32">
        <v>387</v>
      </c>
      <c r="H334" t="s" s="32">
        <v>1304</v>
      </c>
      <c r="I334" t="s" s="32">
        <v>996</v>
      </c>
      <c r="J334" t="s" s="32">
        <v>929</v>
      </c>
      <c r="K334" t="s" s="35">
        <v>641</v>
      </c>
      <c r="L334" s="30"/>
    </row>
    <row r="335" ht="74.5" customHeight="1">
      <c r="A335" t="s" s="36">
        <v>1305</v>
      </c>
      <c r="B335" t="s" s="37">
        <v>92</v>
      </c>
      <c r="C335" t="s" s="37">
        <v>91</v>
      </c>
      <c r="D335" t="s" s="37">
        <v>205</v>
      </c>
      <c r="E335" t="s" s="37">
        <v>618</v>
      </c>
      <c r="F335" t="s" s="37">
        <v>622</v>
      </c>
      <c r="G335" t="s" s="37">
        <v>400</v>
      </c>
      <c r="H335" t="s" s="37">
        <v>1306</v>
      </c>
      <c r="I335" t="s" s="37">
        <v>996</v>
      </c>
      <c r="J335" t="s" s="37">
        <v>929</v>
      </c>
      <c r="K335" t="s" s="40">
        <v>641</v>
      </c>
      <c r="L335" s="30"/>
    </row>
    <row r="336" ht="74.5" customHeight="1">
      <c r="A336" t="s" s="31">
        <v>1307</v>
      </c>
      <c r="B336" t="s" s="32">
        <v>92</v>
      </c>
      <c r="C336" t="s" s="32">
        <v>91</v>
      </c>
      <c r="D336" t="s" s="32">
        <v>205</v>
      </c>
      <c r="E336" t="s" s="32">
        <v>618</v>
      </c>
      <c r="F336" t="s" s="32">
        <v>622</v>
      </c>
      <c r="G336" t="s" s="32">
        <v>412</v>
      </c>
      <c r="H336" t="s" s="32">
        <v>1308</v>
      </c>
      <c r="I336" t="s" s="32">
        <v>996</v>
      </c>
      <c r="J336" t="s" s="32">
        <v>929</v>
      </c>
      <c r="K336" t="s" s="35">
        <v>641</v>
      </c>
      <c r="L336" s="30"/>
    </row>
    <row r="337" ht="74.5" customHeight="1">
      <c r="A337" t="s" s="36">
        <v>1309</v>
      </c>
      <c r="B337" t="s" s="37">
        <v>92</v>
      </c>
      <c r="C337" t="s" s="37">
        <v>91</v>
      </c>
      <c r="D337" t="s" s="37">
        <v>205</v>
      </c>
      <c r="E337" t="s" s="37">
        <v>618</v>
      </c>
      <c r="F337" t="s" s="37">
        <v>622</v>
      </c>
      <c r="G337" t="s" s="37">
        <v>424</v>
      </c>
      <c r="H337" t="s" s="37">
        <v>1310</v>
      </c>
      <c r="I337" t="s" s="37">
        <v>996</v>
      </c>
      <c r="J337" t="s" s="37">
        <v>929</v>
      </c>
      <c r="K337" t="s" s="40">
        <v>641</v>
      </c>
      <c r="L337" s="30"/>
    </row>
    <row r="338" ht="74.5" customHeight="1">
      <c r="A338" t="s" s="31">
        <v>1311</v>
      </c>
      <c r="B338" t="s" s="32">
        <v>92</v>
      </c>
      <c r="C338" t="s" s="32">
        <v>91</v>
      </c>
      <c r="D338" t="s" s="32">
        <v>205</v>
      </c>
      <c r="E338" t="s" s="32">
        <v>630</v>
      </c>
      <c r="F338" t="s" s="32">
        <v>618</v>
      </c>
      <c r="G338" t="s" s="32">
        <v>387</v>
      </c>
      <c r="H338" t="s" s="32">
        <v>1312</v>
      </c>
      <c r="I338" t="s" s="32">
        <v>1021</v>
      </c>
      <c r="J338" t="s" s="32">
        <v>946</v>
      </c>
      <c r="K338" t="s" s="35">
        <v>622</v>
      </c>
      <c r="L338" s="30"/>
    </row>
    <row r="339" ht="74.5" customHeight="1">
      <c r="A339" t="s" s="36">
        <v>1313</v>
      </c>
      <c r="B339" t="s" s="37">
        <v>92</v>
      </c>
      <c r="C339" t="s" s="37">
        <v>91</v>
      </c>
      <c r="D339" t="s" s="37">
        <v>205</v>
      </c>
      <c r="E339" t="s" s="37">
        <v>630</v>
      </c>
      <c r="F339" t="s" s="37">
        <v>618</v>
      </c>
      <c r="G339" t="s" s="37">
        <v>400</v>
      </c>
      <c r="H339" t="s" s="37">
        <v>1314</v>
      </c>
      <c r="I339" t="s" s="37">
        <v>1021</v>
      </c>
      <c r="J339" t="s" s="37">
        <v>946</v>
      </c>
      <c r="K339" t="s" s="40">
        <v>622</v>
      </c>
      <c r="L339" s="30"/>
    </row>
    <row r="340" ht="74.5" customHeight="1">
      <c r="A340" t="s" s="31">
        <v>1315</v>
      </c>
      <c r="B340" t="s" s="32">
        <v>92</v>
      </c>
      <c r="C340" t="s" s="32">
        <v>91</v>
      </c>
      <c r="D340" t="s" s="32">
        <v>205</v>
      </c>
      <c r="E340" t="s" s="32">
        <v>630</v>
      </c>
      <c r="F340" t="s" s="32">
        <v>618</v>
      </c>
      <c r="G340" t="s" s="32">
        <v>412</v>
      </c>
      <c r="H340" t="s" s="32">
        <v>1316</v>
      </c>
      <c r="I340" t="s" s="32">
        <v>1021</v>
      </c>
      <c r="J340" t="s" s="32">
        <v>946</v>
      </c>
      <c r="K340" t="s" s="35">
        <v>622</v>
      </c>
      <c r="L340" s="30"/>
    </row>
    <row r="341" ht="74.5" customHeight="1">
      <c r="A341" t="s" s="36">
        <v>1317</v>
      </c>
      <c r="B341" t="s" s="37">
        <v>92</v>
      </c>
      <c r="C341" t="s" s="37">
        <v>91</v>
      </c>
      <c r="D341" t="s" s="37">
        <v>205</v>
      </c>
      <c r="E341" t="s" s="37">
        <v>630</v>
      </c>
      <c r="F341" t="s" s="37">
        <v>618</v>
      </c>
      <c r="G341" t="s" s="37">
        <v>424</v>
      </c>
      <c r="H341" t="s" s="37">
        <v>1318</v>
      </c>
      <c r="I341" t="s" s="37">
        <v>1021</v>
      </c>
      <c r="J341" t="s" s="37">
        <v>946</v>
      </c>
      <c r="K341" t="s" s="40">
        <v>622</v>
      </c>
      <c r="L341" s="30"/>
    </row>
    <row r="342" ht="74.5" customHeight="1">
      <c r="A342" t="s" s="31">
        <v>1319</v>
      </c>
      <c r="B342" t="s" s="32">
        <v>92</v>
      </c>
      <c r="C342" t="s" s="32">
        <v>91</v>
      </c>
      <c r="D342" t="s" s="32">
        <v>205</v>
      </c>
      <c r="E342" t="s" s="32">
        <v>630</v>
      </c>
      <c r="F342" t="s" s="32">
        <v>630</v>
      </c>
      <c r="G342" t="s" s="32">
        <v>387</v>
      </c>
      <c r="H342" t="s" s="32">
        <v>1320</v>
      </c>
      <c r="I342" t="s" s="32">
        <v>1021</v>
      </c>
      <c r="J342" t="s" s="32">
        <v>955</v>
      </c>
      <c r="K342" t="s" s="35">
        <v>630</v>
      </c>
      <c r="L342" s="30"/>
    </row>
    <row r="343" ht="74.5" customHeight="1">
      <c r="A343" t="s" s="36">
        <v>1321</v>
      </c>
      <c r="B343" t="s" s="37">
        <v>92</v>
      </c>
      <c r="C343" t="s" s="37">
        <v>91</v>
      </c>
      <c r="D343" t="s" s="37">
        <v>205</v>
      </c>
      <c r="E343" t="s" s="37">
        <v>630</v>
      </c>
      <c r="F343" t="s" s="37">
        <v>630</v>
      </c>
      <c r="G343" t="s" s="37">
        <v>400</v>
      </c>
      <c r="H343" t="s" s="37">
        <v>1322</v>
      </c>
      <c r="I343" t="s" s="37">
        <v>1021</v>
      </c>
      <c r="J343" t="s" s="37">
        <v>955</v>
      </c>
      <c r="K343" t="s" s="40">
        <v>630</v>
      </c>
      <c r="L343" s="30"/>
    </row>
    <row r="344" ht="74.5" customHeight="1">
      <c r="A344" t="s" s="31">
        <v>1323</v>
      </c>
      <c r="B344" t="s" s="32">
        <v>92</v>
      </c>
      <c r="C344" t="s" s="32">
        <v>91</v>
      </c>
      <c r="D344" t="s" s="32">
        <v>205</v>
      </c>
      <c r="E344" t="s" s="32">
        <v>630</v>
      </c>
      <c r="F344" t="s" s="32">
        <v>630</v>
      </c>
      <c r="G344" t="s" s="32">
        <v>412</v>
      </c>
      <c r="H344" t="s" s="32">
        <v>1324</v>
      </c>
      <c r="I344" t="s" s="32">
        <v>1021</v>
      </c>
      <c r="J344" t="s" s="32">
        <v>955</v>
      </c>
      <c r="K344" t="s" s="35">
        <v>630</v>
      </c>
      <c r="L344" s="30"/>
    </row>
    <row r="345" ht="74.5" customHeight="1">
      <c r="A345" t="s" s="36">
        <v>1325</v>
      </c>
      <c r="B345" t="s" s="37">
        <v>92</v>
      </c>
      <c r="C345" t="s" s="37">
        <v>91</v>
      </c>
      <c r="D345" t="s" s="37">
        <v>205</v>
      </c>
      <c r="E345" t="s" s="37">
        <v>630</v>
      </c>
      <c r="F345" t="s" s="37">
        <v>630</v>
      </c>
      <c r="G345" t="s" s="37">
        <v>424</v>
      </c>
      <c r="H345" t="s" s="37">
        <v>1326</v>
      </c>
      <c r="I345" t="s" s="37">
        <v>1021</v>
      </c>
      <c r="J345" t="s" s="37">
        <v>955</v>
      </c>
      <c r="K345" t="s" s="40">
        <v>630</v>
      </c>
      <c r="L345" s="30"/>
    </row>
    <row r="346" ht="74.5" customHeight="1">
      <c r="A346" t="s" s="31">
        <v>1327</v>
      </c>
      <c r="B346" t="s" s="32">
        <v>92</v>
      </c>
      <c r="C346" t="s" s="32">
        <v>91</v>
      </c>
      <c r="D346" t="s" s="32">
        <v>205</v>
      </c>
      <c r="E346" t="s" s="32">
        <v>630</v>
      </c>
      <c r="F346" t="s" s="32">
        <v>622</v>
      </c>
      <c r="G346" t="s" s="32">
        <v>387</v>
      </c>
      <c r="H346" t="s" s="32">
        <v>1328</v>
      </c>
      <c r="I346" t="s" s="32">
        <v>1038</v>
      </c>
      <c r="J346" t="s" s="32">
        <v>955</v>
      </c>
      <c r="K346" t="s" s="35">
        <v>630</v>
      </c>
      <c r="L346" s="30"/>
    </row>
    <row r="347" ht="74.5" customHeight="1">
      <c r="A347" t="s" s="36">
        <v>1329</v>
      </c>
      <c r="B347" t="s" s="37">
        <v>92</v>
      </c>
      <c r="C347" t="s" s="37">
        <v>91</v>
      </c>
      <c r="D347" t="s" s="37">
        <v>205</v>
      </c>
      <c r="E347" t="s" s="37">
        <v>630</v>
      </c>
      <c r="F347" t="s" s="37">
        <v>622</v>
      </c>
      <c r="G347" t="s" s="37">
        <v>400</v>
      </c>
      <c r="H347" t="s" s="37">
        <v>1330</v>
      </c>
      <c r="I347" t="s" s="37">
        <v>1038</v>
      </c>
      <c r="J347" t="s" s="37">
        <v>955</v>
      </c>
      <c r="K347" t="s" s="40">
        <v>630</v>
      </c>
      <c r="L347" s="30"/>
    </row>
    <row r="348" ht="74.5" customHeight="1">
      <c r="A348" t="s" s="31">
        <v>1331</v>
      </c>
      <c r="B348" t="s" s="32">
        <v>92</v>
      </c>
      <c r="C348" t="s" s="32">
        <v>91</v>
      </c>
      <c r="D348" t="s" s="32">
        <v>205</v>
      </c>
      <c r="E348" t="s" s="32">
        <v>630</v>
      </c>
      <c r="F348" t="s" s="32">
        <v>622</v>
      </c>
      <c r="G348" t="s" s="32">
        <v>412</v>
      </c>
      <c r="H348" t="s" s="32">
        <v>1332</v>
      </c>
      <c r="I348" t="s" s="32">
        <v>1038</v>
      </c>
      <c r="J348" t="s" s="32">
        <v>955</v>
      </c>
      <c r="K348" t="s" s="35">
        <v>630</v>
      </c>
      <c r="L348" s="30"/>
    </row>
    <row r="349" ht="74.5" customHeight="1">
      <c r="A349" t="s" s="36">
        <v>1333</v>
      </c>
      <c r="B349" t="s" s="37">
        <v>92</v>
      </c>
      <c r="C349" t="s" s="37">
        <v>91</v>
      </c>
      <c r="D349" t="s" s="37">
        <v>205</v>
      </c>
      <c r="E349" t="s" s="37">
        <v>630</v>
      </c>
      <c r="F349" t="s" s="37">
        <v>622</v>
      </c>
      <c r="G349" t="s" s="37">
        <v>424</v>
      </c>
      <c r="H349" t="s" s="37">
        <v>1334</v>
      </c>
      <c r="I349" t="s" s="37">
        <v>1038</v>
      </c>
      <c r="J349" t="s" s="37">
        <v>955</v>
      </c>
      <c r="K349" t="s" s="40">
        <v>630</v>
      </c>
      <c r="L349" s="30"/>
    </row>
    <row r="350" ht="74.5" customHeight="1">
      <c r="A350" t="s" s="31">
        <v>1335</v>
      </c>
      <c r="B350" t="s" s="32">
        <v>92</v>
      </c>
      <c r="C350" t="s" s="32">
        <v>91</v>
      </c>
      <c r="D350" t="s" s="32">
        <v>205</v>
      </c>
      <c r="E350" t="s" s="32">
        <v>622</v>
      </c>
      <c r="F350" t="s" s="32">
        <v>618</v>
      </c>
      <c r="G350" t="s" s="32">
        <v>387</v>
      </c>
      <c r="H350" t="s" s="32">
        <v>1336</v>
      </c>
      <c r="I350" t="s" s="32">
        <v>1047</v>
      </c>
      <c r="J350" t="s" s="32">
        <v>946</v>
      </c>
      <c r="K350" t="s" s="35">
        <v>622</v>
      </c>
      <c r="L350" s="30"/>
    </row>
    <row r="351" ht="74.5" customHeight="1">
      <c r="A351" t="s" s="36">
        <v>1337</v>
      </c>
      <c r="B351" t="s" s="37">
        <v>92</v>
      </c>
      <c r="C351" t="s" s="37">
        <v>91</v>
      </c>
      <c r="D351" t="s" s="37">
        <v>205</v>
      </c>
      <c r="E351" t="s" s="37">
        <v>622</v>
      </c>
      <c r="F351" t="s" s="37">
        <v>618</v>
      </c>
      <c r="G351" t="s" s="37">
        <v>400</v>
      </c>
      <c r="H351" t="s" s="37">
        <v>1338</v>
      </c>
      <c r="I351" t="s" s="37">
        <v>1047</v>
      </c>
      <c r="J351" t="s" s="37">
        <v>946</v>
      </c>
      <c r="K351" t="s" s="40">
        <v>622</v>
      </c>
      <c r="L351" s="30"/>
    </row>
    <row r="352" ht="74.5" customHeight="1">
      <c r="A352" t="s" s="31">
        <v>1339</v>
      </c>
      <c r="B352" t="s" s="32">
        <v>92</v>
      </c>
      <c r="C352" t="s" s="32">
        <v>91</v>
      </c>
      <c r="D352" t="s" s="32">
        <v>205</v>
      </c>
      <c r="E352" t="s" s="32">
        <v>622</v>
      </c>
      <c r="F352" t="s" s="32">
        <v>618</v>
      </c>
      <c r="G352" t="s" s="32">
        <v>412</v>
      </c>
      <c r="H352" t="s" s="32">
        <v>1340</v>
      </c>
      <c r="I352" t="s" s="32">
        <v>1047</v>
      </c>
      <c r="J352" t="s" s="32">
        <v>946</v>
      </c>
      <c r="K352" t="s" s="35">
        <v>622</v>
      </c>
      <c r="L352" s="30"/>
    </row>
    <row r="353" ht="74.5" customHeight="1">
      <c r="A353" t="s" s="36">
        <v>1341</v>
      </c>
      <c r="B353" t="s" s="37">
        <v>92</v>
      </c>
      <c r="C353" t="s" s="37">
        <v>91</v>
      </c>
      <c r="D353" t="s" s="37">
        <v>205</v>
      </c>
      <c r="E353" t="s" s="37">
        <v>622</v>
      </c>
      <c r="F353" t="s" s="37">
        <v>618</v>
      </c>
      <c r="G353" t="s" s="37">
        <v>424</v>
      </c>
      <c r="H353" t="s" s="37">
        <v>1342</v>
      </c>
      <c r="I353" t="s" s="37">
        <v>1047</v>
      </c>
      <c r="J353" t="s" s="37">
        <v>946</v>
      </c>
      <c r="K353" t="s" s="40">
        <v>622</v>
      </c>
      <c r="L353" s="30"/>
    </row>
    <row r="354" ht="74.5" customHeight="1">
      <c r="A354" t="s" s="31">
        <v>1343</v>
      </c>
      <c r="B354" t="s" s="32">
        <v>92</v>
      </c>
      <c r="C354" t="s" s="32">
        <v>91</v>
      </c>
      <c r="D354" t="s" s="32">
        <v>205</v>
      </c>
      <c r="E354" t="s" s="32">
        <v>622</v>
      </c>
      <c r="F354" t="s" s="32">
        <v>630</v>
      </c>
      <c r="G354" t="s" s="32">
        <v>387</v>
      </c>
      <c r="H354" t="s" s="32">
        <v>1344</v>
      </c>
      <c r="I354" t="s" s="32">
        <v>1056</v>
      </c>
      <c r="J354" t="s" s="32">
        <v>955</v>
      </c>
      <c r="K354" t="s" s="35">
        <v>630</v>
      </c>
      <c r="L354" s="30"/>
    </row>
    <row r="355" ht="74.5" customHeight="1">
      <c r="A355" t="s" s="36">
        <v>1345</v>
      </c>
      <c r="B355" t="s" s="37">
        <v>92</v>
      </c>
      <c r="C355" t="s" s="37">
        <v>91</v>
      </c>
      <c r="D355" t="s" s="37">
        <v>205</v>
      </c>
      <c r="E355" t="s" s="37">
        <v>622</v>
      </c>
      <c r="F355" t="s" s="37">
        <v>630</v>
      </c>
      <c r="G355" t="s" s="37">
        <v>400</v>
      </c>
      <c r="H355" t="s" s="37">
        <v>1346</v>
      </c>
      <c r="I355" t="s" s="37">
        <v>1056</v>
      </c>
      <c r="J355" t="s" s="37">
        <v>955</v>
      </c>
      <c r="K355" t="s" s="40">
        <v>630</v>
      </c>
      <c r="L355" s="30"/>
    </row>
    <row r="356" ht="74.5" customHeight="1">
      <c r="A356" t="s" s="31">
        <v>1347</v>
      </c>
      <c r="B356" t="s" s="32">
        <v>92</v>
      </c>
      <c r="C356" t="s" s="32">
        <v>91</v>
      </c>
      <c r="D356" t="s" s="32">
        <v>205</v>
      </c>
      <c r="E356" t="s" s="32">
        <v>622</v>
      </c>
      <c r="F356" t="s" s="32">
        <v>630</v>
      </c>
      <c r="G356" t="s" s="32">
        <v>412</v>
      </c>
      <c r="H356" t="s" s="32">
        <v>1348</v>
      </c>
      <c r="I356" t="s" s="32">
        <v>1056</v>
      </c>
      <c r="J356" t="s" s="32">
        <v>955</v>
      </c>
      <c r="K356" t="s" s="35">
        <v>630</v>
      </c>
      <c r="L356" s="30"/>
    </row>
    <row r="357" ht="74.5" customHeight="1">
      <c r="A357" t="s" s="36">
        <v>1349</v>
      </c>
      <c r="B357" t="s" s="37">
        <v>92</v>
      </c>
      <c r="C357" t="s" s="37">
        <v>91</v>
      </c>
      <c r="D357" t="s" s="37">
        <v>205</v>
      </c>
      <c r="E357" t="s" s="37">
        <v>622</v>
      </c>
      <c r="F357" t="s" s="37">
        <v>630</v>
      </c>
      <c r="G357" t="s" s="37">
        <v>424</v>
      </c>
      <c r="H357" t="s" s="37">
        <v>1350</v>
      </c>
      <c r="I357" t="s" s="37">
        <v>1056</v>
      </c>
      <c r="J357" t="s" s="37">
        <v>955</v>
      </c>
      <c r="K357" t="s" s="40">
        <v>630</v>
      </c>
      <c r="L357" s="30"/>
    </row>
    <row r="358" ht="74.5" customHeight="1">
      <c r="A358" t="s" s="31">
        <v>1351</v>
      </c>
      <c r="B358" t="s" s="32">
        <v>92</v>
      </c>
      <c r="C358" t="s" s="32">
        <v>91</v>
      </c>
      <c r="D358" t="s" s="32">
        <v>205</v>
      </c>
      <c r="E358" t="s" s="32">
        <v>622</v>
      </c>
      <c r="F358" t="s" s="32">
        <v>622</v>
      </c>
      <c r="G358" t="s" s="32">
        <v>387</v>
      </c>
      <c r="H358" t="s" s="32">
        <v>1352</v>
      </c>
      <c r="I358" t="s" s="32">
        <v>1056</v>
      </c>
      <c r="J358" t="s" s="32">
        <v>955</v>
      </c>
      <c r="K358" t="s" s="35">
        <v>641</v>
      </c>
      <c r="L358" s="30"/>
    </row>
    <row r="359" ht="74.5" customHeight="1">
      <c r="A359" t="s" s="36">
        <v>1353</v>
      </c>
      <c r="B359" t="s" s="37">
        <v>92</v>
      </c>
      <c r="C359" t="s" s="37">
        <v>91</v>
      </c>
      <c r="D359" t="s" s="37">
        <v>205</v>
      </c>
      <c r="E359" t="s" s="37">
        <v>622</v>
      </c>
      <c r="F359" t="s" s="37">
        <v>622</v>
      </c>
      <c r="G359" t="s" s="37">
        <v>400</v>
      </c>
      <c r="H359" t="s" s="37">
        <v>1354</v>
      </c>
      <c r="I359" t="s" s="37">
        <v>1056</v>
      </c>
      <c r="J359" t="s" s="37">
        <v>955</v>
      </c>
      <c r="K359" t="s" s="40">
        <v>641</v>
      </c>
      <c r="L359" s="30"/>
    </row>
    <row r="360" ht="74.5" customHeight="1">
      <c r="A360" t="s" s="31">
        <v>1355</v>
      </c>
      <c r="B360" t="s" s="32">
        <v>92</v>
      </c>
      <c r="C360" t="s" s="32">
        <v>91</v>
      </c>
      <c r="D360" t="s" s="32">
        <v>205</v>
      </c>
      <c r="E360" t="s" s="32">
        <v>622</v>
      </c>
      <c r="F360" t="s" s="32">
        <v>622</v>
      </c>
      <c r="G360" t="s" s="32">
        <v>412</v>
      </c>
      <c r="H360" t="s" s="32">
        <v>1356</v>
      </c>
      <c r="I360" t="s" s="32">
        <v>1056</v>
      </c>
      <c r="J360" t="s" s="32">
        <v>955</v>
      </c>
      <c r="K360" t="s" s="35">
        <v>641</v>
      </c>
      <c r="L360" s="30"/>
    </row>
    <row r="361" ht="74.5" customHeight="1">
      <c r="A361" t="s" s="36">
        <v>1357</v>
      </c>
      <c r="B361" t="s" s="37">
        <v>92</v>
      </c>
      <c r="C361" t="s" s="37">
        <v>91</v>
      </c>
      <c r="D361" t="s" s="37">
        <v>205</v>
      </c>
      <c r="E361" t="s" s="37">
        <v>622</v>
      </c>
      <c r="F361" t="s" s="37">
        <v>622</v>
      </c>
      <c r="G361" t="s" s="37">
        <v>424</v>
      </c>
      <c r="H361" t="s" s="37">
        <v>1358</v>
      </c>
      <c r="I361" t="s" s="37">
        <v>1056</v>
      </c>
      <c r="J361" t="s" s="37">
        <v>955</v>
      </c>
      <c r="K361" t="s" s="40">
        <v>641</v>
      </c>
      <c r="L361" s="30"/>
    </row>
    <row r="362" ht="74.5" customHeight="1">
      <c r="A362" t="s" s="31">
        <v>1359</v>
      </c>
      <c r="B362" t="s" s="32">
        <v>105</v>
      </c>
      <c r="C362" t="s" s="32">
        <v>104</v>
      </c>
      <c r="D362" t="s" s="32">
        <v>156</v>
      </c>
      <c r="E362" t="s" s="32">
        <v>618</v>
      </c>
      <c r="F362" t="s" s="32">
        <v>618</v>
      </c>
      <c r="G362" t="s" s="32">
        <v>387</v>
      </c>
      <c r="H362" t="s" s="32">
        <v>1360</v>
      </c>
      <c r="I362" t="s" s="32">
        <v>1361</v>
      </c>
      <c r="J362" t="s" s="32">
        <v>1362</v>
      </c>
      <c r="K362" t="s" s="35">
        <v>622</v>
      </c>
      <c r="L362" s="30"/>
    </row>
    <row r="363" ht="74.5" customHeight="1">
      <c r="A363" t="s" s="36">
        <v>1363</v>
      </c>
      <c r="B363" t="s" s="37">
        <v>105</v>
      </c>
      <c r="C363" t="s" s="37">
        <v>104</v>
      </c>
      <c r="D363" t="s" s="37">
        <v>156</v>
      </c>
      <c r="E363" t="s" s="37">
        <v>618</v>
      </c>
      <c r="F363" t="s" s="37">
        <v>618</v>
      </c>
      <c r="G363" t="s" s="37">
        <v>400</v>
      </c>
      <c r="H363" t="s" s="37">
        <v>1364</v>
      </c>
      <c r="I363" t="s" s="37">
        <v>1361</v>
      </c>
      <c r="J363" t="s" s="37">
        <v>1362</v>
      </c>
      <c r="K363" t="s" s="40">
        <v>622</v>
      </c>
      <c r="L363" s="30"/>
    </row>
    <row r="364" ht="74.5" customHeight="1">
      <c r="A364" t="s" s="31">
        <v>1365</v>
      </c>
      <c r="B364" t="s" s="32">
        <v>105</v>
      </c>
      <c r="C364" t="s" s="32">
        <v>104</v>
      </c>
      <c r="D364" t="s" s="32">
        <v>156</v>
      </c>
      <c r="E364" t="s" s="32">
        <v>618</v>
      </c>
      <c r="F364" t="s" s="32">
        <v>618</v>
      </c>
      <c r="G364" t="s" s="32">
        <v>412</v>
      </c>
      <c r="H364" t="s" s="32">
        <v>1366</v>
      </c>
      <c r="I364" t="s" s="32">
        <v>1361</v>
      </c>
      <c r="J364" t="s" s="32">
        <v>1362</v>
      </c>
      <c r="K364" t="s" s="35">
        <v>622</v>
      </c>
      <c r="L364" s="30"/>
    </row>
    <row r="365" ht="74.5" customHeight="1">
      <c r="A365" t="s" s="36">
        <v>1367</v>
      </c>
      <c r="B365" t="s" s="37">
        <v>105</v>
      </c>
      <c r="C365" t="s" s="37">
        <v>104</v>
      </c>
      <c r="D365" t="s" s="37">
        <v>156</v>
      </c>
      <c r="E365" t="s" s="37">
        <v>618</v>
      </c>
      <c r="F365" t="s" s="37">
        <v>618</v>
      </c>
      <c r="G365" t="s" s="37">
        <v>424</v>
      </c>
      <c r="H365" t="s" s="37">
        <v>1368</v>
      </c>
      <c r="I365" t="s" s="37">
        <v>1361</v>
      </c>
      <c r="J365" t="s" s="37">
        <v>1362</v>
      </c>
      <c r="K365" t="s" s="40">
        <v>622</v>
      </c>
      <c r="L365" s="30"/>
    </row>
    <row r="366" ht="74.5" customHeight="1">
      <c r="A366" t="s" s="31">
        <v>1369</v>
      </c>
      <c r="B366" t="s" s="32">
        <v>105</v>
      </c>
      <c r="C366" t="s" s="32">
        <v>104</v>
      </c>
      <c r="D366" t="s" s="32">
        <v>156</v>
      </c>
      <c r="E366" t="s" s="32">
        <v>618</v>
      </c>
      <c r="F366" t="s" s="32">
        <v>630</v>
      </c>
      <c r="G366" t="s" s="32">
        <v>387</v>
      </c>
      <c r="H366" t="s" s="32">
        <v>1370</v>
      </c>
      <c r="I366" t="s" s="32">
        <v>1361</v>
      </c>
      <c r="J366" t="s" s="32">
        <v>1371</v>
      </c>
      <c r="K366" t="s" s="35">
        <v>622</v>
      </c>
      <c r="L366" s="30"/>
    </row>
    <row r="367" ht="74.5" customHeight="1">
      <c r="A367" t="s" s="36">
        <v>1372</v>
      </c>
      <c r="B367" t="s" s="37">
        <v>105</v>
      </c>
      <c r="C367" t="s" s="37">
        <v>104</v>
      </c>
      <c r="D367" t="s" s="37">
        <v>156</v>
      </c>
      <c r="E367" t="s" s="37">
        <v>618</v>
      </c>
      <c r="F367" t="s" s="37">
        <v>630</v>
      </c>
      <c r="G367" t="s" s="37">
        <v>400</v>
      </c>
      <c r="H367" t="s" s="37">
        <v>1373</v>
      </c>
      <c r="I367" t="s" s="37">
        <v>1361</v>
      </c>
      <c r="J367" t="s" s="37">
        <v>1371</v>
      </c>
      <c r="K367" t="s" s="40">
        <v>622</v>
      </c>
      <c r="L367" s="30"/>
    </row>
    <row r="368" ht="74.5" customHeight="1">
      <c r="A368" t="s" s="31">
        <v>1374</v>
      </c>
      <c r="B368" t="s" s="32">
        <v>105</v>
      </c>
      <c r="C368" t="s" s="32">
        <v>104</v>
      </c>
      <c r="D368" t="s" s="32">
        <v>156</v>
      </c>
      <c r="E368" t="s" s="32">
        <v>618</v>
      </c>
      <c r="F368" t="s" s="32">
        <v>630</v>
      </c>
      <c r="G368" t="s" s="32">
        <v>412</v>
      </c>
      <c r="H368" t="s" s="32">
        <v>1375</v>
      </c>
      <c r="I368" t="s" s="32">
        <v>1361</v>
      </c>
      <c r="J368" t="s" s="32">
        <v>1371</v>
      </c>
      <c r="K368" t="s" s="35">
        <v>622</v>
      </c>
      <c r="L368" s="30"/>
    </row>
    <row r="369" ht="74.5" customHeight="1">
      <c r="A369" t="s" s="36">
        <v>1376</v>
      </c>
      <c r="B369" t="s" s="37">
        <v>105</v>
      </c>
      <c r="C369" t="s" s="37">
        <v>104</v>
      </c>
      <c r="D369" t="s" s="37">
        <v>156</v>
      </c>
      <c r="E369" t="s" s="37">
        <v>618</v>
      </c>
      <c r="F369" t="s" s="37">
        <v>630</v>
      </c>
      <c r="G369" t="s" s="37">
        <v>424</v>
      </c>
      <c r="H369" t="s" s="37">
        <v>1377</v>
      </c>
      <c r="I369" t="s" s="37">
        <v>1361</v>
      </c>
      <c r="J369" t="s" s="37">
        <v>1371</v>
      </c>
      <c r="K369" t="s" s="40">
        <v>622</v>
      </c>
      <c r="L369" s="30"/>
    </row>
    <row r="370" ht="74.5" customHeight="1">
      <c r="A370" t="s" s="31">
        <v>1378</v>
      </c>
      <c r="B370" t="s" s="32">
        <v>105</v>
      </c>
      <c r="C370" t="s" s="32">
        <v>104</v>
      </c>
      <c r="D370" t="s" s="32">
        <v>156</v>
      </c>
      <c r="E370" t="s" s="32">
        <v>618</v>
      </c>
      <c r="F370" t="s" s="32">
        <v>622</v>
      </c>
      <c r="G370" t="s" s="32">
        <v>387</v>
      </c>
      <c r="H370" t="s" s="32">
        <v>1379</v>
      </c>
      <c r="I370" t="s" s="32">
        <v>1361</v>
      </c>
      <c r="J370" t="s" s="32">
        <v>1371</v>
      </c>
      <c r="K370" t="s" s="35">
        <v>641</v>
      </c>
      <c r="L370" s="30"/>
    </row>
    <row r="371" ht="74.5" customHeight="1">
      <c r="A371" t="s" s="36">
        <v>1380</v>
      </c>
      <c r="B371" t="s" s="37">
        <v>105</v>
      </c>
      <c r="C371" t="s" s="37">
        <v>104</v>
      </c>
      <c r="D371" t="s" s="37">
        <v>156</v>
      </c>
      <c r="E371" t="s" s="37">
        <v>618</v>
      </c>
      <c r="F371" t="s" s="37">
        <v>622</v>
      </c>
      <c r="G371" t="s" s="37">
        <v>400</v>
      </c>
      <c r="H371" t="s" s="37">
        <v>1381</v>
      </c>
      <c r="I371" t="s" s="37">
        <v>1361</v>
      </c>
      <c r="J371" t="s" s="37">
        <v>1371</v>
      </c>
      <c r="K371" t="s" s="40">
        <v>641</v>
      </c>
      <c r="L371" s="30"/>
    </row>
    <row r="372" ht="74.5" customHeight="1">
      <c r="A372" t="s" s="31">
        <v>1382</v>
      </c>
      <c r="B372" t="s" s="32">
        <v>105</v>
      </c>
      <c r="C372" t="s" s="32">
        <v>104</v>
      </c>
      <c r="D372" t="s" s="32">
        <v>156</v>
      </c>
      <c r="E372" t="s" s="32">
        <v>618</v>
      </c>
      <c r="F372" t="s" s="32">
        <v>622</v>
      </c>
      <c r="G372" t="s" s="32">
        <v>412</v>
      </c>
      <c r="H372" t="s" s="32">
        <v>1383</v>
      </c>
      <c r="I372" t="s" s="32">
        <v>1361</v>
      </c>
      <c r="J372" t="s" s="32">
        <v>1371</v>
      </c>
      <c r="K372" t="s" s="35">
        <v>641</v>
      </c>
      <c r="L372" s="30"/>
    </row>
    <row r="373" ht="74.5" customHeight="1">
      <c r="A373" t="s" s="36">
        <v>1384</v>
      </c>
      <c r="B373" t="s" s="37">
        <v>105</v>
      </c>
      <c r="C373" t="s" s="37">
        <v>104</v>
      </c>
      <c r="D373" t="s" s="37">
        <v>156</v>
      </c>
      <c r="E373" t="s" s="37">
        <v>618</v>
      </c>
      <c r="F373" t="s" s="37">
        <v>622</v>
      </c>
      <c r="G373" t="s" s="37">
        <v>424</v>
      </c>
      <c r="H373" t="s" s="37">
        <v>1385</v>
      </c>
      <c r="I373" t="s" s="37">
        <v>1361</v>
      </c>
      <c r="J373" t="s" s="37">
        <v>1371</v>
      </c>
      <c r="K373" t="s" s="40">
        <v>641</v>
      </c>
      <c r="L373" s="30"/>
    </row>
    <row r="374" ht="74.5" customHeight="1">
      <c r="A374" t="s" s="31">
        <v>1386</v>
      </c>
      <c r="B374" t="s" s="32">
        <v>105</v>
      </c>
      <c r="C374" t="s" s="32">
        <v>104</v>
      </c>
      <c r="D374" t="s" s="32">
        <v>156</v>
      </c>
      <c r="E374" t="s" s="32">
        <v>630</v>
      </c>
      <c r="F374" t="s" s="32">
        <v>618</v>
      </c>
      <c r="G374" t="s" s="32">
        <v>387</v>
      </c>
      <c r="H374" t="s" s="32">
        <v>1387</v>
      </c>
      <c r="I374" t="s" s="32">
        <v>1388</v>
      </c>
      <c r="J374" t="s" s="32">
        <v>651</v>
      </c>
      <c r="K374" t="s" s="35">
        <v>622</v>
      </c>
      <c r="L374" s="30"/>
    </row>
    <row r="375" ht="74.5" customHeight="1">
      <c r="A375" t="s" s="36">
        <v>1389</v>
      </c>
      <c r="B375" t="s" s="37">
        <v>105</v>
      </c>
      <c r="C375" t="s" s="37">
        <v>104</v>
      </c>
      <c r="D375" t="s" s="37">
        <v>156</v>
      </c>
      <c r="E375" t="s" s="37">
        <v>630</v>
      </c>
      <c r="F375" t="s" s="37">
        <v>618</v>
      </c>
      <c r="G375" t="s" s="37">
        <v>400</v>
      </c>
      <c r="H375" t="s" s="37">
        <v>1390</v>
      </c>
      <c r="I375" t="s" s="37">
        <v>1388</v>
      </c>
      <c r="J375" t="s" s="37">
        <v>651</v>
      </c>
      <c r="K375" t="s" s="40">
        <v>622</v>
      </c>
      <c r="L375" s="30"/>
    </row>
    <row r="376" ht="74.5" customHeight="1">
      <c r="A376" t="s" s="31">
        <v>1391</v>
      </c>
      <c r="B376" t="s" s="32">
        <v>105</v>
      </c>
      <c r="C376" t="s" s="32">
        <v>104</v>
      </c>
      <c r="D376" t="s" s="32">
        <v>156</v>
      </c>
      <c r="E376" t="s" s="32">
        <v>630</v>
      </c>
      <c r="F376" t="s" s="32">
        <v>618</v>
      </c>
      <c r="G376" t="s" s="32">
        <v>412</v>
      </c>
      <c r="H376" t="s" s="32">
        <v>1392</v>
      </c>
      <c r="I376" t="s" s="32">
        <v>1388</v>
      </c>
      <c r="J376" t="s" s="32">
        <v>651</v>
      </c>
      <c r="K376" t="s" s="35">
        <v>622</v>
      </c>
      <c r="L376" s="30"/>
    </row>
    <row r="377" ht="74.5" customHeight="1">
      <c r="A377" t="s" s="36">
        <v>1393</v>
      </c>
      <c r="B377" t="s" s="37">
        <v>105</v>
      </c>
      <c r="C377" t="s" s="37">
        <v>104</v>
      </c>
      <c r="D377" t="s" s="37">
        <v>156</v>
      </c>
      <c r="E377" t="s" s="37">
        <v>630</v>
      </c>
      <c r="F377" t="s" s="37">
        <v>618</v>
      </c>
      <c r="G377" t="s" s="37">
        <v>424</v>
      </c>
      <c r="H377" t="s" s="37">
        <v>1394</v>
      </c>
      <c r="I377" t="s" s="37">
        <v>1388</v>
      </c>
      <c r="J377" t="s" s="37">
        <v>651</v>
      </c>
      <c r="K377" t="s" s="40">
        <v>622</v>
      </c>
      <c r="L377" s="30"/>
    </row>
    <row r="378" ht="74.5" customHeight="1">
      <c r="A378" t="s" s="31">
        <v>1395</v>
      </c>
      <c r="B378" t="s" s="32">
        <v>105</v>
      </c>
      <c r="C378" t="s" s="32">
        <v>104</v>
      </c>
      <c r="D378" t="s" s="32">
        <v>156</v>
      </c>
      <c r="E378" t="s" s="32">
        <v>630</v>
      </c>
      <c r="F378" t="s" s="32">
        <v>630</v>
      </c>
      <c r="G378" t="s" s="32">
        <v>387</v>
      </c>
      <c r="H378" t="s" s="32">
        <v>1396</v>
      </c>
      <c r="I378" t="s" s="32">
        <v>1388</v>
      </c>
      <c r="J378" t="s" s="32">
        <v>660</v>
      </c>
      <c r="K378" t="s" s="35">
        <v>630</v>
      </c>
      <c r="L378" s="30"/>
    </row>
    <row r="379" ht="74.5" customHeight="1">
      <c r="A379" t="s" s="36">
        <v>1397</v>
      </c>
      <c r="B379" t="s" s="37">
        <v>105</v>
      </c>
      <c r="C379" t="s" s="37">
        <v>104</v>
      </c>
      <c r="D379" t="s" s="37">
        <v>156</v>
      </c>
      <c r="E379" t="s" s="37">
        <v>630</v>
      </c>
      <c r="F379" t="s" s="37">
        <v>630</v>
      </c>
      <c r="G379" t="s" s="37">
        <v>400</v>
      </c>
      <c r="H379" t="s" s="37">
        <v>1398</v>
      </c>
      <c r="I379" t="s" s="37">
        <v>1388</v>
      </c>
      <c r="J379" t="s" s="37">
        <v>660</v>
      </c>
      <c r="K379" t="s" s="40">
        <v>630</v>
      </c>
      <c r="L379" s="30"/>
    </row>
    <row r="380" ht="74.5" customHeight="1">
      <c r="A380" t="s" s="31">
        <v>1399</v>
      </c>
      <c r="B380" t="s" s="32">
        <v>105</v>
      </c>
      <c r="C380" t="s" s="32">
        <v>104</v>
      </c>
      <c r="D380" t="s" s="32">
        <v>156</v>
      </c>
      <c r="E380" t="s" s="32">
        <v>630</v>
      </c>
      <c r="F380" t="s" s="32">
        <v>630</v>
      </c>
      <c r="G380" t="s" s="32">
        <v>412</v>
      </c>
      <c r="H380" t="s" s="32">
        <v>1400</v>
      </c>
      <c r="I380" t="s" s="32">
        <v>1388</v>
      </c>
      <c r="J380" t="s" s="32">
        <v>660</v>
      </c>
      <c r="K380" t="s" s="35">
        <v>630</v>
      </c>
      <c r="L380" s="30"/>
    </row>
    <row r="381" ht="74.5" customHeight="1">
      <c r="A381" t="s" s="36">
        <v>1401</v>
      </c>
      <c r="B381" t="s" s="37">
        <v>105</v>
      </c>
      <c r="C381" t="s" s="37">
        <v>104</v>
      </c>
      <c r="D381" t="s" s="37">
        <v>156</v>
      </c>
      <c r="E381" t="s" s="37">
        <v>630</v>
      </c>
      <c r="F381" t="s" s="37">
        <v>630</v>
      </c>
      <c r="G381" t="s" s="37">
        <v>424</v>
      </c>
      <c r="H381" t="s" s="37">
        <v>1402</v>
      </c>
      <c r="I381" t="s" s="37">
        <v>1388</v>
      </c>
      <c r="J381" t="s" s="37">
        <v>660</v>
      </c>
      <c r="K381" t="s" s="40">
        <v>630</v>
      </c>
      <c r="L381" s="30"/>
    </row>
    <row r="382" ht="74.5" customHeight="1">
      <c r="A382" t="s" s="31">
        <v>1403</v>
      </c>
      <c r="B382" t="s" s="32">
        <v>105</v>
      </c>
      <c r="C382" t="s" s="32">
        <v>104</v>
      </c>
      <c r="D382" t="s" s="32">
        <v>156</v>
      </c>
      <c r="E382" t="s" s="32">
        <v>630</v>
      </c>
      <c r="F382" t="s" s="32">
        <v>622</v>
      </c>
      <c r="G382" t="s" s="32">
        <v>387</v>
      </c>
      <c r="H382" t="s" s="32">
        <v>1404</v>
      </c>
      <c r="I382" t="s" s="32">
        <v>1405</v>
      </c>
      <c r="J382" t="s" s="32">
        <v>660</v>
      </c>
      <c r="K382" t="s" s="35">
        <v>630</v>
      </c>
      <c r="L382" s="30"/>
    </row>
    <row r="383" ht="74.5" customHeight="1">
      <c r="A383" t="s" s="36">
        <v>1406</v>
      </c>
      <c r="B383" t="s" s="37">
        <v>105</v>
      </c>
      <c r="C383" t="s" s="37">
        <v>104</v>
      </c>
      <c r="D383" t="s" s="37">
        <v>156</v>
      </c>
      <c r="E383" t="s" s="37">
        <v>630</v>
      </c>
      <c r="F383" t="s" s="37">
        <v>622</v>
      </c>
      <c r="G383" t="s" s="37">
        <v>400</v>
      </c>
      <c r="H383" t="s" s="37">
        <v>1407</v>
      </c>
      <c r="I383" t="s" s="37">
        <v>1405</v>
      </c>
      <c r="J383" t="s" s="37">
        <v>660</v>
      </c>
      <c r="K383" t="s" s="40">
        <v>630</v>
      </c>
      <c r="L383" s="30"/>
    </row>
    <row r="384" ht="74.5" customHeight="1">
      <c r="A384" t="s" s="31">
        <v>1408</v>
      </c>
      <c r="B384" t="s" s="32">
        <v>105</v>
      </c>
      <c r="C384" t="s" s="32">
        <v>104</v>
      </c>
      <c r="D384" t="s" s="32">
        <v>156</v>
      </c>
      <c r="E384" t="s" s="32">
        <v>630</v>
      </c>
      <c r="F384" t="s" s="32">
        <v>622</v>
      </c>
      <c r="G384" t="s" s="32">
        <v>412</v>
      </c>
      <c r="H384" t="s" s="32">
        <v>1409</v>
      </c>
      <c r="I384" t="s" s="32">
        <v>1405</v>
      </c>
      <c r="J384" t="s" s="32">
        <v>660</v>
      </c>
      <c r="K384" t="s" s="35">
        <v>630</v>
      </c>
      <c r="L384" s="30"/>
    </row>
    <row r="385" ht="74.5" customHeight="1">
      <c r="A385" t="s" s="36">
        <v>1410</v>
      </c>
      <c r="B385" t="s" s="37">
        <v>105</v>
      </c>
      <c r="C385" t="s" s="37">
        <v>104</v>
      </c>
      <c r="D385" t="s" s="37">
        <v>156</v>
      </c>
      <c r="E385" t="s" s="37">
        <v>630</v>
      </c>
      <c r="F385" t="s" s="37">
        <v>622</v>
      </c>
      <c r="G385" t="s" s="37">
        <v>424</v>
      </c>
      <c r="H385" t="s" s="37">
        <v>1411</v>
      </c>
      <c r="I385" t="s" s="37">
        <v>1405</v>
      </c>
      <c r="J385" t="s" s="37">
        <v>660</v>
      </c>
      <c r="K385" t="s" s="40">
        <v>630</v>
      </c>
      <c r="L385" s="30"/>
    </row>
    <row r="386" ht="74.5" customHeight="1">
      <c r="A386" t="s" s="31">
        <v>1412</v>
      </c>
      <c r="B386" t="s" s="32">
        <v>105</v>
      </c>
      <c r="C386" t="s" s="32">
        <v>104</v>
      </c>
      <c r="D386" t="s" s="32">
        <v>156</v>
      </c>
      <c r="E386" t="s" s="32">
        <v>622</v>
      </c>
      <c r="F386" t="s" s="32">
        <v>618</v>
      </c>
      <c r="G386" t="s" s="32">
        <v>387</v>
      </c>
      <c r="H386" t="s" s="32">
        <v>1413</v>
      </c>
      <c r="I386" t="s" s="32">
        <v>1414</v>
      </c>
      <c r="J386" t="s" s="32">
        <v>651</v>
      </c>
      <c r="K386" t="s" s="35">
        <v>622</v>
      </c>
      <c r="L386" s="30"/>
    </row>
    <row r="387" ht="74.5" customHeight="1">
      <c r="A387" t="s" s="36">
        <v>1415</v>
      </c>
      <c r="B387" t="s" s="37">
        <v>105</v>
      </c>
      <c r="C387" t="s" s="37">
        <v>104</v>
      </c>
      <c r="D387" t="s" s="37">
        <v>156</v>
      </c>
      <c r="E387" t="s" s="37">
        <v>622</v>
      </c>
      <c r="F387" t="s" s="37">
        <v>618</v>
      </c>
      <c r="G387" t="s" s="37">
        <v>400</v>
      </c>
      <c r="H387" t="s" s="37">
        <v>1416</v>
      </c>
      <c r="I387" t="s" s="37">
        <v>1414</v>
      </c>
      <c r="J387" t="s" s="37">
        <v>651</v>
      </c>
      <c r="K387" t="s" s="40">
        <v>622</v>
      </c>
      <c r="L387" s="30"/>
    </row>
    <row r="388" ht="74.5" customHeight="1">
      <c r="A388" t="s" s="31">
        <v>1417</v>
      </c>
      <c r="B388" t="s" s="32">
        <v>105</v>
      </c>
      <c r="C388" t="s" s="32">
        <v>104</v>
      </c>
      <c r="D388" t="s" s="32">
        <v>156</v>
      </c>
      <c r="E388" t="s" s="32">
        <v>622</v>
      </c>
      <c r="F388" t="s" s="32">
        <v>618</v>
      </c>
      <c r="G388" t="s" s="32">
        <v>412</v>
      </c>
      <c r="H388" t="s" s="32">
        <v>1418</v>
      </c>
      <c r="I388" t="s" s="32">
        <v>1414</v>
      </c>
      <c r="J388" t="s" s="32">
        <v>651</v>
      </c>
      <c r="K388" t="s" s="35">
        <v>622</v>
      </c>
      <c r="L388" s="30"/>
    </row>
    <row r="389" ht="74.5" customHeight="1">
      <c r="A389" t="s" s="36">
        <v>1419</v>
      </c>
      <c r="B389" t="s" s="37">
        <v>105</v>
      </c>
      <c r="C389" t="s" s="37">
        <v>104</v>
      </c>
      <c r="D389" t="s" s="37">
        <v>156</v>
      </c>
      <c r="E389" t="s" s="37">
        <v>622</v>
      </c>
      <c r="F389" t="s" s="37">
        <v>618</v>
      </c>
      <c r="G389" t="s" s="37">
        <v>424</v>
      </c>
      <c r="H389" t="s" s="37">
        <v>1420</v>
      </c>
      <c r="I389" t="s" s="37">
        <v>1414</v>
      </c>
      <c r="J389" t="s" s="37">
        <v>651</v>
      </c>
      <c r="K389" t="s" s="40">
        <v>622</v>
      </c>
      <c r="L389" s="30"/>
    </row>
    <row r="390" ht="74.5" customHeight="1">
      <c r="A390" t="s" s="31">
        <v>1421</v>
      </c>
      <c r="B390" t="s" s="32">
        <v>105</v>
      </c>
      <c r="C390" t="s" s="32">
        <v>104</v>
      </c>
      <c r="D390" t="s" s="32">
        <v>156</v>
      </c>
      <c r="E390" t="s" s="32">
        <v>622</v>
      </c>
      <c r="F390" t="s" s="32">
        <v>630</v>
      </c>
      <c r="G390" t="s" s="32">
        <v>387</v>
      </c>
      <c r="H390" t="s" s="32">
        <v>1422</v>
      </c>
      <c r="I390" t="s" s="32">
        <v>1423</v>
      </c>
      <c r="J390" t="s" s="32">
        <v>660</v>
      </c>
      <c r="K390" t="s" s="35">
        <v>630</v>
      </c>
      <c r="L390" s="30"/>
    </row>
    <row r="391" ht="74.5" customHeight="1">
      <c r="A391" t="s" s="36">
        <v>1424</v>
      </c>
      <c r="B391" t="s" s="37">
        <v>105</v>
      </c>
      <c r="C391" t="s" s="37">
        <v>104</v>
      </c>
      <c r="D391" t="s" s="37">
        <v>156</v>
      </c>
      <c r="E391" t="s" s="37">
        <v>622</v>
      </c>
      <c r="F391" t="s" s="37">
        <v>630</v>
      </c>
      <c r="G391" t="s" s="37">
        <v>400</v>
      </c>
      <c r="H391" t="s" s="37">
        <v>1425</v>
      </c>
      <c r="I391" t="s" s="37">
        <v>1423</v>
      </c>
      <c r="J391" t="s" s="37">
        <v>660</v>
      </c>
      <c r="K391" t="s" s="40">
        <v>630</v>
      </c>
      <c r="L391" s="30"/>
    </row>
    <row r="392" ht="62.5" customHeight="1">
      <c r="A392" t="s" s="31">
        <v>1426</v>
      </c>
      <c r="B392" t="s" s="32">
        <v>105</v>
      </c>
      <c r="C392" t="s" s="32">
        <v>104</v>
      </c>
      <c r="D392" t="s" s="32">
        <v>156</v>
      </c>
      <c r="E392" t="s" s="32">
        <v>622</v>
      </c>
      <c r="F392" t="s" s="32">
        <v>630</v>
      </c>
      <c r="G392" t="s" s="32">
        <v>412</v>
      </c>
      <c r="H392" t="s" s="32">
        <v>1427</v>
      </c>
      <c r="I392" t="s" s="32">
        <v>1423</v>
      </c>
      <c r="J392" t="s" s="32">
        <v>660</v>
      </c>
      <c r="K392" t="s" s="35">
        <v>630</v>
      </c>
      <c r="L392" s="30"/>
    </row>
    <row r="393" ht="74.5" customHeight="1">
      <c r="A393" t="s" s="36">
        <v>1428</v>
      </c>
      <c r="B393" t="s" s="37">
        <v>105</v>
      </c>
      <c r="C393" t="s" s="37">
        <v>104</v>
      </c>
      <c r="D393" t="s" s="37">
        <v>156</v>
      </c>
      <c r="E393" t="s" s="37">
        <v>622</v>
      </c>
      <c r="F393" t="s" s="37">
        <v>630</v>
      </c>
      <c r="G393" t="s" s="37">
        <v>424</v>
      </c>
      <c r="H393" t="s" s="37">
        <v>1429</v>
      </c>
      <c r="I393" t="s" s="37">
        <v>1423</v>
      </c>
      <c r="J393" t="s" s="37">
        <v>660</v>
      </c>
      <c r="K393" t="s" s="40">
        <v>630</v>
      </c>
      <c r="L393" s="30"/>
    </row>
    <row r="394" ht="74.5" customHeight="1">
      <c r="A394" t="s" s="31">
        <v>1430</v>
      </c>
      <c r="B394" t="s" s="32">
        <v>105</v>
      </c>
      <c r="C394" t="s" s="32">
        <v>104</v>
      </c>
      <c r="D394" t="s" s="32">
        <v>156</v>
      </c>
      <c r="E394" t="s" s="32">
        <v>622</v>
      </c>
      <c r="F394" t="s" s="32">
        <v>622</v>
      </c>
      <c r="G394" t="s" s="32">
        <v>387</v>
      </c>
      <c r="H394" t="s" s="32">
        <v>1431</v>
      </c>
      <c r="I394" t="s" s="32">
        <v>1423</v>
      </c>
      <c r="J394" t="s" s="32">
        <v>660</v>
      </c>
      <c r="K394" t="s" s="35">
        <v>641</v>
      </c>
      <c r="L394" s="30"/>
    </row>
    <row r="395" ht="74.5" customHeight="1">
      <c r="A395" t="s" s="36">
        <v>1432</v>
      </c>
      <c r="B395" t="s" s="37">
        <v>105</v>
      </c>
      <c r="C395" t="s" s="37">
        <v>104</v>
      </c>
      <c r="D395" t="s" s="37">
        <v>156</v>
      </c>
      <c r="E395" t="s" s="37">
        <v>622</v>
      </c>
      <c r="F395" t="s" s="37">
        <v>622</v>
      </c>
      <c r="G395" t="s" s="37">
        <v>400</v>
      </c>
      <c r="H395" t="s" s="37">
        <v>1433</v>
      </c>
      <c r="I395" t="s" s="37">
        <v>1423</v>
      </c>
      <c r="J395" t="s" s="37">
        <v>660</v>
      </c>
      <c r="K395" t="s" s="40">
        <v>641</v>
      </c>
      <c r="L395" s="30"/>
    </row>
    <row r="396" ht="62.5" customHeight="1">
      <c r="A396" t="s" s="31">
        <v>1434</v>
      </c>
      <c r="B396" t="s" s="32">
        <v>105</v>
      </c>
      <c r="C396" t="s" s="32">
        <v>104</v>
      </c>
      <c r="D396" t="s" s="32">
        <v>156</v>
      </c>
      <c r="E396" t="s" s="32">
        <v>622</v>
      </c>
      <c r="F396" t="s" s="32">
        <v>622</v>
      </c>
      <c r="G396" t="s" s="32">
        <v>412</v>
      </c>
      <c r="H396" t="s" s="32">
        <v>1435</v>
      </c>
      <c r="I396" t="s" s="32">
        <v>1423</v>
      </c>
      <c r="J396" t="s" s="32">
        <v>660</v>
      </c>
      <c r="K396" t="s" s="35">
        <v>641</v>
      </c>
      <c r="L396" s="30"/>
    </row>
    <row r="397" ht="74.5" customHeight="1">
      <c r="A397" t="s" s="36">
        <v>1436</v>
      </c>
      <c r="B397" t="s" s="37">
        <v>105</v>
      </c>
      <c r="C397" t="s" s="37">
        <v>104</v>
      </c>
      <c r="D397" t="s" s="37">
        <v>156</v>
      </c>
      <c r="E397" t="s" s="37">
        <v>622</v>
      </c>
      <c r="F397" t="s" s="37">
        <v>622</v>
      </c>
      <c r="G397" t="s" s="37">
        <v>424</v>
      </c>
      <c r="H397" t="s" s="37">
        <v>1437</v>
      </c>
      <c r="I397" t="s" s="37">
        <v>1423</v>
      </c>
      <c r="J397" t="s" s="37">
        <v>660</v>
      </c>
      <c r="K397" t="s" s="40">
        <v>641</v>
      </c>
      <c r="L397" s="30"/>
    </row>
    <row r="398" ht="74.5" customHeight="1">
      <c r="A398" t="s" s="31">
        <v>1438</v>
      </c>
      <c r="B398" t="s" s="32">
        <v>105</v>
      </c>
      <c r="C398" t="s" s="32">
        <v>104</v>
      </c>
      <c r="D398" t="s" s="32">
        <v>169</v>
      </c>
      <c r="E398" t="s" s="32">
        <v>618</v>
      </c>
      <c r="F398" t="s" s="32">
        <v>618</v>
      </c>
      <c r="G398" t="s" s="32">
        <v>387</v>
      </c>
      <c r="H398" t="s" s="32">
        <v>1439</v>
      </c>
      <c r="I398" t="s" s="32">
        <v>1361</v>
      </c>
      <c r="J398" t="s" s="32">
        <v>1362</v>
      </c>
      <c r="K398" t="s" s="35">
        <v>622</v>
      </c>
      <c r="L398" s="30"/>
    </row>
    <row r="399" ht="74.5" customHeight="1">
      <c r="A399" t="s" s="36">
        <v>1440</v>
      </c>
      <c r="B399" t="s" s="37">
        <v>105</v>
      </c>
      <c r="C399" t="s" s="37">
        <v>104</v>
      </c>
      <c r="D399" t="s" s="37">
        <v>169</v>
      </c>
      <c r="E399" t="s" s="37">
        <v>618</v>
      </c>
      <c r="F399" t="s" s="37">
        <v>618</v>
      </c>
      <c r="G399" t="s" s="37">
        <v>400</v>
      </c>
      <c r="H399" t="s" s="37">
        <v>1441</v>
      </c>
      <c r="I399" t="s" s="37">
        <v>1361</v>
      </c>
      <c r="J399" t="s" s="37">
        <v>1362</v>
      </c>
      <c r="K399" t="s" s="40">
        <v>622</v>
      </c>
      <c r="L399" s="30"/>
    </row>
    <row r="400" ht="74.5" customHeight="1">
      <c r="A400" t="s" s="31">
        <v>1442</v>
      </c>
      <c r="B400" t="s" s="32">
        <v>105</v>
      </c>
      <c r="C400" t="s" s="32">
        <v>104</v>
      </c>
      <c r="D400" t="s" s="32">
        <v>169</v>
      </c>
      <c r="E400" t="s" s="32">
        <v>618</v>
      </c>
      <c r="F400" t="s" s="32">
        <v>618</v>
      </c>
      <c r="G400" t="s" s="32">
        <v>412</v>
      </c>
      <c r="H400" t="s" s="32">
        <v>1443</v>
      </c>
      <c r="I400" t="s" s="32">
        <v>1361</v>
      </c>
      <c r="J400" t="s" s="32">
        <v>1362</v>
      </c>
      <c r="K400" t="s" s="35">
        <v>622</v>
      </c>
      <c r="L400" s="30"/>
    </row>
    <row r="401" ht="74.5" customHeight="1">
      <c r="A401" t="s" s="36">
        <v>1444</v>
      </c>
      <c r="B401" t="s" s="37">
        <v>105</v>
      </c>
      <c r="C401" t="s" s="37">
        <v>104</v>
      </c>
      <c r="D401" t="s" s="37">
        <v>169</v>
      </c>
      <c r="E401" t="s" s="37">
        <v>618</v>
      </c>
      <c r="F401" t="s" s="37">
        <v>618</v>
      </c>
      <c r="G401" t="s" s="37">
        <v>424</v>
      </c>
      <c r="H401" t="s" s="37">
        <v>1445</v>
      </c>
      <c r="I401" t="s" s="37">
        <v>1361</v>
      </c>
      <c r="J401" t="s" s="37">
        <v>1362</v>
      </c>
      <c r="K401" t="s" s="40">
        <v>622</v>
      </c>
      <c r="L401" s="30"/>
    </row>
    <row r="402" ht="74.5" customHeight="1">
      <c r="A402" t="s" s="31">
        <v>1446</v>
      </c>
      <c r="B402" t="s" s="32">
        <v>105</v>
      </c>
      <c r="C402" t="s" s="32">
        <v>104</v>
      </c>
      <c r="D402" t="s" s="32">
        <v>169</v>
      </c>
      <c r="E402" t="s" s="32">
        <v>618</v>
      </c>
      <c r="F402" t="s" s="32">
        <v>630</v>
      </c>
      <c r="G402" t="s" s="32">
        <v>387</v>
      </c>
      <c r="H402" t="s" s="32">
        <v>1447</v>
      </c>
      <c r="I402" t="s" s="32">
        <v>1361</v>
      </c>
      <c r="J402" t="s" s="32">
        <v>1371</v>
      </c>
      <c r="K402" t="s" s="35">
        <v>622</v>
      </c>
      <c r="L402" s="30"/>
    </row>
    <row r="403" ht="74.5" customHeight="1">
      <c r="A403" t="s" s="36">
        <v>1448</v>
      </c>
      <c r="B403" t="s" s="37">
        <v>105</v>
      </c>
      <c r="C403" t="s" s="37">
        <v>104</v>
      </c>
      <c r="D403" t="s" s="37">
        <v>169</v>
      </c>
      <c r="E403" t="s" s="37">
        <v>618</v>
      </c>
      <c r="F403" t="s" s="37">
        <v>630</v>
      </c>
      <c r="G403" t="s" s="37">
        <v>400</v>
      </c>
      <c r="H403" t="s" s="37">
        <v>1449</v>
      </c>
      <c r="I403" t="s" s="37">
        <v>1361</v>
      </c>
      <c r="J403" t="s" s="37">
        <v>1371</v>
      </c>
      <c r="K403" t="s" s="40">
        <v>622</v>
      </c>
      <c r="L403" s="30"/>
    </row>
    <row r="404" ht="74.5" customHeight="1">
      <c r="A404" t="s" s="31">
        <v>1450</v>
      </c>
      <c r="B404" t="s" s="32">
        <v>105</v>
      </c>
      <c r="C404" t="s" s="32">
        <v>104</v>
      </c>
      <c r="D404" t="s" s="32">
        <v>169</v>
      </c>
      <c r="E404" t="s" s="32">
        <v>618</v>
      </c>
      <c r="F404" t="s" s="32">
        <v>630</v>
      </c>
      <c r="G404" t="s" s="32">
        <v>412</v>
      </c>
      <c r="H404" t="s" s="32">
        <v>1451</v>
      </c>
      <c r="I404" t="s" s="32">
        <v>1361</v>
      </c>
      <c r="J404" t="s" s="32">
        <v>1371</v>
      </c>
      <c r="K404" t="s" s="35">
        <v>622</v>
      </c>
      <c r="L404" s="30"/>
    </row>
    <row r="405" ht="74.5" customHeight="1">
      <c r="A405" t="s" s="36">
        <v>1452</v>
      </c>
      <c r="B405" t="s" s="37">
        <v>105</v>
      </c>
      <c r="C405" t="s" s="37">
        <v>104</v>
      </c>
      <c r="D405" t="s" s="37">
        <v>169</v>
      </c>
      <c r="E405" t="s" s="37">
        <v>618</v>
      </c>
      <c r="F405" t="s" s="37">
        <v>630</v>
      </c>
      <c r="G405" t="s" s="37">
        <v>424</v>
      </c>
      <c r="H405" t="s" s="37">
        <v>1453</v>
      </c>
      <c r="I405" t="s" s="37">
        <v>1361</v>
      </c>
      <c r="J405" t="s" s="37">
        <v>1371</v>
      </c>
      <c r="K405" t="s" s="40">
        <v>622</v>
      </c>
      <c r="L405" s="30"/>
    </row>
    <row r="406" ht="74.5" customHeight="1">
      <c r="A406" t="s" s="31">
        <v>1454</v>
      </c>
      <c r="B406" t="s" s="32">
        <v>105</v>
      </c>
      <c r="C406" t="s" s="32">
        <v>104</v>
      </c>
      <c r="D406" t="s" s="32">
        <v>169</v>
      </c>
      <c r="E406" t="s" s="32">
        <v>618</v>
      </c>
      <c r="F406" t="s" s="32">
        <v>622</v>
      </c>
      <c r="G406" t="s" s="32">
        <v>387</v>
      </c>
      <c r="H406" t="s" s="32">
        <v>1455</v>
      </c>
      <c r="I406" t="s" s="32">
        <v>1361</v>
      </c>
      <c r="J406" t="s" s="32">
        <v>1371</v>
      </c>
      <c r="K406" t="s" s="35">
        <v>641</v>
      </c>
      <c r="L406" s="30"/>
    </row>
    <row r="407" ht="74.5" customHeight="1">
      <c r="A407" t="s" s="36">
        <v>1456</v>
      </c>
      <c r="B407" t="s" s="37">
        <v>105</v>
      </c>
      <c r="C407" t="s" s="37">
        <v>104</v>
      </c>
      <c r="D407" t="s" s="37">
        <v>169</v>
      </c>
      <c r="E407" t="s" s="37">
        <v>618</v>
      </c>
      <c r="F407" t="s" s="37">
        <v>622</v>
      </c>
      <c r="G407" t="s" s="37">
        <v>400</v>
      </c>
      <c r="H407" t="s" s="37">
        <v>1457</v>
      </c>
      <c r="I407" t="s" s="37">
        <v>1361</v>
      </c>
      <c r="J407" t="s" s="37">
        <v>1371</v>
      </c>
      <c r="K407" t="s" s="40">
        <v>641</v>
      </c>
      <c r="L407" s="30"/>
    </row>
    <row r="408" ht="74.5" customHeight="1">
      <c r="A408" t="s" s="31">
        <v>1458</v>
      </c>
      <c r="B408" t="s" s="32">
        <v>105</v>
      </c>
      <c r="C408" t="s" s="32">
        <v>104</v>
      </c>
      <c r="D408" t="s" s="32">
        <v>169</v>
      </c>
      <c r="E408" t="s" s="32">
        <v>618</v>
      </c>
      <c r="F408" t="s" s="32">
        <v>622</v>
      </c>
      <c r="G408" t="s" s="32">
        <v>412</v>
      </c>
      <c r="H408" t="s" s="32">
        <v>1459</v>
      </c>
      <c r="I408" t="s" s="32">
        <v>1361</v>
      </c>
      <c r="J408" t="s" s="32">
        <v>1371</v>
      </c>
      <c r="K408" t="s" s="35">
        <v>641</v>
      </c>
      <c r="L408" s="30"/>
    </row>
    <row r="409" ht="74.5" customHeight="1">
      <c r="A409" t="s" s="36">
        <v>1460</v>
      </c>
      <c r="B409" t="s" s="37">
        <v>105</v>
      </c>
      <c r="C409" t="s" s="37">
        <v>104</v>
      </c>
      <c r="D409" t="s" s="37">
        <v>169</v>
      </c>
      <c r="E409" t="s" s="37">
        <v>618</v>
      </c>
      <c r="F409" t="s" s="37">
        <v>622</v>
      </c>
      <c r="G409" t="s" s="37">
        <v>424</v>
      </c>
      <c r="H409" t="s" s="37">
        <v>1461</v>
      </c>
      <c r="I409" t="s" s="37">
        <v>1361</v>
      </c>
      <c r="J409" t="s" s="37">
        <v>1371</v>
      </c>
      <c r="K409" t="s" s="40">
        <v>641</v>
      </c>
      <c r="L409" s="30"/>
    </row>
    <row r="410" ht="74.5" customHeight="1">
      <c r="A410" t="s" s="31">
        <v>1462</v>
      </c>
      <c r="B410" t="s" s="32">
        <v>105</v>
      </c>
      <c r="C410" t="s" s="32">
        <v>104</v>
      </c>
      <c r="D410" t="s" s="32">
        <v>169</v>
      </c>
      <c r="E410" t="s" s="32">
        <v>630</v>
      </c>
      <c r="F410" t="s" s="32">
        <v>618</v>
      </c>
      <c r="G410" t="s" s="32">
        <v>387</v>
      </c>
      <c r="H410" t="s" s="32">
        <v>1463</v>
      </c>
      <c r="I410" t="s" s="32">
        <v>1388</v>
      </c>
      <c r="J410" t="s" s="32">
        <v>651</v>
      </c>
      <c r="K410" t="s" s="35">
        <v>622</v>
      </c>
      <c r="L410" s="30"/>
    </row>
    <row r="411" ht="74.5" customHeight="1">
      <c r="A411" t="s" s="36">
        <v>1464</v>
      </c>
      <c r="B411" t="s" s="37">
        <v>105</v>
      </c>
      <c r="C411" t="s" s="37">
        <v>104</v>
      </c>
      <c r="D411" t="s" s="37">
        <v>169</v>
      </c>
      <c r="E411" t="s" s="37">
        <v>630</v>
      </c>
      <c r="F411" t="s" s="37">
        <v>618</v>
      </c>
      <c r="G411" t="s" s="37">
        <v>400</v>
      </c>
      <c r="H411" t="s" s="37">
        <v>1465</v>
      </c>
      <c r="I411" t="s" s="37">
        <v>1388</v>
      </c>
      <c r="J411" t="s" s="37">
        <v>651</v>
      </c>
      <c r="K411" t="s" s="40">
        <v>622</v>
      </c>
      <c r="L411" s="30"/>
    </row>
    <row r="412" ht="74.5" customHeight="1">
      <c r="A412" t="s" s="31">
        <v>1466</v>
      </c>
      <c r="B412" t="s" s="32">
        <v>105</v>
      </c>
      <c r="C412" t="s" s="32">
        <v>104</v>
      </c>
      <c r="D412" t="s" s="32">
        <v>169</v>
      </c>
      <c r="E412" t="s" s="32">
        <v>630</v>
      </c>
      <c r="F412" t="s" s="32">
        <v>618</v>
      </c>
      <c r="G412" t="s" s="32">
        <v>412</v>
      </c>
      <c r="H412" t="s" s="32">
        <v>1467</v>
      </c>
      <c r="I412" t="s" s="32">
        <v>1388</v>
      </c>
      <c r="J412" t="s" s="32">
        <v>651</v>
      </c>
      <c r="K412" t="s" s="35">
        <v>622</v>
      </c>
      <c r="L412" s="30"/>
    </row>
    <row r="413" ht="74.5" customHeight="1">
      <c r="A413" t="s" s="36">
        <v>1468</v>
      </c>
      <c r="B413" t="s" s="37">
        <v>105</v>
      </c>
      <c r="C413" t="s" s="37">
        <v>104</v>
      </c>
      <c r="D413" t="s" s="37">
        <v>169</v>
      </c>
      <c r="E413" t="s" s="37">
        <v>630</v>
      </c>
      <c r="F413" t="s" s="37">
        <v>618</v>
      </c>
      <c r="G413" t="s" s="37">
        <v>424</v>
      </c>
      <c r="H413" t="s" s="37">
        <v>1469</v>
      </c>
      <c r="I413" t="s" s="37">
        <v>1388</v>
      </c>
      <c r="J413" t="s" s="37">
        <v>651</v>
      </c>
      <c r="K413" t="s" s="40">
        <v>622</v>
      </c>
      <c r="L413" s="30"/>
    </row>
    <row r="414" ht="74.5" customHeight="1">
      <c r="A414" t="s" s="31">
        <v>1470</v>
      </c>
      <c r="B414" t="s" s="32">
        <v>105</v>
      </c>
      <c r="C414" t="s" s="32">
        <v>104</v>
      </c>
      <c r="D414" t="s" s="32">
        <v>169</v>
      </c>
      <c r="E414" t="s" s="32">
        <v>630</v>
      </c>
      <c r="F414" t="s" s="32">
        <v>630</v>
      </c>
      <c r="G414" t="s" s="32">
        <v>387</v>
      </c>
      <c r="H414" t="s" s="32">
        <v>1471</v>
      </c>
      <c r="I414" t="s" s="32">
        <v>1388</v>
      </c>
      <c r="J414" t="s" s="32">
        <v>660</v>
      </c>
      <c r="K414" t="s" s="35">
        <v>630</v>
      </c>
      <c r="L414" s="30"/>
    </row>
    <row r="415" ht="74.5" customHeight="1">
      <c r="A415" t="s" s="36">
        <v>1472</v>
      </c>
      <c r="B415" t="s" s="37">
        <v>105</v>
      </c>
      <c r="C415" t="s" s="37">
        <v>104</v>
      </c>
      <c r="D415" t="s" s="37">
        <v>169</v>
      </c>
      <c r="E415" t="s" s="37">
        <v>630</v>
      </c>
      <c r="F415" t="s" s="37">
        <v>630</v>
      </c>
      <c r="G415" t="s" s="37">
        <v>400</v>
      </c>
      <c r="H415" t="s" s="37">
        <v>1473</v>
      </c>
      <c r="I415" t="s" s="37">
        <v>1388</v>
      </c>
      <c r="J415" t="s" s="37">
        <v>660</v>
      </c>
      <c r="K415" t="s" s="40">
        <v>630</v>
      </c>
      <c r="L415" s="30"/>
    </row>
    <row r="416" ht="62.5" customHeight="1">
      <c r="A416" t="s" s="31">
        <v>1474</v>
      </c>
      <c r="B416" t="s" s="32">
        <v>105</v>
      </c>
      <c r="C416" t="s" s="32">
        <v>104</v>
      </c>
      <c r="D416" t="s" s="32">
        <v>169</v>
      </c>
      <c r="E416" t="s" s="32">
        <v>630</v>
      </c>
      <c r="F416" t="s" s="32">
        <v>630</v>
      </c>
      <c r="G416" t="s" s="32">
        <v>412</v>
      </c>
      <c r="H416" t="s" s="32">
        <v>1475</v>
      </c>
      <c r="I416" t="s" s="32">
        <v>1388</v>
      </c>
      <c r="J416" t="s" s="32">
        <v>660</v>
      </c>
      <c r="K416" t="s" s="35">
        <v>630</v>
      </c>
      <c r="L416" s="30"/>
    </row>
    <row r="417" ht="74.5" customHeight="1">
      <c r="A417" t="s" s="36">
        <v>1476</v>
      </c>
      <c r="B417" t="s" s="37">
        <v>105</v>
      </c>
      <c r="C417" t="s" s="37">
        <v>104</v>
      </c>
      <c r="D417" t="s" s="37">
        <v>169</v>
      </c>
      <c r="E417" t="s" s="37">
        <v>630</v>
      </c>
      <c r="F417" t="s" s="37">
        <v>630</v>
      </c>
      <c r="G417" t="s" s="37">
        <v>424</v>
      </c>
      <c r="H417" t="s" s="37">
        <v>1477</v>
      </c>
      <c r="I417" t="s" s="37">
        <v>1388</v>
      </c>
      <c r="J417" t="s" s="37">
        <v>660</v>
      </c>
      <c r="K417" t="s" s="40">
        <v>630</v>
      </c>
      <c r="L417" s="30"/>
    </row>
    <row r="418" ht="74.5" customHeight="1">
      <c r="A418" t="s" s="31">
        <v>1478</v>
      </c>
      <c r="B418" t="s" s="32">
        <v>105</v>
      </c>
      <c r="C418" t="s" s="32">
        <v>104</v>
      </c>
      <c r="D418" t="s" s="32">
        <v>169</v>
      </c>
      <c r="E418" t="s" s="32">
        <v>630</v>
      </c>
      <c r="F418" t="s" s="32">
        <v>622</v>
      </c>
      <c r="G418" t="s" s="32">
        <v>387</v>
      </c>
      <c r="H418" t="s" s="32">
        <v>1479</v>
      </c>
      <c r="I418" t="s" s="32">
        <v>1405</v>
      </c>
      <c r="J418" t="s" s="32">
        <v>660</v>
      </c>
      <c r="K418" t="s" s="35">
        <v>630</v>
      </c>
      <c r="L418" s="30"/>
    </row>
    <row r="419" ht="74.5" customHeight="1">
      <c r="A419" t="s" s="36">
        <v>1480</v>
      </c>
      <c r="B419" t="s" s="37">
        <v>105</v>
      </c>
      <c r="C419" t="s" s="37">
        <v>104</v>
      </c>
      <c r="D419" t="s" s="37">
        <v>169</v>
      </c>
      <c r="E419" t="s" s="37">
        <v>630</v>
      </c>
      <c r="F419" t="s" s="37">
        <v>622</v>
      </c>
      <c r="G419" t="s" s="37">
        <v>400</v>
      </c>
      <c r="H419" t="s" s="37">
        <v>1481</v>
      </c>
      <c r="I419" t="s" s="37">
        <v>1405</v>
      </c>
      <c r="J419" t="s" s="37">
        <v>660</v>
      </c>
      <c r="K419" t="s" s="40">
        <v>630</v>
      </c>
      <c r="L419" s="30"/>
    </row>
    <row r="420" ht="74.5" customHeight="1">
      <c r="A420" t="s" s="31">
        <v>1482</v>
      </c>
      <c r="B420" t="s" s="32">
        <v>105</v>
      </c>
      <c r="C420" t="s" s="32">
        <v>104</v>
      </c>
      <c r="D420" t="s" s="32">
        <v>169</v>
      </c>
      <c r="E420" t="s" s="32">
        <v>630</v>
      </c>
      <c r="F420" t="s" s="32">
        <v>622</v>
      </c>
      <c r="G420" t="s" s="32">
        <v>412</v>
      </c>
      <c r="H420" t="s" s="32">
        <v>1483</v>
      </c>
      <c r="I420" t="s" s="32">
        <v>1405</v>
      </c>
      <c r="J420" t="s" s="32">
        <v>660</v>
      </c>
      <c r="K420" t="s" s="35">
        <v>630</v>
      </c>
      <c r="L420" s="30"/>
    </row>
    <row r="421" ht="74.5" customHeight="1">
      <c r="A421" t="s" s="36">
        <v>1484</v>
      </c>
      <c r="B421" t="s" s="37">
        <v>105</v>
      </c>
      <c r="C421" t="s" s="37">
        <v>104</v>
      </c>
      <c r="D421" t="s" s="37">
        <v>169</v>
      </c>
      <c r="E421" t="s" s="37">
        <v>630</v>
      </c>
      <c r="F421" t="s" s="37">
        <v>622</v>
      </c>
      <c r="G421" t="s" s="37">
        <v>424</v>
      </c>
      <c r="H421" t="s" s="37">
        <v>1485</v>
      </c>
      <c r="I421" t="s" s="37">
        <v>1405</v>
      </c>
      <c r="J421" t="s" s="37">
        <v>660</v>
      </c>
      <c r="K421" t="s" s="40">
        <v>630</v>
      </c>
      <c r="L421" s="30"/>
    </row>
    <row r="422" ht="74.5" customHeight="1">
      <c r="A422" t="s" s="31">
        <v>1486</v>
      </c>
      <c r="B422" t="s" s="32">
        <v>105</v>
      </c>
      <c r="C422" t="s" s="32">
        <v>104</v>
      </c>
      <c r="D422" t="s" s="32">
        <v>169</v>
      </c>
      <c r="E422" t="s" s="32">
        <v>622</v>
      </c>
      <c r="F422" t="s" s="32">
        <v>618</v>
      </c>
      <c r="G422" t="s" s="32">
        <v>387</v>
      </c>
      <c r="H422" t="s" s="32">
        <v>1487</v>
      </c>
      <c r="I422" t="s" s="32">
        <v>1414</v>
      </c>
      <c r="J422" t="s" s="32">
        <v>651</v>
      </c>
      <c r="K422" t="s" s="35">
        <v>622</v>
      </c>
      <c r="L422" s="30"/>
    </row>
    <row r="423" ht="74.5" customHeight="1">
      <c r="A423" t="s" s="36">
        <v>1488</v>
      </c>
      <c r="B423" t="s" s="37">
        <v>105</v>
      </c>
      <c r="C423" t="s" s="37">
        <v>104</v>
      </c>
      <c r="D423" t="s" s="37">
        <v>169</v>
      </c>
      <c r="E423" t="s" s="37">
        <v>622</v>
      </c>
      <c r="F423" t="s" s="37">
        <v>618</v>
      </c>
      <c r="G423" t="s" s="37">
        <v>400</v>
      </c>
      <c r="H423" t="s" s="37">
        <v>1489</v>
      </c>
      <c r="I423" t="s" s="37">
        <v>1414</v>
      </c>
      <c r="J423" t="s" s="37">
        <v>651</v>
      </c>
      <c r="K423" t="s" s="40">
        <v>622</v>
      </c>
      <c r="L423" s="30"/>
    </row>
    <row r="424" ht="62.5" customHeight="1">
      <c r="A424" t="s" s="31">
        <v>1490</v>
      </c>
      <c r="B424" t="s" s="32">
        <v>105</v>
      </c>
      <c r="C424" t="s" s="32">
        <v>104</v>
      </c>
      <c r="D424" t="s" s="32">
        <v>169</v>
      </c>
      <c r="E424" t="s" s="32">
        <v>622</v>
      </c>
      <c r="F424" t="s" s="32">
        <v>618</v>
      </c>
      <c r="G424" t="s" s="32">
        <v>412</v>
      </c>
      <c r="H424" t="s" s="32">
        <v>1491</v>
      </c>
      <c r="I424" t="s" s="32">
        <v>1414</v>
      </c>
      <c r="J424" t="s" s="32">
        <v>651</v>
      </c>
      <c r="K424" t="s" s="35">
        <v>622</v>
      </c>
      <c r="L424" s="30"/>
    </row>
    <row r="425" ht="74.5" customHeight="1">
      <c r="A425" t="s" s="36">
        <v>1492</v>
      </c>
      <c r="B425" t="s" s="37">
        <v>105</v>
      </c>
      <c r="C425" t="s" s="37">
        <v>104</v>
      </c>
      <c r="D425" t="s" s="37">
        <v>169</v>
      </c>
      <c r="E425" t="s" s="37">
        <v>622</v>
      </c>
      <c r="F425" t="s" s="37">
        <v>618</v>
      </c>
      <c r="G425" t="s" s="37">
        <v>424</v>
      </c>
      <c r="H425" t="s" s="37">
        <v>1493</v>
      </c>
      <c r="I425" t="s" s="37">
        <v>1414</v>
      </c>
      <c r="J425" t="s" s="37">
        <v>651</v>
      </c>
      <c r="K425" t="s" s="40">
        <v>622</v>
      </c>
      <c r="L425" s="30"/>
    </row>
    <row r="426" ht="74.5" customHeight="1">
      <c r="A426" t="s" s="31">
        <v>1494</v>
      </c>
      <c r="B426" t="s" s="32">
        <v>105</v>
      </c>
      <c r="C426" t="s" s="32">
        <v>104</v>
      </c>
      <c r="D426" t="s" s="32">
        <v>169</v>
      </c>
      <c r="E426" t="s" s="32">
        <v>622</v>
      </c>
      <c r="F426" t="s" s="32">
        <v>630</v>
      </c>
      <c r="G426" t="s" s="32">
        <v>387</v>
      </c>
      <c r="H426" t="s" s="32">
        <v>1495</v>
      </c>
      <c r="I426" t="s" s="32">
        <v>1423</v>
      </c>
      <c r="J426" t="s" s="32">
        <v>660</v>
      </c>
      <c r="K426" t="s" s="35">
        <v>630</v>
      </c>
      <c r="L426" s="30"/>
    </row>
    <row r="427" ht="74.5" customHeight="1">
      <c r="A427" t="s" s="36">
        <v>1496</v>
      </c>
      <c r="B427" t="s" s="37">
        <v>105</v>
      </c>
      <c r="C427" t="s" s="37">
        <v>104</v>
      </c>
      <c r="D427" t="s" s="37">
        <v>169</v>
      </c>
      <c r="E427" t="s" s="37">
        <v>622</v>
      </c>
      <c r="F427" t="s" s="37">
        <v>630</v>
      </c>
      <c r="G427" t="s" s="37">
        <v>400</v>
      </c>
      <c r="H427" t="s" s="37">
        <v>1497</v>
      </c>
      <c r="I427" t="s" s="37">
        <v>1423</v>
      </c>
      <c r="J427" t="s" s="37">
        <v>660</v>
      </c>
      <c r="K427" t="s" s="40">
        <v>630</v>
      </c>
      <c r="L427" s="30"/>
    </row>
    <row r="428" ht="62.5" customHeight="1">
      <c r="A428" t="s" s="31">
        <v>1498</v>
      </c>
      <c r="B428" t="s" s="32">
        <v>105</v>
      </c>
      <c r="C428" t="s" s="32">
        <v>104</v>
      </c>
      <c r="D428" t="s" s="32">
        <v>169</v>
      </c>
      <c r="E428" t="s" s="32">
        <v>622</v>
      </c>
      <c r="F428" t="s" s="32">
        <v>630</v>
      </c>
      <c r="G428" t="s" s="32">
        <v>412</v>
      </c>
      <c r="H428" t="s" s="32">
        <v>1499</v>
      </c>
      <c r="I428" t="s" s="32">
        <v>1423</v>
      </c>
      <c r="J428" t="s" s="32">
        <v>660</v>
      </c>
      <c r="K428" t="s" s="35">
        <v>630</v>
      </c>
      <c r="L428" s="30"/>
    </row>
    <row r="429" ht="74.5" customHeight="1">
      <c r="A429" t="s" s="36">
        <v>1500</v>
      </c>
      <c r="B429" t="s" s="37">
        <v>105</v>
      </c>
      <c r="C429" t="s" s="37">
        <v>104</v>
      </c>
      <c r="D429" t="s" s="37">
        <v>169</v>
      </c>
      <c r="E429" t="s" s="37">
        <v>622</v>
      </c>
      <c r="F429" t="s" s="37">
        <v>630</v>
      </c>
      <c r="G429" t="s" s="37">
        <v>424</v>
      </c>
      <c r="H429" t="s" s="37">
        <v>1501</v>
      </c>
      <c r="I429" t="s" s="37">
        <v>1423</v>
      </c>
      <c r="J429" t="s" s="37">
        <v>660</v>
      </c>
      <c r="K429" t="s" s="40">
        <v>630</v>
      </c>
      <c r="L429" s="30"/>
    </row>
    <row r="430" ht="74.5" customHeight="1">
      <c r="A430" t="s" s="31">
        <v>1502</v>
      </c>
      <c r="B430" t="s" s="32">
        <v>105</v>
      </c>
      <c r="C430" t="s" s="32">
        <v>104</v>
      </c>
      <c r="D430" t="s" s="32">
        <v>169</v>
      </c>
      <c r="E430" t="s" s="32">
        <v>622</v>
      </c>
      <c r="F430" t="s" s="32">
        <v>622</v>
      </c>
      <c r="G430" t="s" s="32">
        <v>387</v>
      </c>
      <c r="H430" t="s" s="32">
        <v>1503</v>
      </c>
      <c r="I430" t="s" s="32">
        <v>1423</v>
      </c>
      <c r="J430" t="s" s="32">
        <v>660</v>
      </c>
      <c r="K430" t="s" s="35">
        <v>641</v>
      </c>
      <c r="L430" s="30"/>
    </row>
    <row r="431" ht="74.5" customHeight="1">
      <c r="A431" t="s" s="36">
        <v>1504</v>
      </c>
      <c r="B431" t="s" s="37">
        <v>105</v>
      </c>
      <c r="C431" t="s" s="37">
        <v>104</v>
      </c>
      <c r="D431" t="s" s="37">
        <v>169</v>
      </c>
      <c r="E431" t="s" s="37">
        <v>622</v>
      </c>
      <c r="F431" t="s" s="37">
        <v>622</v>
      </c>
      <c r="G431" t="s" s="37">
        <v>400</v>
      </c>
      <c r="H431" t="s" s="37">
        <v>1505</v>
      </c>
      <c r="I431" t="s" s="37">
        <v>1423</v>
      </c>
      <c r="J431" t="s" s="37">
        <v>660</v>
      </c>
      <c r="K431" t="s" s="40">
        <v>641</v>
      </c>
      <c r="L431" s="30"/>
    </row>
    <row r="432" ht="62.5" customHeight="1">
      <c r="A432" t="s" s="31">
        <v>1506</v>
      </c>
      <c r="B432" t="s" s="32">
        <v>105</v>
      </c>
      <c r="C432" t="s" s="32">
        <v>104</v>
      </c>
      <c r="D432" t="s" s="32">
        <v>169</v>
      </c>
      <c r="E432" t="s" s="32">
        <v>622</v>
      </c>
      <c r="F432" t="s" s="32">
        <v>622</v>
      </c>
      <c r="G432" t="s" s="32">
        <v>412</v>
      </c>
      <c r="H432" t="s" s="32">
        <v>1507</v>
      </c>
      <c r="I432" t="s" s="32">
        <v>1423</v>
      </c>
      <c r="J432" t="s" s="32">
        <v>660</v>
      </c>
      <c r="K432" t="s" s="35">
        <v>641</v>
      </c>
      <c r="L432" s="30"/>
    </row>
    <row r="433" ht="74.5" customHeight="1">
      <c r="A433" t="s" s="36">
        <v>1508</v>
      </c>
      <c r="B433" t="s" s="37">
        <v>105</v>
      </c>
      <c r="C433" t="s" s="37">
        <v>104</v>
      </c>
      <c r="D433" t="s" s="37">
        <v>169</v>
      </c>
      <c r="E433" t="s" s="37">
        <v>622</v>
      </c>
      <c r="F433" t="s" s="37">
        <v>622</v>
      </c>
      <c r="G433" t="s" s="37">
        <v>424</v>
      </c>
      <c r="H433" t="s" s="37">
        <v>1509</v>
      </c>
      <c r="I433" t="s" s="37">
        <v>1423</v>
      </c>
      <c r="J433" t="s" s="37">
        <v>660</v>
      </c>
      <c r="K433" t="s" s="40">
        <v>641</v>
      </c>
      <c r="L433" s="30"/>
    </row>
    <row r="434" ht="74.5" customHeight="1">
      <c r="A434" t="s" s="31">
        <v>1510</v>
      </c>
      <c r="B434" t="s" s="32">
        <v>105</v>
      </c>
      <c r="C434" t="s" s="32">
        <v>104</v>
      </c>
      <c r="D434" t="s" s="32">
        <v>181</v>
      </c>
      <c r="E434" t="s" s="32">
        <v>618</v>
      </c>
      <c r="F434" t="s" s="32">
        <v>618</v>
      </c>
      <c r="G434" t="s" s="32">
        <v>387</v>
      </c>
      <c r="H434" t="s" s="32">
        <v>1511</v>
      </c>
      <c r="I434" t="s" s="32">
        <v>1361</v>
      </c>
      <c r="J434" t="s" s="32">
        <v>1362</v>
      </c>
      <c r="K434" t="s" s="35">
        <v>622</v>
      </c>
      <c r="L434" s="30"/>
    </row>
    <row r="435" ht="74.5" customHeight="1">
      <c r="A435" t="s" s="36">
        <v>1512</v>
      </c>
      <c r="B435" t="s" s="37">
        <v>105</v>
      </c>
      <c r="C435" t="s" s="37">
        <v>104</v>
      </c>
      <c r="D435" t="s" s="37">
        <v>181</v>
      </c>
      <c r="E435" t="s" s="37">
        <v>618</v>
      </c>
      <c r="F435" t="s" s="37">
        <v>618</v>
      </c>
      <c r="G435" t="s" s="37">
        <v>400</v>
      </c>
      <c r="H435" t="s" s="37">
        <v>1513</v>
      </c>
      <c r="I435" t="s" s="37">
        <v>1361</v>
      </c>
      <c r="J435" t="s" s="37">
        <v>1362</v>
      </c>
      <c r="K435" t="s" s="40">
        <v>622</v>
      </c>
      <c r="L435" s="30"/>
    </row>
    <row r="436" ht="74.5" customHeight="1">
      <c r="A436" t="s" s="31">
        <v>1514</v>
      </c>
      <c r="B436" t="s" s="32">
        <v>105</v>
      </c>
      <c r="C436" t="s" s="32">
        <v>104</v>
      </c>
      <c r="D436" t="s" s="32">
        <v>181</v>
      </c>
      <c r="E436" t="s" s="32">
        <v>618</v>
      </c>
      <c r="F436" t="s" s="32">
        <v>618</v>
      </c>
      <c r="G436" t="s" s="32">
        <v>412</v>
      </c>
      <c r="H436" t="s" s="32">
        <v>1515</v>
      </c>
      <c r="I436" t="s" s="32">
        <v>1361</v>
      </c>
      <c r="J436" t="s" s="32">
        <v>1362</v>
      </c>
      <c r="K436" t="s" s="35">
        <v>622</v>
      </c>
      <c r="L436" s="30"/>
    </row>
    <row r="437" ht="74.5" customHeight="1">
      <c r="A437" t="s" s="36">
        <v>1516</v>
      </c>
      <c r="B437" t="s" s="37">
        <v>105</v>
      </c>
      <c r="C437" t="s" s="37">
        <v>104</v>
      </c>
      <c r="D437" t="s" s="37">
        <v>181</v>
      </c>
      <c r="E437" t="s" s="37">
        <v>618</v>
      </c>
      <c r="F437" t="s" s="37">
        <v>618</v>
      </c>
      <c r="G437" t="s" s="37">
        <v>424</v>
      </c>
      <c r="H437" t="s" s="37">
        <v>1517</v>
      </c>
      <c r="I437" t="s" s="37">
        <v>1361</v>
      </c>
      <c r="J437" t="s" s="37">
        <v>1362</v>
      </c>
      <c r="K437" t="s" s="40">
        <v>622</v>
      </c>
      <c r="L437" s="30"/>
    </row>
    <row r="438" ht="74.5" customHeight="1">
      <c r="A438" t="s" s="31">
        <v>1518</v>
      </c>
      <c r="B438" t="s" s="32">
        <v>105</v>
      </c>
      <c r="C438" t="s" s="32">
        <v>104</v>
      </c>
      <c r="D438" t="s" s="32">
        <v>181</v>
      </c>
      <c r="E438" t="s" s="32">
        <v>618</v>
      </c>
      <c r="F438" t="s" s="32">
        <v>630</v>
      </c>
      <c r="G438" t="s" s="32">
        <v>387</v>
      </c>
      <c r="H438" t="s" s="32">
        <v>1519</v>
      </c>
      <c r="I438" t="s" s="32">
        <v>1361</v>
      </c>
      <c r="J438" t="s" s="32">
        <v>1371</v>
      </c>
      <c r="K438" t="s" s="35">
        <v>622</v>
      </c>
      <c r="L438" s="30"/>
    </row>
    <row r="439" ht="74.5" customHeight="1">
      <c r="A439" t="s" s="36">
        <v>1520</v>
      </c>
      <c r="B439" t="s" s="37">
        <v>105</v>
      </c>
      <c r="C439" t="s" s="37">
        <v>104</v>
      </c>
      <c r="D439" t="s" s="37">
        <v>181</v>
      </c>
      <c r="E439" t="s" s="37">
        <v>618</v>
      </c>
      <c r="F439" t="s" s="37">
        <v>630</v>
      </c>
      <c r="G439" t="s" s="37">
        <v>400</v>
      </c>
      <c r="H439" t="s" s="37">
        <v>1521</v>
      </c>
      <c r="I439" t="s" s="37">
        <v>1361</v>
      </c>
      <c r="J439" t="s" s="37">
        <v>1371</v>
      </c>
      <c r="K439" t="s" s="40">
        <v>622</v>
      </c>
      <c r="L439" s="30"/>
    </row>
    <row r="440" ht="74.5" customHeight="1">
      <c r="A440" t="s" s="31">
        <v>1522</v>
      </c>
      <c r="B440" t="s" s="32">
        <v>105</v>
      </c>
      <c r="C440" t="s" s="32">
        <v>104</v>
      </c>
      <c r="D440" t="s" s="32">
        <v>181</v>
      </c>
      <c r="E440" t="s" s="32">
        <v>618</v>
      </c>
      <c r="F440" t="s" s="32">
        <v>630</v>
      </c>
      <c r="G440" t="s" s="32">
        <v>412</v>
      </c>
      <c r="H440" t="s" s="32">
        <v>1523</v>
      </c>
      <c r="I440" t="s" s="32">
        <v>1361</v>
      </c>
      <c r="J440" t="s" s="32">
        <v>1371</v>
      </c>
      <c r="K440" t="s" s="35">
        <v>622</v>
      </c>
      <c r="L440" s="30"/>
    </row>
    <row r="441" ht="74.5" customHeight="1">
      <c r="A441" t="s" s="36">
        <v>1524</v>
      </c>
      <c r="B441" t="s" s="37">
        <v>105</v>
      </c>
      <c r="C441" t="s" s="37">
        <v>104</v>
      </c>
      <c r="D441" t="s" s="37">
        <v>181</v>
      </c>
      <c r="E441" t="s" s="37">
        <v>618</v>
      </c>
      <c r="F441" t="s" s="37">
        <v>630</v>
      </c>
      <c r="G441" t="s" s="37">
        <v>424</v>
      </c>
      <c r="H441" t="s" s="37">
        <v>1525</v>
      </c>
      <c r="I441" t="s" s="37">
        <v>1361</v>
      </c>
      <c r="J441" t="s" s="37">
        <v>1371</v>
      </c>
      <c r="K441" t="s" s="40">
        <v>622</v>
      </c>
      <c r="L441" s="30"/>
    </row>
    <row r="442" ht="74.5" customHeight="1">
      <c r="A442" t="s" s="31">
        <v>1526</v>
      </c>
      <c r="B442" t="s" s="32">
        <v>105</v>
      </c>
      <c r="C442" t="s" s="32">
        <v>104</v>
      </c>
      <c r="D442" t="s" s="32">
        <v>181</v>
      </c>
      <c r="E442" t="s" s="32">
        <v>618</v>
      </c>
      <c r="F442" t="s" s="32">
        <v>622</v>
      </c>
      <c r="G442" t="s" s="32">
        <v>387</v>
      </c>
      <c r="H442" t="s" s="32">
        <v>1527</v>
      </c>
      <c r="I442" t="s" s="32">
        <v>1361</v>
      </c>
      <c r="J442" t="s" s="32">
        <v>1371</v>
      </c>
      <c r="K442" t="s" s="35">
        <v>641</v>
      </c>
      <c r="L442" s="30"/>
    </row>
    <row r="443" ht="74.5" customHeight="1">
      <c r="A443" t="s" s="36">
        <v>1528</v>
      </c>
      <c r="B443" t="s" s="37">
        <v>105</v>
      </c>
      <c r="C443" t="s" s="37">
        <v>104</v>
      </c>
      <c r="D443" t="s" s="37">
        <v>181</v>
      </c>
      <c r="E443" t="s" s="37">
        <v>618</v>
      </c>
      <c r="F443" t="s" s="37">
        <v>622</v>
      </c>
      <c r="G443" t="s" s="37">
        <v>400</v>
      </c>
      <c r="H443" t="s" s="37">
        <v>1529</v>
      </c>
      <c r="I443" t="s" s="37">
        <v>1361</v>
      </c>
      <c r="J443" t="s" s="37">
        <v>1371</v>
      </c>
      <c r="K443" t="s" s="40">
        <v>641</v>
      </c>
      <c r="L443" s="30"/>
    </row>
    <row r="444" ht="74.5" customHeight="1">
      <c r="A444" t="s" s="31">
        <v>1530</v>
      </c>
      <c r="B444" t="s" s="32">
        <v>105</v>
      </c>
      <c r="C444" t="s" s="32">
        <v>104</v>
      </c>
      <c r="D444" t="s" s="32">
        <v>181</v>
      </c>
      <c r="E444" t="s" s="32">
        <v>618</v>
      </c>
      <c r="F444" t="s" s="32">
        <v>622</v>
      </c>
      <c r="G444" t="s" s="32">
        <v>412</v>
      </c>
      <c r="H444" t="s" s="32">
        <v>1531</v>
      </c>
      <c r="I444" t="s" s="32">
        <v>1361</v>
      </c>
      <c r="J444" t="s" s="32">
        <v>1371</v>
      </c>
      <c r="K444" t="s" s="35">
        <v>641</v>
      </c>
      <c r="L444" s="30"/>
    </row>
    <row r="445" ht="74.5" customHeight="1">
      <c r="A445" t="s" s="36">
        <v>1532</v>
      </c>
      <c r="B445" t="s" s="37">
        <v>105</v>
      </c>
      <c r="C445" t="s" s="37">
        <v>104</v>
      </c>
      <c r="D445" t="s" s="37">
        <v>181</v>
      </c>
      <c r="E445" t="s" s="37">
        <v>618</v>
      </c>
      <c r="F445" t="s" s="37">
        <v>622</v>
      </c>
      <c r="G445" t="s" s="37">
        <v>424</v>
      </c>
      <c r="H445" t="s" s="37">
        <v>1533</v>
      </c>
      <c r="I445" t="s" s="37">
        <v>1361</v>
      </c>
      <c r="J445" t="s" s="37">
        <v>1371</v>
      </c>
      <c r="K445" t="s" s="40">
        <v>641</v>
      </c>
      <c r="L445" s="30"/>
    </row>
    <row r="446" ht="74.5" customHeight="1">
      <c r="A446" t="s" s="31">
        <v>1534</v>
      </c>
      <c r="B446" t="s" s="32">
        <v>105</v>
      </c>
      <c r="C446" t="s" s="32">
        <v>104</v>
      </c>
      <c r="D446" t="s" s="32">
        <v>181</v>
      </c>
      <c r="E446" t="s" s="32">
        <v>630</v>
      </c>
      <c r="F446" t="s" s="32">
        <v>618</v>
      </c>
      <c r="G446" t="s" s="32">
        <v>387</v>
      </c>
      <c r="H446" t="s" s="32">
        <v>1535</v>
      </c>
      <c r="I446" t="s" s="32">
        <v>1388</v>
      </c>
      <c r="J446" t="s" s="32">
        <v>651</v>
      </c>
      <c r="K446" t="s" s="35">
        <v>622</v>
      </c>
      <c r="L446" s="30"/>
    </row>
    <row r="447" ht="74.5" customHeight="1">
      <c r="A447" t="s" s="36">
        <v>1536</v>
      </c>
      <c r="B447" t="s" s="37">
        <v>105</v>
      </c>
      <c r="C447" t="s" s="37">
        <v>104</v>
      </c>
      <c r="D447" t="s" s="37">
        <v>181</v>
      </c>
      <c r="E447" t="s" s="37">
        <v>630</v>
      </c>
      <c r="F447" t="s" s="37">
        <v>618</v>
      </c>
      <c r="G447" t="s" s="37">
        <v>400</v>
      </c>
      <c r="H447" t="s" s="37">
        <v>1537</v>
      </c>
      <c r="I447" t="s" s="37">
        <v>1388</v>
      </c>
      <c r="J447" t="s" s="37">
        <v>651</v>
      </c>
      <c r="K447" t="s" s="40">
        <v>622</v>
      </c>
      <c r="L447" s="30"/>
    </row>
    <row r="448" ht="74.5" customHeight="1">
      <c r="A448" t="s" s="31">
        <v>1538</v>
      </c>
      <c r="B448" t="s" s="32">
        <v>105</v>
      </c>
      <c r="C448" t="s" s="32">
        <v>104</v>
      </c>
      <c r="D448" t="s" s="32">
        <v>181</v>
      </c>
      <c r="E448" t="s" s="32">
        <v>630</v>
      </c>
      <c r="F448" t="s" s="32">
        <v>618</v>
      </c>
      <c r="G448" t="s" s="32">
        <v>412</v>
      </c>
      <c r="H448" t="s" s="32">
        <v>1539</v>
      </c>
      <c r="I448" t="s" s="32">
        <v>1388</v>
      </c>
      <c r="J448" t="s" s="32">
        <v>651</v>
      </c>
      <c r="K448" t="s" s="35">
        <v>622</v>
      </c>
      <c r="L448" s="30"/>
    </row>
    <row r="449" ht="74.5" customHeight="1">
      <c r="A449" t="s" s="36">
        <v>1540</v>
      </c>
      <c r="B449" t="s" s="37">
        <v>105</v>
      </c>
      <c r="C449" t="s" s="37">
        <v>104</v>
      </c>
      <c r="D449" t="s" s="37">
        <v>181</v>
      </c>
      <c r="E449" t="s" s="37">
        <v>630</v>
      </c>
      <c r="F449" t="s" s="37">
        <v>618</v>
      </c>
      <c r="G449" t="s" s="37">
        <v>424</v>
      </c>
      <c r="H449" t="s" s="37">
        <v>1541</v>
      </c>
      <c r="I449" t="s" s="37">
        <v>1388</v>
      </c>
      <c r="J449" t="s" s="37">
        <v>651</v>
      </c>
      <c r="K449" t="s" s="40">
        <v>622</v>
      </c>
      <c r="L449" s="30"/>
    </row>
    <row r="450" ht="74.5" customHeight="1">
      <c r="A450" t="s" s="31">
        <v>1542</v>
      </c>
      <c r="B450" t="s" s="32">
        <v>105</v>
      </c>
      <c r="C450" t="s" s="32">
        <v>104</v>
      </c>
      <c r="D450" t="s" s="32">
        <v>181</v>
      </c>
      <c r="E450" t="s" s="32">
        <v>630</v>
      </c>
      <c r="F450" t="s" s="32">
        <v>630</v>
      </c>
      <c r="G450" t="s" s="32">
        <v>387</v>
      </c>
      <c r="H450" t="s" s="32">
        <v>1543</v>
      </c>
      <c r="I450" t="s" s="32">
        <v>1388</v>
      </c>
      <c r="J450" t="s" s="32">
        <v>660</v>
      </c>
      <c r="K450" t="s" s="35">
        <v>630</v>
      </c>
      <c r="L450" s="30"/>
    </row>
    <row r="451" ht="74.5" customHeight="1">
      <c r="A451" t="s" s="36">
        <v>1544</v>
      </c>
      <c r="B451" t="s" s="37">
        <v>105</v>
      </c>
      <c r="C451" t="s" s="37">
        <v>104</v>
      </c>
      <c r="D451" t="s" s="37">
        <v>181</v>
      </c>
      <c r="E451" t="s" s="37">
        <v>630</v>
      </c>
      <c r="F451" t="s" s="37">
        <v>630</v>
      </c>
      <c r="G451" t="s" s="37">
        <v>400</v>
      </c>
      <c r="H451" t="s" s="37">
        <v>1545</v>
      </c>
      <c r="I451" t="s" s="37">
        <v>1388</v>
      </c>
      <c r="J451" t="s" s="37">
        <v>660</v>
      </c>
      <c r="K451" t="s" s="40">
        <v>630</v>
      </c>
      <c r="L451" s="30"/>
    </row>
    <row r="452" ht="74.5" customHeight="1">
      <c r="A452" t="s" s="31">
        <v>1546</v>
      </c>
      <c r="B452" t="s" s="32">
        <v>105</v>
      </c>
      <c r="C452" t="s" s="32">
        <v>104</v>
      </c>
      <c r="D452" t="s" s="32">
        <v>181</v>
      </c>
      <c r="E452" t="s" s="32">
        <v>630</v>
      </c>
      <c r="F452" t="s" s="32">
        <v>630</v>
      </c>
      <c r="G452" t="s" s="32">
        <v>412</v>
      </c>
      <c r="H452" t="s" s="32">
        <v>1547</v>
      </c>
      <c r="I452" t="s" s="32">
        <v>1388</v>
      </c>
      <c r="J452" t="s" s="32">
        <v>660</v>
      </c>
      <c r="K452" t="s" s="35">
        <v>630</v>
      </c>
      <c r="L452" s="30"/>
    </row>
    <row r="453" ht="74.5" customHeight="1">
      <c r="A453" t="s" s="36">
        <v>1548</v>
      </c>
      <c r="B453" t="s" s="37">
        <v>105</v>
      </c>
      <c r="C453" t="s" s="37">
        <v>104</v>
      </c>
      <c r="D453" t="s" s="37">
        <v>181</v>
      </c>
      <c r="E453" t="s" s="37">
        <v>630</v>
      </c>
      <c r="F453" t="s" s="37">
        <v>630</v>
      </c>
      <c r="G453" t="s" s="37">
        <v>424</v>
      </c>
      <c r="H453" t="s" s="37">
        <v>1549</v>
      </c>
      <c r="I453" t="s" s="37">
        <v>1388</v>
      </c>
      <c r="J453" t="s" s="37">
        <v>660</v>
      </c>
      <c r="K453" t="s" s="40">
        <v>630</v>
      </c>
      <c r="L453" s="30"/>
    </row>
    <row r="454" ht="74.5" customHeight="1">
      <c r="A454" t="s" s="31">
        <v>1550</v>
      </c>
      <c r="B454" t="s" s="32">
        <v>105</v>
      </c>
      <c r="C454" t="s" s="32">
        <v>104</v>
      </c>
      <c r="D454" t="s" s="32">
        <v>181</v>
      </c>
      <c r="E454" t="s" s="32">
        <v>630</v>
      </c>
      <c r="F454" t="s" s="32">
        <v>622</v>
      </c>
      <c r="G454" t="s" s="32">
        <v>387</v>
      </c>
      <c r="H454" t="s" s="32">
        <v>1551</v>
      </c>
      <c r="I454" t="s" s="32">
        <v>1405</v>
      </c>
      <c r="J454" t="s" s="32">
        <v>660</v>
      </c>
      <c r="K454" t="s" s="35">
        <v>630</v>
      </c>
      <c r="L454" s="30"/>
    </row>
    <row r="455" ht="74.5" customHeight="1">
      <c r="A455" t="s" s="36">
        <v>1552</v>
      </c>
      <c r="B455" t="s" s="37">
        <v>105</v>
      </c>
      <c r="C455" t="s" s="37">
        <v>104</v>
      </c>
      <c r="D455" t="s" s="37">
        <v>181</v>
      </c>
      <c r="E455" t="s" s="37">
        <v>630</v>
      </c>
      <c r="F455" t="s" s="37">
        <v>622</v>
      </c>
      <c r="G455" t="s" s="37">
        <v>400</v>
      </c>
      <c r="H455" t="s" s="37">
        <v>1553</v>
      </c>
      <c r="I455" t="s" s="37">
        <v>1405</v>
      </c>
      <c r="J455" t="s" s="37">
        <v>660</v>
      </c>
      <c r="K455" t="s" s="40">
        <v>630</v>
      </c>
      <c r="L455" s="30"/>
    </row>
    <row r="456" ht="74.5" customHeight="1">
      <c r="A456" t="s" s="31">
        <v>1554</v>
      </c>
      <c r="B456" t="s" s="32">
        <v>105</v>
      </c>
      <c r="C456" t="s" s="32">
        <v>104</v>
      </c>
      <c r="D456" t="s" s="32">
        <v>181</v>
      </c>
      <c r="E456" t="s" s="32">
        <v>630</v>
      </c>
      <c r="F456" t="s" s="32">
        <v>622</v>
      </c>
      <c r="G456" t="s" s="32">
        <v>412</v>
      </c>
      <c r="H456" t="s" s="32">
        <v>1555</v>
      </c>
      <c r="I456" t="s" s="32">
        <v>1405</v>
      </c>
      <c r="J456" t="s" s="32">
        <v>660</v>
      </c>
      <c r="K456" t="s" s="35">
        <v>630</v>
      </c>
      <c r="L456" s="30"/>
    </row>
    <row r="457" ht="74.5" customHeight="1">
      <c r="A457" t="s" s="36">
        <v>1556</v>
      </c>
      <c r="B457" t="s" s="37">
        <v>105</v>
      </c>
      <c r="C457" t="s" s="37">
        <v>104</v>
      </c>
      <c r="D457" t="s" s="37">
        <v>181</v>
      </c>
      <c r="E457" t="s" s="37">
        <v>630</v>
      </c>
      <c r="F457" t="s" s="37">
        <v>622</v>
      </c>
      <c r="G457" t="s" s="37">
        <v>424</v>
      </c>
      <c r="H457" t="s" s="37">
        <v>1557</v>
      </c>
      <c r="I457" t="s" s="37">
        <v>1405</v>
      </c>
      <c r="J457" t="s" s="37">
        <v>660</v>
      </c>
      <c r="K457" t="s" s="40">
        <v>630</v>
      </c>
      <c r="L457" s="30"/>
    </row>
    <row r="458" ht="74.5" customHeight="1">
      <c r="A458" t="s" s="31">
        <v>1558</v>
      </c>
      <c r="B458" t="s" s="32">
        <v>105</v>
      </c>
      <c r="C458" t="s" s="32">
        <v>104</v>
      </c>
      <c r="D458" t="s" s="32">
        <v>181</v>
      </c>
      <c r="E458" t="s" s="32">
        <v>622</v>
      </c>
      <c r="F458" t="s" s="32">
        <v>618</v>
      </c>
      <c r="G458" t="s" s="32">
        <v>387</v>
      </c>
      <c r="H458" t="s" s="32">
        <v>1559</v>
      </c>
      <c r="I458" t="s" s="32">
        <v>1414</v>
      </c>
      <c r="J458" t="s" s="32">
        <v>651</v>
      </c>
      <c r="K458" t="s" s="35">
        <v>622</v>
      </c>
      <c r="L458" s="30"/>
    </row>
    <row r="459" ht="74.5" customHeight="1">
      <c r="A459" t="s" s="36">
        <v>1560</v>
      </c>
      <c r="B459" t="s" s="37">
        <v>105</v>
      </c>
      <c r="C459" t="s" s="37">
        <v>104</v>
      </c>
      <c r="D459" t="s" s="37">
        <v>181</v>
      </c>
      <c r="E459" t="s" s="37">
        <v>622</v>
      </c>
      <c r="F459" t="s" s="37">
        <v>618</v>
      </c>
      <c r="G459" t="s" s="37">
        <v>400</v>
      </c>
      <c r="H459" t="s" s="37">
        <v>1561</v>
      </c>
      <c r="I459" t="s" s="37">
        <v>1414</v>
      </c>
      <c r="J459" t="s" s="37">
        <v>651</v>
      </c>
      <c r="K459" t="s" s="40">
        <v>622</v>
      </c>
      <c r="L459" s="30"/>
    </row>
    <row r="460" ht="74.5" customHeight="1">
      <c r="A460" t="s" s="31">
        <v>1562</v>
      </c>
      <c r="B460" t="s" s="32">
        <v>105</v>
      </c>
      <c r="C460" t="s" s="32">
        <v>104</v>
      </c>
      <c r="D460" t="s" s="32">
        <v>181</v>
      </c>
      <c r="E460" t="s" s="32">
        <v>622</v>
      </c>
      <c r="F460" t="s" s="32">
        <v>618</v>
      </c>
      <c r="G460" t="s" s="32">
        <v>412</v>
      </c>
      <c r="H460" t="s" s="32">
        <v>1563</v>
      </c>
      <c r="I460" t="s" s="32">
        <v>1414</v>
      </c>
      <c r="J460" t="s" s="32">
        <v>651</v>
      </c>
      <c r="K460" t="s" s="35">
        <v>622</v>
      </c>
      <c r="L460" s="30"/>
    </row>
    <row r="461" ht="74.5" customHeight="1">
      <c r="A461" t="s" s="36">
        <v>1564</v>
      </c>
      <c r="B461" t="s" s="37">
        <v>105</v>
      </c>
      <c r="C461" t="s" s="37">
        <v>104</v>
      </c>
      <c r="D461" t="s" s="37">
        <v>181</v>
      </c>
      <c r="E461" t="s" s="37">
        <v>622</v>
      </c>
      <c r="F461" t="s" s="37">
        <v>618</v>
      </c>
      <c r="G461" t="s" s="37">
        <v>424</v>
      </c>
      <c r="H461" t="s" s="37">
        <v>1565</v>
      </c>
      <c r="I461" t="s" s="37">
        <v>1414</v>
      </c>
      <c r="J461" t="s" s="37">
        <v>651</v>
      </c>
      <c r="K461" t="s" s="40">
        <v>622</v>
      </c>
      <c r="L461" s="30"/>
    </row>
    <row r="462" ht="62.5" customHeight="1">
      <c r="A462" t="s" s="31">
        <v>1566</v>
      </c>
      <c r="B462" t="s" s="32">
        <v>105</v>
      </c>
      <c r="C462" t="s" s="32">
        <v>104</v>
      </c>
      <c r="D462" t="s" s="32">
        <v>181</v>
      </c>
      <c r="E462" t="s" s="32">
        <v>622</v>
      </c>
      <c r="F462" t="s" s="32">
        <v>630</v>
      </c>
      <c r="G462" t="s" s="32">
        <v>387</v>
      </c>
      <c r="H462" t="s" s="32">
        <v>1567</v>
      </c>
      <c r="I462" t="s" s="32">
        <v>1423</v>
      </c>
      <c r="J462" t="s" s="32">
        <v>660</v>
      </c>
      <c r="K462" t="s" s="35">
        <v>630</v>
      </c>
      <c r="L462" s="30"/>
    </row>
    <row r="463" ht="74.5" customHeight="1">
      <c r="A463" t="s" s="36">
        <v>1568</v>
      </c>
      <c r="B463" t="s" s="37">
        <v>105</v>
      </c>
      <c r="C463" t="s" s="37">
        <v>104</v>
      </c>
      <c r="D463" t="s" s="37">
        <v>181</v>
      </c>
      <c r="E463" t="s" s="37">
        <v>622</v>
      </c>
      <c r="F463" t="s" s="37">
        <v>630</v>
      </c>
      <c r="G463" t="s" s="37">
        <v>400</v>
      </c>
      <c r="H463" t="s" s="37">
        <v>1569</v>
      </c>
      <c r="I463" t="s" s="37">
        <v>1423</v>
      </c>
      <c r="J463" t="s" s="37">
        <v>660</v>
      </c>
      <c r="K463" t="s" s="40">
        <v>630</v>
      </c>
      <c r="L463" s="30"/>
    </row>
    <row r="464" ht="62.5" customHeight="1">
      <c r="A464" t="s" s="31">
        <v>1570</v>
      </c>
      <c r="B464" t="s" s="32">
        <v>105</v>
      </c>
      <c r="C464" t="s" s="32">
        <v>104</v>
      </c>
      <c r="D464" t="s" s="32">
        <v>181</v>
      </c>
      <c r="E464" t="s" s="32">
        <v>622</v>
      </c>
      <c r="F464" t="s" s="32">
        <v>630</v>
      </c>
      <c r="G464" t="s" s="32">
        <v>412</v>
      </c>
      <c r="H464" t="s" s="32">
        <v>1571</v>
      </c>
      <c r="I464" t="s" s="32">
        <v>1423</v>
      </c>
      <c r="J464" t="s" s="32">
        <v>660</v>
      </c>
      <c r="K464" t="s" s="35">
        <v>630</v>
      </c>
      <c r="L464" s="30"/>
    </row>
    <row r="465" ht="62.5" customHeight="1">
      <c r="A465" t="s" s="36">
        <v>1572</v>
      </c>
      <c r="B465" t="s" s="37">
        <v>105</v>
      </c>
      <c r="C465" t="s" s="37">
        <v>104</v>
      </c>
      <c r="D465" t="s" s="37">
        <v>181</v>
      </c>
      <c r="E465" t="s" s="37">
        <v>622</v>
      </c>
      <c r="F465" t="s" s="37">
        <v>630</v>
      </c>
      <c r="G465" t="s" s="37">
        <v>424</v>
      </c>
      <c r="H465" t="s" s="37">
        <v>1573</v>
      </c>
      <c r="I465" t="s" s="37">
        <v>1423</v>
      </c>
      <c r="J465" t="s" s="37">
        <v>660</v>
      </c>
      <c r="K465" t="s" s="40">
        <v>630</v>
      </c>
      <c r="L465" s="30"/>
    </row>
    <row r="466" ht="62.5" customHeight="1">
      <c r="A466" t="s" s="31">
        <v>1574</v>
      </c>
      <c r="B466" t="s" s="32">
        <v>105</v>
      </c>
      <c r="C466" t="s" s="32">
        <v>104</v>
      </c>
      <c r="D466" t="s" s="32">
        <v>181</v>
      </c>
      <c r="E466" t="s" s="32">
        <v>622</v>
      </c>
      <c r="F466" t="s" s="32">
        <v>622</v>
      </c>
      <c r="G466" t="s" s="32">
        <v>387</v>
      </c>
      <c r="H466" t="s" s="32">
        <v>1575</v>
      </c>
      <c r="I466" t="s" s="32">
        <v>1423</v>
      </c>
      <c r="J466" t="s" s="32">
        <v>660</v>
      </c>
      <c r="K466" t="s" s="35">
        <v>641</v>
      </c>
      <c r="L466" s="30"/>
    </row>
    <row r="467" ht="74.5" customHeight="1">
      <c r="A467" t="s" s="36">
        <v>1576</v>
      </c>
      <c r="B467" t="s" s="37">
        <v>105</v>
      </c>
      <c r="C467" t="s" s="37">
        <v>104</v>
      </c>
      <c r="D467" t="s" s="37">
        <v>181</v>
      </c>
      <c r="E467" t="s" s="37">
        <v>622</v>
      </c>
      <c r="F467" t="s" s="37">
        <v>622</v>
      </c>
      <c r="G467" t="s" s="37">
        <v>400</v>
      </c>
      <c r="H467" t="s" s="37">
        <v>1577</v>
      </c>
      <c r="I467" t="s" s="37">
        <v>1423</v>
      </c>
      <c r="J467" t="s" s="37">
        <v>660</v>
      </c>
      <c r="K467" t="s" s="40">
        <v>641</v>
      </c>
      <c r="L467" s="30"/>
    </row>
    <row r="468" ht="62.5" customHeight="1">
      <c r="A468" t="s" s="31">
        <v>1578</v>
      </c>
      <c r="B468" t="s" s="32">
        <v>105</v>
      </c>
      <c r="C468" t="s" s="32">
        <v>104</v>
      </c>
      <c r="D468" t="s" s="32">
        <v>181</v>
      </c>
      <c r="E468" t="s" s="32">
        <v>622</v>
      </c>
      <c r="F468" t="s" s="32">
        <v>622</v>
      </c>
      <c r="G468" t="s" s="32">
        <v>412</v>
      </c>
      <c r="H468" t="s" s="32">
        <v>1579</v>
      </c>
      <c r="I468" t="s" s="32">
        <v>1423</v>
      </c>
      <c r="J468" t="s" s="32">
        <v>660</v>
      </c>
      <c r="K468" t="s" s="35">
        <v>641</v>
      </c>
      <c r="L468" s="30"/>
    </row>
    <row r="469" ht="62.5" customHeight="1">
      <c r="A469" t="s" s="36">
        <v>1580</v>
      </c>
      <c r="B469" t="s" s="37">
        <v>105</v>
      </c>
      <c r="C469" t="s" s="37">
        <v>104</v>
      </c>
      <c r="D469" t="s" s="37">
        <v>181</v>
      </c>
      <c r="E469" t="s" s="37">
        <v>622</v>
      </c>
      <c r="F469" t="s" s="37">
        <v>622</v>
      </c>
      <c r="G469" t="s" s="37">
        <v>424</v>
      </c>
      <c r="H469" t="s" s="37">
        <v>1581</v>
      </c>
      <c r="I469" t="s" s="37">
        <v>1423</v>
      </c>
      <c r="J469" t="s" s="37">
        <v>660</v>
      </c>
      <c r="K469" t="s" s="40">
        <v>641</v>
      </c>
      <c r="L469" s="30"/>
    </row>
    <row r="470" ht="74.5" customHeight="1">
      <c r="A470" t="s" s="31">
        <v>1582</v>
      </c>
      <c r="B470" t="s" s="32">
        <v>105</v>
      </c>
      <c r="C470" t="s" s="32">
        <v>104</v>
      </c>
      <c r="D470" t="s" s="32">
        <v>193</v>
      </c>
      <c r="E470" t="s" s="32">
        <v>618</v>
      </c>
      <c r="F470" t="s" s="32">
        <v>618</v>
      </c>
      <c r="G470" t="s" s="32">
        <v>387</v>
      </c>
      <c r="H470" t="s" s="32">
        <v>1583</v>
      </c>
      <c r="I470" t="s" s="32">
        <v>1361</v>
      </c>
      <c r="J470" t="s" s="32">
        <v>1362</v>
      </c>
      <c r="K470" t="s" s="35">
        <v>622</v>
      </c>
      <c r="L470" s="30"/>
    </row>
    <row r="471" ht="74.5" customHeight="1">
      <c r="A471" t="s" s="36">
        <v>1584</v>
      </c>
      <c r="B471" t="s" s="37">
        <v>105</v>
      </c>
      <c r="C471" t="s" s="37">
        <v>104</v>
      </c>
      <c r="D471" t="s" s="37">
        <v>193</v>
      </c>
      <c r="E471" t="s" s="37">
        <v>618</v>
      </c>
      <c r="F471" t="s" s="37">
        <v>618</v>
      </c>
      <c r="G471" t="s" s="37">
        <v>400</v>
      </c>
      <c r="H471" t="s" s="37">
        <v>1585</v>
      </c>
      <c r="I471" t="s" s="37">
        <v>1361</v>
      </c>
      <c r="J471" t="s" s="37">
        <v>1362</v>
      </c>
      <c r="K471" t="s" s="40">
        <v>622</v>
      </c>
      <c r="L471" s="30"/>
    </row>
    <row r="472" ht="74.5" customHeight="1">
      <c r="A472" t="s" s="31">
        <v>1586</v>
      </c>
      <c r="B472" t="s" s="32">
        <v>105</v>
      </c>
      <c r="C472" t="s" s="32">
        <v>104</v>
      </c>
      <c r="D472" t="s" s="32">
        <v>193</v>
      </c>
      <c r="E472" t="s" s="32">
        <v>618</v>
      </c>
      <c r="F472" t="s" s="32">
        <v>618</v>
      </c>
      <c r="G472" t="s" s="32">
        <v>412</v>
      </c>
      <c r="H472" t="s" s="32">
        <v>1587</v>
      </c>
      <c r="I472" t="s" s="32">
        <v>1361</v>
      </c>
      <c r="J472" t="s" s="32">
        <v>1362</v>
      </c>
      <c r="K472" t="s" s="35">
        <v>622</v>
      </c>
      <c r="L472" s="30"/>
    </row>
    <row r="473" ht="74.5" customHeight="1">
      <c r="A473" t="s" s="36">
        <v>1588</v>
      </c>
      <c r="B473" t="s" s="37">
        <v>105</v>
      </c>
      <c r="C473" t="s" s="37">
        <v>104</v>
      </c>
      <c r="D473" t="s" s="37">
        <v>193</v>
      </c>
      <c r="E473" t="s" s="37">
        <v>618</v>
      </c>
      <c r="F473" t="s" s="37">
        <v>618</v>
      </c>
      <c r="G473" t="s" s="37">
        <v>424</v>
      </c>
      <c r="H473" t="s" s="37">
        <v>1589</v>
      </c>
      <c r="I473" t="s" s="37">
        <v>1361</v>
      </c>
      <c r="J473" t="s" s="37">
        <v>1362</v>
      </c>
      <c r="K473" t="s" s="40">
        <v>622</v>
      </c>
      <c r="L473" s="30"/>
    </row>
    <row r="474" ht="74.5" customHeight="1">
      <c r="A474" t="s" s="31">
        <v>1590</v>
      </c>
      <c r="B474" t="s" s="32">
        <v>105</v>
      </c>
      <c r="C474" t="s" s="32">
        <v>104</v>
      </c>
      <c r="D474" t="s" s="32">
        <v>193</v>
      </c>
      <c r="E474" t="s" s="32">
        <v>618</v>
      </c>
      <c r="F474" t="s" s="32">
        <v>630</v>
      </c>
      <c r="G474" t="s" s="32">
        <v>387</v>
      </c>
      <c r="H474" t="s" s="32">
        <v>1591</v>
      </c>
      <c r="I474" t="s" s="32">
        <v>1361</v>
      </c>
      <c r="J474" t="s" s="32">
        <v>1371</v>
      </c>
      <c r="K474" t="s" s="35">
        <v>622</v>
      </c>
      <c r="L474" s="30"/>
    </row>
    <row r="475" ht="74.5" customHeight="1">
      <c r="A475" t="s" s="36">
        <v>1592</v>
      </c>
      <c r="B475" t="s" s="37">
        <v>105</v>
      </c>
      <c r="C475" t="s" s="37">
        <v>104</v>
      </c>
      <c r="D475" t="s" s="37">
        <v>193</v>
      </c>
      <c r="E475" t="s" s="37">
        <v>618</v>
      </c>
      <c r="F475" t="s" s="37">
        <v>630</v>
      </c>
      <c r="G475" t="s" s="37">
        <v>400</v>
      </c>
      <c r="H475" t="s" s="37">
        <v>1593</v>
      </c>
      <c r="I475" t="s" s="37">
        <v>1361</v>
      </c>
      <c r="J475" t="s" s="37">
        <v>1371</v>
      </c>
      <c r="K475" t="s" s="40">
        <v>622</v>
      </c>
      <c r="L475" s="30"/>
    </row>
    <row r="476" ht="74.5" customHeight="1">
      <c r="A476" t="s" s="31">
        <v>1594</v>
      </c>
      <c r="B476" t="s" s="32">
        <v>105</v>
      </c>
      <c r="C476" t="s" s="32">
        <v>104</v>
      </c>
      <c r="D476" t="s" s="32">
        <v>193</v>
      </c>
      <c r="E476" t="s" s="32">
        <v>618</v>
      </c>
      <c r="F476" t="s" s="32">
        <v>630</v>
      </c>
      <c r="G476" t="s" s="32">
        <v>412</v>
      </c>
      <c r="H476" t="s" s="32">
        <v>1595</v>
      </c>
      <c r="I476" t="s" s="32">
        <v>1361</v>
      </c>
      <c r="J476" t="s" s="32">
        <v>1371</v>
      </c>
      <c r="K476" t="s" s="35">
        <v>622</v>
      </c>
      <c r="L476" s="30"/>
    </row>
    <row r="477" ht="74.5" customHeight="1">
      <c r="A477" t="s" s="36">
        <v>1596</v>
      </c>
      <c r="B477" t="s" s="37">
        <v>105</v>
      </c>
      <c r="C477" t="s" s="37">
        <v>104</v>
      </c>
      <c r="D477" t="s" s="37">
        <v>193</v>
      </c>
      <c r="E477" t="s" s="37">
        <v>618</v>
      </c>
      <c r="F477" t="s" s="37">
        <v>630</v>
      </c>
      <c r="G477" t="s" s="37">
        <v>424</v>
      </c>
      <c r="H477" t="s" s="37">
        <v>1597</v>
      </c>
      <c r="I477" t="s" s="37">
        <v>1361</v>
      </c>
      <c r="J477" t="s" s="37">
        <v>1371</v>
      </c>
      <c r="K477" t="s" s="40">
        <v>622</v>
      </c>
      <c r="L477" s="30"/>
    </row>
    <row r="478" ht="74.5" customHeight="1">
      <c r="A478" t="s" s="31">
        <v>1598</v>
      </c>
      <c r="B478" t="s" s="32">
        <v>105</v>
      </c>
      <c r="C478" t="s" s="32">
        <v>104</v>
      </c>
      <c r="D478" t="s" s="32">
        <v>193</v>
      </c>
      <c r="E478" t="s" s="32">
        <v>618</v>
      </c>
      <c r="F478" t="s" s="32">
        <v>622</v>
      </c>
      <c r="G478" t="s" s="32">
        <v>387</v>
      </c>
      <c r="H478" t="s" s="32">
        <v>1599</v>
      </c>
      <c r="I478" t="s" s="32">
        <v>1361</v>
      </c>
      <c r="J478" t="s" s="32">
        <v>1371</v>
      </c>
      <c r="K478" t="s" s="35">
        <v>641</v>
      </c>
      <c r="L478" s="30"/>
    </row>
    <row r="479" ht="74.5" customHeight="1">
      <c r="A479" t="s" s="36">
        <v>1600</v>
      </c>
      <c r="B479" t="s" s="37">
        <v>105</v>
      </c>
      <c r="C479" t="s" s="37">
        <v>104</v>
      </c>
      <c r="D479" t="s" s="37">
        <v>193</v>
      </c>
      <c r="E479" t="s" s="37">
        <v>618</v>
      </c>
      <c r="F479" t="s" s="37">
        <v>622</v>
      </c>
      <c r="G479" t="s" s="37">
        <v>400</v>
      </c>
      <c r="H479" t="s" s="37">
        <v>1601</v>
      </c>
      <c r="I479" t="s" s="37">
        <v>1361</v>
      </c>
      <c r="J479" t="s" s="37">
        <v>1371</v>
      </c>
      <c r="K479" t="s" s="40">
        <v>641</v>
      </c>
      <c r="L479" s="30"/>
    </row>
    <row r="480" ht="74.5" customHeight="1">
      <c r="A480" t="s" s="31">
        <v>1602</v>
      </c>
      <c r="B480" t="s" s="32">
        <v>105</v>
      </c>
      <c r="C480" t="s" s="32">
        <v>104</v>
      </c>
      <c r="D480" t="s" s="32">
        <v>193</v>
      </c>
      <c r="E480" t="s" s="32">
        <v>618</v>
      </c>
      <c r="F480" t="s" s="32">
        <v>622</v>
      </c>
      <c r="G480" t="s" s="32">
        <v>412</v>
      </c>
      <c r="H480" t="s" s="32">
        <v>1603</v>
      </c>
      <c r="I480" t="s" s="32">
        <v>1361</v>
      </c>
      <c r="J480" t="s" s="32">
        <v>1371</v>
      </c>
      <c r="K480" t="s" s="35">
        <v>641</v>
      </c>
      <c r="L480" s="30"/>
    </row>
    <row r="481" ht="74.5" customHeight="1">
      <c r="A481" t="s" s="36">
        <v>1604</v>
      </c>
      <c r="B481" t="s" s="37">
        <v>105</v>
      </c>
      <c r="C481" t="s" s="37">
        <v>104</v>
      </c>
      <c r="D481" t="s" s="37">
        <v>193</v>
      </c>
      <c r="E481" t="s" s="37">
        <v>618</v>
      </c>
      <c r="F481" t="s" s="37">
        <v>622</v>
      </c>
      <c r="G481" t="s" s="37">
        <v>424</v>
      </c>
      <c r="H481" t="s" s="37">
        <v>1605</v>
      </c>
      <c r="I481" t="s" s="37">
        <v>1361</v>
      </c>
      <c r="J481" t="s" s="37">
        <v>1371</v>
      </c>
      <c r="K481" t="s" s="40">
        <v>641</v>
      </c>
      <c r="L481" s="30"/>
    </row>
    <row r="482" ht="74.5" customHeight="1">
      <c r="A482" t="s" s="31">
        <v>1606</v>
      </c>
      <c r="B482" t="s" s="32">
        <v>105</v>
      </c>
      <c r="C482" t="s" s="32">
        <v>104</v>
      </c>
      <c r="D482" t="s" s="32">
        <v>193</v>
      </c>
      <c r="E482" t="s" s="32">
        <v>630</v>
      </c>
      <c r="F482" t="s" s="32">
        <v>618</v>
      </c>
      <c r="G482" t="s" s="32">
        <v>387</v>
      </c>
      <c r="H482" t="s" s="32">
        <v>1607</v>
      </c>
      <c r="I482" t="s" s="32">
        <v>1388</v>
      </c>
      <c r="J482" t="s" s="32">
        <v>651</v>
      </c>
      <c r="K482" t="s" s="35">
        <v>622</v>
      </c>
      <c r="L482" s="30"/>
    </row>
    <row r="483" ht="74.5" customHeight="1">
      <c r="A483" t="s" s="36">
        <v>1608</v>
      </c>
      <c r="B483" t="s" s="37">
        <v>105</v>
      </c>
      <c r="C483" t="s" s="37">
        <v>104</v>
      </c>
      <c r="D483" t="s" s="37">
        <v>193</v>
      </c>
      <c r="E483" t="s" s="37">
        <v>630</v>
      </c>
      <c r="F483" t="s" s="37">
        <v>618</v>
      </c>
      <c r="G483" t="s" s="37">
        <v>400</v>
      </c>
      <c r="H483" t="s" s="37">
        <v>1609</v>
      </c>
      <c r="I483" t="s" s="37">
        <v>1388</v>
      </c>
      <c r="J483" t="s" s="37">
        <v>651</v>
      </c>
      <c r="K483" t="s" s="40">
        <v>622</v>
      </c>
      <c r="L483" s="30"/>
    </row>
    <row r="484" ht="74.5" customHeight="1">
      <c r="A484" t="s" s="31">
        <v>1610</v>
      </c>
      <c r="B484" t="s" s="32">
        <v>105</v>
      </c>
      <c r="C484" t="s" s="32">
        <v>104</v>
      </c>
      <c r="D484" t="s" s="32">
        <v>193</v>
      </c>
      <c r="E484" t="s" s="32">
        <v>630</v>
      </c>
      <c r="F484" t="s" s="32">
        <v>618</v>
      </c>
      <c r="G484" t="s" s="32">
        <v>412</v>
      </c>
      <c r="H484" t="s" s="32">
        <v>1611</v>
      </c>
      <c r="I484" t="s" s="32">
        <v>1388</v>
      </c>
      <c r="J484" t="s" s="32">
        <v>651</v>
      </c>
      <c r="K484" t="s" s="35">
        <v>622</v>
      </c>
      <c r="L484" s="30"/>
    </row>
    <row r="485" ht="74.5" customHeight="1">
      <c r="A485" t="s" s="36">
        <v>1612</v>
      </c>
      <c r="B485" t="s" s="37">
        <v>105</v>
      </c>
      <c r="C485" t="s" s="37">
        <v>104</v>
      </c>
      <c r="D485" t="s" s="37">
        <v>193</v>
      </c>
      <c r="E485" t="s" s="37">
        <v>630</v>
      </c>
      <c r="F485" t="s" s="37">
        <v>618</v>
      </c>
      <c r="G485" t="s" s="37">
        <v>424</v>
      </c>
      <c r="H485" t="s" s="37">
        <v>1613</v>
      </c>
      <c r="I485" t="s" s="37">
        <v>1388</v>
      </c>
      <c r="J485" t="s" s="37">
        <v>651</v>
      </c>
      <c r="K485" t="s" s="40">
        <v>622</v>
      </c>
      <c r="L485" s="30"/>
    </row>
    <row r="486" ht="74.5" customHeight="1">
      <c r="A486" t="s" s="31">
        <v>1614</v>
      </c>
      <c r="B486" t="s" s="32">
        <v>105</v>
      </c>
      <c r="C486" t="s" s="32">
        <v>104</v>
      </c>
      <c r="D486" t="s" s="32">
        <v>193</v>
      </c>
      <c r="E486" t="s" s="32">
        <v>630</v>
      </c>
      <c r="F486" t="s" s="32">
        <v>630</v>
      </c>
      <c r="G486" t="s" s="32">
        <v>387</v>
      </c>
      <c r="H486" t="s" s="32">
        <v>1615</v>
      </c>
      <c r="I486" t="s" s="32">
        <v>1388</v>
      </c>
      <c r="J486" t="s" s="32">
        <v>660</v>
      </c>
      <c r="K486" t="s" s="35">
        <v>630</v>
      </c>
      <c r="L486" s="30"/>
    </row>
    <row r="487" ht="74.5" customHeight="1">
      <c r="A487" t="s" s="36">
        <v>1616</v>
      </c>
      <c r="B487" t="s" s="37">
        <v>105</v>
      </c>
      <c r="C487" t="s" s="37">
        <v>104</v>
      </c>
      <c r="D487" t="s" s="37">
        <v>193</v>
      </c>
      <c r="E487" t="s" s="37">
        <v>630</v>
      </c>
      <c r="F487" t="s" s="37">
        <v>630</v>
      </c>
      <c r="G487" t="s" s="37">
        <v>400</v>
      </c>
      <c r="H487" t="s" s="37">
        <v>1617</v>
      </c>
      <c r="I487" t="s" s="37">
        <v>1388</v>
      </c>
      <c r="J487" t="s" s="37">
        <v>660</v>
      </c>
      <c r="K487" t="s" s="40">
        <v>630</v>
      </c>
      <c r="L487" s="30"/>
    </row>
    <row r="488" ht="74.5" customHeight="1">
      <c r="A488" t="s" s="31">
        <v>1618</v>
      </c>
      <c r="B488" t="s" s="32">
        <v>105</v>
      </c>
      <c r="C488" t="s" s="32">
        <v>104</v>
      </c>
      <c r="D488" t="s" s="32">
        <v>193</v>
      </c>
      <c r="E488" t="s" s="32">
        <v>630</v>
      </c>
      <c r="F488" t="s" s="32">
        <v>630</v>
      </c>
      <c r="G488" t="s" s="32">
        <v>412</v>
      </c>
      <c r="H488" t="s" s="32">
        <v>1619</v>
      </c>
      <c r="I488" t="s" s="32">
        <v>1388</v>
      </c>
      <c r="J488" t="s" s="32">
        <v>660</v>
      </c>
      <c r="K488" t="s" s="35">
        <v>630</v>
      </c>
      <c r="L488" s="30"/>
    </row>
    <row r="489" ht="74.5" customHeight="1">
      <c r="A489" t="s" s="36">
        <v>1620</v>
      </c>
      <c r="B489" t="s" s="37">
        <v>105</v>
      </c>
      <c r="C489" t="s" s="37">
        <v>104</v>
      </c>
      <c r="D489" t="s" s="37">
        <v>193</v>
      </c>
      <c r="E489" t="s" s="37">
        <v>630</v>
      </c>
      <c r="F489" t="s" s="37">
        <v>630</v>
      </c>
      <c r="G489" t="s" s="37">
        <v>424</v>
      </c>
      <c r="H489" t="s" s="37">
        <v>1621</v>
      </c>
      <c r="I489" t="s" s="37">
        <v>1388</v>
      </c>
      <c r="J489" t="s" s="37">
        <v>660</v>
      </c>
      <c r="K489" t="s" s="40">
        <v>630</v>
      </c>
      <c r="L489" s="30"/>
    </row>
    <row r="490" ht="74.5" customHeight="1">
      <c r="A490" t="s" s="31">
        <v>1622</v>
      </c>
      <c r="B490" t="s" s="32">
        <v>105</v>
      </c>
      <c r="C490" t="s" s="32">
        <v>104</v>
      </c>
      <c r="D490" t="s" s="32">
        <v>193</v>
      </c>
      <c r="E490" t="s" s="32">
        <v>630</v>
      </c>
      <c r="F490" t="s" s="32">
        <v>622</v>
      </c>
      <c r="G490" t="s" s="32">
        <v>387</v>
      </c>
      <c r="H490" t="s" s="32">
        <v>1623</v>
      </c>
      <c r="I490" t="s" s="32">
        <v>1405</v>
      </c>
      <c r="J490" t="s" s="32">
        <v>660</v>
      </c>
      <c r="K490" t="s" s="35">
        <v>630</v>
      </c>
      <c r="L490" s="30"/>
    </row>
    <row r="491" ht="74.5" customHeight="1">
      <c r="A491" t="s" s="36">
        <v>1624</v>
      </c>
      <c r="B491" t="s" s="37">
        <v>105</v>
      </c>
      <c r="C491" t="s" s="37">
        <v>104</v>
      </c>
      <c r="D491" t="s" s="37">
        <v>193</v>
      </c>
      <c r="E491" t="s" s="37">
        <v>630</v>
      </c>
      <c r="F491" t="s" s="37">
        <v>622</v>
      </c>
      <c r="G491" t="s" s="37">
        <v>400</v>
      </c>
      <c r="H491" t="s" s="37">
        <v>1625</v>
      </c>
      <c r="I491" t="s" s="37">
        <v>1405</v>
      </c>
      <c r="J491" t="s" s="37">
        <v>660</v>
      </c>
      <c r="K491" t="s" s="40">
        <v>630</v>
      </c>
      <c r="L491" s="30"/>
    </row>
    <row r="492" ht="74.5" customHeight="1">
      <c r="A492" t="s" s="31">
        <v>1626</v>
      </c>
      <c r="B492" t="s" s="32">
        <v>105</v>
      </c>
      <c r="C492" t="s" s="32">
        <v>104</v>
      </c>
      <c r="D492" t="s" s="32">
        <v>193</v>
      </c>
      <c r="E492" t="s" s="32">
        <v>630</v>
      </c>
      <c r="F492" t="s" s="32">
        <v>622</v>
      </c>
      <c r="G492" t="s" s="32">
        <v>412</v>
      </c>
      <c r="H492" t="s" s="32">
        <v>1627</v>
      </c>
      <c r="I492" t="s" s="32">
        <v>1405</v>
      </c>
      <c r="J492" t="s" s="32">
        <v>660</v>
      </c>
      <c r="K492" t="s" s="35">
        <v>630</v>
      </c>
      <c r="L492" s="30"/>
    </row>
    <row r="493" ht="74.5" customHeight="1">
      <c r="A493" t="s" s="36">
        <v>1628</v>
      </c>
      <c r="B493" t="s" s="37">
        <v>105</v>
      </c>
      <c r="C493" t="s" s="37">
        <v>104</v>
      </c>
      <c r="D493" t="s" s="37">
        <v>193</v>
      </c>
      <c r="E493" t="s" s="37">
        <v>630</v>
      </c>
      <c r="F493" t="s" s="37">
        <v>622</v>
      </c>
      <c r="G493" t="s" s="37">
        <v>424</v>
      </c>
      <c r="H493" t="s" s="37">
        <v>1629</v>
      </c>
      <c r="I493" t="s" s="37">
        <v>1405</v>
      </c>
      <c r="J493" t="s" s="37">
        <v>660</v>
      </c>
      <c r="K493" t="s" s="40">
        <v>630</v>
      </c>
      <c r="L493" s="30"/>
    </row>
    <row r="494" ht="74.5" customHeight="1">
      <c r="A494" t="s" s="31">
        <v>1630</v>
      </c>
      <c r="B494" t="s" s="32">
        <v>105</v>
      </c>
      <c r="C494" t="s" s="32">
        <v>104</v>
      </c>
      <c r="D494" t="s" s="32">
        <v>193</v>
      </c>
      <c r="E494" t="s" s="32">
        <v>622</v>
      </c>
      <c r="F494" t="s" s="32">
        <v>618</v>
      </c>
      <c r="G494" t="s" s="32">
        <v>387</v>
      </c>
      <c r="H494" t="s" s="32">
        <v>1631</v>
      </c>
      <c r="I494" t="s" s="32">
        <v>1414</v>
      </c>
      <c r="J494" t="s" s="32">
        <v>651</v>
      </c>
      <c r="K494" t="s" s="35">
        <v>622</v>
      </c>
      <c r="L494" s="30"/>
    </row>
    <row r="495" ht="74.5" customHeight="1">
      <c r="A495" t="s" s="36">
        <v>1632</v>
      </c>
      <c r="B495" t="s" s="37">
        <v>105</v>
      </c>
      <c r="C495" t="s" s="37">
        <v>104</v>
      </c>
      <c r="D495" t="s" s="37">
        <v>193</v>
      </c>
      <c r="E495" t="s" s="37">
        <v>622</v>
      </c>
      <c r="F495" t="s" s="37">
        <v>618</v>
      </c>
      <c r="G495" t="s" s="37">
        <v>400</v>
      </c>
      <c r="H495" t="s" s="37">
        <v>1633</v>
      </c>
      <c r="I495" t="s" s="37">
        <v>1414</v>
      </c>
      <c r="J495" t="s" s="37">
        <v>651</v>
      </c>
      <c r="K495" t="s" s="40">
        <v>622</v>
      </c>
      <c r="L495" s="30"/>
    </row>
    <row r="496" ht="74.5" customHeight="1">
      <c r="A496" t="s" s="31">
        <v>1634</v>
      </c>
      <c r="B496" t="s" s="32">
        <v>105</v>
      </c>
      <c r="C496" t="s" s="32">
        <v>104</v>
      </c>
      <c r="D496" t="s" s="32">
        <v>193</v>
      </c>
      <c r="E496" t="s" s="32">
        <v>622</v>
      </c>
      <c r="F496" t="s" s="32">
        <v>618</v>
      </c>
      <c r="G496" t="s" s="32">
        <v>412</v>
      </c>
      <c r="H496" t="s" s="32">
        <v>1635</v>
      </c>
      <c r="I496" t="s" s="32">
        <v>1414</v>
      </c>
      <c r="J496" t="s" s="32">
        <v>651</v>
      </c>
      <c r="K496" t="s" s="35">
        <v>622</v>
      </c>
      <c r="L496" s="30"/>
    </row>
    <row r="497" ht="74.5" customHeight="1">
      <c r="A497" t="s" s="36">
        <v>1636</v>
      </c>
      <c r="B497" t="s" s="37">
        <v>105</v>
      </c>
      <c r="C497" t="s" s="37">
        <v>104</v>
      </c>
      <c r="D497" t="s" s="37">
        <v>193</v>
      </c>
      <c r="E497" t="s" s="37">
        <v>622</v>
      </c>
      <c r="F497" t="s" s="37">
        <v>618</v>
      </c>
      <c r="G497" t="s" s="37">
        <v>424</v>
      </c>
      <c r="H497" t="s" s="37">
        <v>1637</v>
      </c>
      <c r="I497" t="s" s="37">
        <v>1414</v>
      </c>
      <c r="J497" t="s" s="37">
        <v>651</v>
      </c>
      <c r="K497" t="s" s="40">
        <v>622</v>
      </c>
      <c r="L497" s="30"/>
    </row>
    <row r="498" ht="74.5" customHeight="1">
      <c r="A498" t="s" s="31">
        <v>1638</v>
      </c>
      <c r="B498" t="s" s="32">
        <v>105</v>
      </c>
      <c r="C498" t="s" s="32">
        <v>104</v>
      </c>
      <c r="D498" t="s" s="32">
        <v>193</v>
      </c>
      <c r="E498" t="s" s="32">
        <v>622</v>
      </c>
      <c r="F498" t="s" s="32">
        <v>630</v>
      </c>
      <c r="G498" t="s" s="32">
        <v>387</v>
      </c>
      <c r="H498" t="s" s="32">
        <v>1639</v>
      </c>
      <c r="I498" t="s" s="32">
        <v>1423</v>
      </c>
      <c r="J498" t="s" s="32">
        <v>660</v>
      </c>
      <c r="K498" t="s" s="35">
        <v>630</v>
      </c>
      <c r="L498" s="30"/>
    </row>
    <row r="499" ht="74.5" customHeight="1">
      <c r="A499" t="s" s="36">
        <v>1640</v>
      </c>
      <c r="B499" t="s" s="37">
        <v>105</v>
      </c>
      <c r="C499" t="s" s="37">
        <v>104</v>
      </c>
      <c r="D499" t="s" s="37">
        <v>193</v>
      </c>
      <c r="E499" t="s" s="37">
        <v>622</v>
      </c>
      <c r="F499" t="s" s="37">
        <v>630</v>
      </c>
      <c r="G499" t="s" s="37">
        <v>400</v>
      </c>
      <c r="H499" t="s" s="37">
        <v>1641</v>
      </c>
      <c r="I499" t="s" s="37">
        <v>1423</v>
      </c>
      <c r="J499" t="s" s="37">
        <v>660</v>
      </c>
      <c r="K499" t="s" s="40">
        <v>630</v>
      </c>
      <c r="L499" s="30"/>
    </row>
    <row r="500" ht="62.5" customHeight="1">
      <c r="A500" t="s" s="31">
        <v>1642</v>
      </c>
      <c r="B500" t="s" s="32">
        <v>105</v>
      </c>
      <c r="C500" t="s" s="32">
        <v>104</v>
      </c>
      <c r="D500" t="s" s="32">
        <v>193</v>
      </c>
      <c r="E500" t="s" s="32">
        <v>622</v>
      </c>
      <c r="F500" t="s" s="32">
        <v>630</v>
      </c>
      <c r="G500" t="s" s="32">
        <v>412</v>
      </c>
      <c r="H500" t="s" s="32">
        <v>1643</v>
      </c>
      <c r="I500" t="s" s="32">
        <v>1423</v>
      </c>
      <c r="J500" t="s" s="32">
        <v>660</v>
      </c>
      <c r="K500" t="s" s="35">
        <v>630</v>
      </c>
      <c r="L500" s="30"/>
    </row>
    <row r="501" ht="74.5" customHeight="1">
      <c r="A501" t="s" s="36">
        <v>1644</v>
      </c>
      <c r="B501" t="s" s="37">
        <v>105</v>
      </c>
      <c r="C501" t="s" s="37">
        <v>104</v>
      </c>
      <c r="D501" t="s" s="37">
        <v>193</v>
      </c>
      <c r="E501" t="s" s="37">
        <v>622</v>
      </c>
      <c r="F501" t="s" s="37">
        <v>630</v>
      </c>
      <c r="G501" t="s" s="37">
        <v>424</v>
      </c>
      <c r="H501" t="s" s="37">
        <v>1645</v>
      </c>
      <c r="I501" t="s" s="37">
        <v>1423</v>
      </c>
      <c r="J501" t="s" s="37">
        <v>660</v>
      </c>
      <c r="K501" t="s" s="40">
        <v>630</v>
      </c>
      <c r="L501" s="30"/>
    </row>
    <row r="502" ht="74.5" customHeight="1">
      <c r="A502" t="s" s="31">
        <v>1646</v>
      </c>
      <c r="B502" t="s" s="32">
        <v>105</v>
      </c>
      <c r="C502" t="s" s="32">
        <v>104</v>
      </c>
      <c r="D502" t="s" s="32">
        <v>193</v>
      </c>
      <c r="E502" t="s" s="32">
        <v>622</v>
      </c>
      <c r="F502" t="s" s="32">
        <v>622</v>
      </c>
      <c r="G502" t="s" s="32">
        <v>387</v>
      </c>
      <c r="H502" t="s" s="32">
        <v>1647</v>
      </c>
      <c r="I502" t="s" s="32">
        <v>1423</v>
      </c>
      <c r="J502" t="s" s="32">
        <v>660</v>
      </c>
      <c r="K502" t="s" s="35">
        <v>641</v>
      </c>
      <c r="L502" s="30"/>
    </row>
    <row r="503" ht="74.5" customHeight="1">
      <c r="A503" t="s" s="36">
        <v>1648</v>
      </c>
      <c r="B503" t="s" s="37">
        <v>105</v>
      </c>
      <c r="C503" t="s" s="37">
        <v>104</v>
      </c>
      <c r="D503" t="s" s="37">
        <v>193</v>
      </c>
      <c r="E503" t="s" s="37">
        <v>622</v>
      </c>
      <c r="F503" t="s" s="37">
        <v>622</v>
      </c>
      <c r="G503" t="s" s="37">
        <v>400</v>
      </c>
      <c r="H503" t="s" s="37">
        <v>1649</v>
      </c>
      <c r="I503" t="s" s="37">
        <v>1423</v>
      </c>
      <c r="J503" t="s" s="37">
        <v>660</v>
      </c>
      <c r="K503" t="s" s="40">
        <v>641</v>
      </c>
      <c r="L503" s="30"/>
    </row>
    <row r="504" ht="62.5" customHeight="1">
      <c r="A504" t="s" s="31">
        <v>1650</v>
      </c>
      <c r="B504" t="s" s="32">
        <v>105</v>
      </c>
      <c r="C504" t="s" s="32">
        <v>104</v>
      </c>
      <c r="D504" t="s" s="32">
        <v>193</v>
      </c>
      <c r="E504" t="s" s="32">
        <v>622</v>
      </c>
      <c r="F504" t="s" s="32">
        <v>622</v>
      </c>
      <c r="G504" t="s" s="32">
        <v>412</v>
      </c>
      <c r="H504" t="s" s="32">
        <v>1651</v>
      </c>
      <c r="I504" t="s" s="32">
        <v>1423</v>
      </c>
      <c r="J504" t="s" s="32">
        <v>660</v>
      </c>
      <c r="K504" t="s" s="35">
        <v>641</v>
      </c>
      <c r="L504" s="30"/>
    </row>
    <row r="505" ht="74.5" customHeight="1">
      <c r="A505" t="s" s="36">
        <v>1652</v>
      </c>
      <c r="B505" t="s" s="37">
        <v>105</v>
      </c>
      <c r="C505" t="s" s="37">
        <v>104</v>
      </c>
      <c r="D505" t="s" s="37">
        <v>193</v>
      </c>
      <c r="E505" t="s" s="37">
        <v>622</v>
      </c>
      <c r="F505" t="s" s="37">
        <v>622</v>
      </c>
      <c r="G505" t="s" s="37">
        <v>424</v>
      </c>
      <c r="H505" t="s" s="37">
        <v>1653</v>
      </c>
      <c r="I505" t="s" s="37">
        <v>1423</v>
      </c>
      <c r="J505" t="s" s="37">
        <v>660</v>
      </c>
      <c r="K505" t="s" s="40">
        <v>641</v>
      </c>
      <c r="L505" s="30"/>
    </row>
    <row r="506" ht="74.5" customHeight="1">
      <c r="A506" t="s" s="31">
        <v>1654</v>
      </c>
      <c r="B506" t="s" s="32">
        <v>105</v>
      </c>
      <c r="C506" t="s" s="32">
        <v>104</v>
      </c>
      <c r="D506" t="s" s="32">
        <v>205</v>
      </c>
      <c r="E506" t="s" s="32">
        <v>618</v>
      </c>
      <c r="F506" t="s" s="32">
        <v>618</v>
      </c>
      <c r="G506" t="s" s="32">
        <v>387</v>
      </c>
      <c r="H506" t="s" s="32">
        <v>1655</v>
      </c>
      <c r="I506" t="s" s="32">
        <v>1361</v>
      </c>
      <c r="J506" t="s" s="32">
        <v>1656</v>
      </c>
      <c r="K506" t="s" s="35">
        <v>622</v>
      </c>
      <c r="L506" s="30"/>
    </row>
    <row r="507" ht="74.5" customHeight="1">
      <c r="A507" t="s" s="36">
        <v>1657</v>
      </c>
      <c r="B507" t="s" s="37">
        <v>105</v>
      </c>
      <c r="C507" t="s" s="37">
        <v>104</v>
      </c>
      <c r="D507" t="s" s="37">
        <v>205</v>
      </c>
      <c r="E507" t="s" s="37">
        <v>618</v>
      </c>
      <c r="F507" t="s" s="37">
        <v>618</v>
      </c>
      <c r="G507" t="s" s="37">
        <v>400</v>
      </c>
      <c r="H507" t="s" s="37">
        <v>1658</v>
      </c>
      <c r="I507" t="s" s="37">
        <v>1361</v>
      </c>
      <c r="J507" t="s" s="37">
        <v>1656</v>
      </c>
      <c r="K507" t="s" s="40">
        <v>622</v>
      </c>
      <c r="L507" s="30"/>
    </row>
    <row r="508" ht="74.5" customHeight="1">
      <c r="A508" t="s" s="31">
        <v>1659</v>
      </c>
      <c r="B508" t="s" s="32">
        <v>105</v>
      </c>
      <c r="C508" t="s" s="32">
        <v>104</v>
      </c>
      <c r="D508" t="s" s="32">
        <v>205</v>
      </c>
      <c r="E508" t="s" s="32">
        <v>618</v>
      </c>
      <c r="F508" t="s" s="32">
        <v>618</v>
      </c>
      <c r="G508" t="s" s="32">
        <v>412</v>
      </c>
      <c r="H508" t="s" s="32">
        <v>1660</v>
      </c>
      <c r="I508" t="s" s="32">
        <v>1361</v>
      </c>
      <c r="J508" t="s" s="32">
        <v>1656</v>
      </c>
      <c r="K508" t="s" s="35">
        <v>622</v>
      </c>
      <c r="L508" s="30"/>
    </row>
    <row r="509" ht="74.5" customHeight="1">
      <c r="A509" t="s" s="36">
        <v>1661</v>
      </c>
      <c r="B509" t="s" s="37">
        <v>105</v>
      </c>
      <c r="C509" t="s" s="37">
        <v>104</v>
      </c>
      <c r="D509" t="s" s="37">
        <v>205</v>
      </c>
      <c r="E509" t="s" s="37">
        <v>618</v>
      </c>
      <c r="F509" t="s" s="37">
        <v>618</v>
      </c>
      <c r="G509" t="s" s="37">
        <v>424</v>
      </c>
      <c r="H509" t="s" s="37">
        <v>1662</v>
      </c>
      <c r="I509" t="s" s="37">
        <v>1361</v>
      </c>
      <c r="J509" t="s" s="37">
        <v>1656</v>
      </c>
      <c r="K509" t="s" s="40">
        <v>622</v>
      </c>
      <c r="L509" s="30"/>
    </row>
    <row r="510" ht="74.5" customHeight="1">
      <c r="A510" t="s" s="31">
        <v>1663</v>
      </c>
      <c r="B510" t="s" s="32">
        <v>105</v>
      </c>
      <c r="C510" t="s" s="32">
        <v>104</v>
      </c>
      <c r="D510" t="s" s="32">
        <v>205</v>
      </c>
      <c r="E510" t="s" s="32">
        <v>618</v>
      </c>
      <c r="F510" t="s" s="32">
        <v>630</v>
      </c>
      <c r="G510" t="s" s="32">
        <v>387</v>
      </c>
      <c r="H510" t="s" s="32">
        <v>1664</v>
      </c>
      <c r="I510" t="s" s="32">
        <v>1361</v>
      </c>
      <c r="J510" t="s" s="32">
        <v>1665</v>
      </c>
      <c r="K510" t="s" s="35">
        <v>622</v>
      </c>
      <c r="L510" s="30"/>
    </row>
    <row r="511" ht="74.5" customHeight="1">
      <c r="A511" t="s" s="36">
        <v>1666</v>
      </c>
      <c r="B511" t="s" s="37">
        <v>105</v>
      </c>
      <c r="C511" t="s" s="37">
        <v>104</v>
      </c>
      <c r="D511" t="s" s="37">
        <v>205</v>
      </c>
      <c r="E511" t="s" s="37">
        <v>618</v>
      </c>
      <c r="F511" t="s" s="37">
        <v>630</v>
      </c>
      <c r="G511" t="s" s="37">
        <v>400</v>
      </c>
      <c r="H511" t="s" s="37">
        <v>1667</v>
      </c>
      <c r="I511" t="s" s="37">
        <v>1361</v>
      </c>
      <c r="J511" t="s" s="37">
        <v>1665</v>
      </c>
      <c r="K511" t="s" s="40">
        <v>622</v>
      </c>
      <c r="L511" s="30"/>
    </row>
    <row r="512" ht="74.5" customHeight="1">
      <c r="A512" t="s" s="31">
        <v>1668</v>
      </c>
      <c r="B512" t="s" s="32">
        <v>105</v>
      </c>
      <c r="C512" t="s" s="32">
        <v>104</v>
      </c>
      <c r="D512" t="s" s="32">
        <v>205</v>
      </c>
      <c r="E512" t="s" s="32">
        <v>618</v>
      </c>
      <c r="F512" t="s" s="32">
        <v>630</v>
      </c>
      <c r="G512" t="s" s="32">
        <v>412</v>
      </c>
      <c r="H512" t="s" s="32">
        <v>1669</v>
      </c>
      <c r="I512" t="s" s="32">
        <v>1361</v>
      </c>
      <c r="J512" t="s" s="32">
        <v>1665</v>
      </c>
      <c r="K512" t="s" s="35">
        <v>622</v>
      </c>
      <c r="L512" s="30"/>
    </row>
    <row r="513" ht="74.5" customHeight="1">
      <c r="A513" t="s" s="36">
        <v>1670</v>
      </c>
      <c r="B513" t="s" s="37">
        <v>105</v>
      </c>
      <c r="C513" t="s" s="37">
        <v>104</v>
      </c>
      <c r="D513" t="s" s="37">
        <v>205</v>
      </c>
      <c r="E513" t="s" s="37">
        <v>618</v>
      </c>
      <c r="F513" t="s" s="37">
        <v>630</v>
      </c>
      <c r="G513" t="s" s="37">
        <v>424</v>
      </c>
      <c r="H513" t="s" s="37">
        <v>1671</v>
      </c>
      <c r="I513" t="s" s="37">
        <v>1361</v>
      </c>
      <c r="J513" t="s" s="37">
        <v>1665</v>
      </c>
      <c r="K513" t="s" s="40">
        <v>622</v>
      </c>
      <c r="L513" s="30"/>
    </row>
    <row r="514" ht="74.5" customHeight="1">
      <c r="A514" t="s" s="31">
        <v>1672</v>
      </c>
      <c r="B514" t="s" s="32">
        <v>105</v>
      </c>
      <c r="C514" t="s" s="32">
        <v>104</v>
      </c>
      <c r="D514" t="s" s="32">
        <v>205</v>
      </c>
      <c r="E514" t="s" s="32">
        <v>618</v>
      </c>
      <c r="F514" t="s" s="32">
        <v>622</v>
      </c>
      <c r="G514" t="s" s="32">
        <v>387</v>
      </c>
      <c r="H514" t="s" s="32">
        <v>1673</v>
      </c>
      <c r="I514" t="s" s="32">
        <v>1361</v>
      </c>
      <c r="J514" t="s" s="32">
        <v>1665</v>
      </c>
      <c r="K514" t="s" s="35">
        <v>641</v>
      </c>
      <c r="L514" s="30"/>
    </row>
    <row r="515" ht="74.5" customHeight="1">
      <c r="A515" t="s" s="36">
        <v>1674</v>
      </c>
      <c r="B515" t="s" s="37">
        <v>105</v>
      </c>
      <c r="C515" t="s" s="37">
        <v>104</v>
      </c>
      <c r="D515" t="s" s="37">
        <v>205</v>
      </c>
      <c r="E515" t="s" s="37">
        <v>618</v>
      </c>
      <c r="F515" t="s" s="37">
        <v>622</v>
      </c>
      <c r="G515" t="s" s="37">
        <v>400</v>
      </c>
      <c r="H515" t="s" s="37">
        <v>1675</v>
      </c>
      <c r="I515" t="s" s="37">
        <v>1361</v>
      </c>
      <c r="J515" t="s" s="37">
        <v>1665</v>
      </c>
      <c r="K515" t="s" s="40">
        <v>641</v>
      </c>
      <c r="L515" s="30"/>
    </row>
    <row r="516" ht="74.5" customHeight="1">
      <c r="A516" t="s" s="31">
        <v>1676</v>
      </c>
      <c r="B516" t="s" s="32">
        <v>105</v>
      </c>
      <c r="C516" t="s" s="32">
        <v>104</v>
      </c>
      <c r="D516" t="s" s="32">
        <v>205</v>
      </c>
      <c r="E516" t="s" s="32">
        <v>618</v>
      </c>
      <c r="F516" t="s" s="32">
        <v>622</v>
      </c>
      <c r="G516" t="s" s="32">
        <v>412</v>
      </c>
      <c r="H516" t="s" s="32">
        <v>1677</v>
      </c>
      <c r="I516" t="s" s="32">
        <v>1361</v>
      </c>
      <c r="J516" t="s" s="32">
        <v>1665</v>
      </c>
      <c r="K516" t="s" s="35">
        <v>641</v>
      </c>
      <c r="L516" s="30"/>
    </row>
    <row r="517" ht="74.5" customHeight="1">
      <c r="A517" t="s" s="36">
        <v>1678</v>
      </c>
      <c r="B517" t="s" s="37">
        <v>105</v>
      </c>
      <c r="C517" t="s" s="37">
        <v>104</v>
      </c>
      <c r="D517" t="s" s="37">
        <v>205</v>
      </c>
      <c r="E517" t="s" s="37">
        <v>618</v>
      </c>
      <c r="F517" t="s" s="37">
        <v>622</v>
      </c>
      <c r="G517" t="s" s="37">
        <v>424</v>
      </c>
      <c r="H517" t="s" s="37">
        <v>1679</v>
      </c>
      <c r="I517" t="s" s="37">
        <v>1361</v>
      </c>
      <c r="J517" t="s" s="37">
        <v>1665</v>
      </c>
      <c r="K517" t="s" s="40">
        <v>641</v>
      </c>
      <c r="L517" s="30"/>
    </row>
    <row r="518" ht="74.5" customHeight="1">
      <c r="A518" t="s" s="31">
        <v>1680</v>
      </c>
      <c r="B518" t="s" s="32">
        <v>105</v>
      </c>
      <c r="C518" t="s" s="32">
        <v>104</v>
      </c>
      <c r="D518" t="s" s="32">
        <v>205</v>
      </c>
      <c r="E518" t="s" s="32">
        <v>630</v>
      </c>
      <c r="F518" t="s" s="32">
        <v>618</v>
      </c>
      <c r="G518" t="s" s="32">
        <v>387</v>
      </c>
      <c r="H518" t="s" s="32">
        <v>1681</v>
      </c>
      <c r="I518" t="s" s="32">
        <v>1388</v>
      </c>
      <c r="J518" t="s" s="32">
        <v>946</v>
      </c>
      <c r="K518" t="s" s="35">
        <v>622</v>
      </c>
      <c r="L518" s="30"/>
    </row>
    <row r="519" ht="74.5" customHeight="1">
      <c r="A519" t="s" s="36">
        <v>1682</v>
      </c>
      <c r="B519" t="s" s="37">
        <v>105</v>
      </c>
      <c r="C519" t="s" s="37">
        <v>104</v>
      </c>
      <c r="D519" t="s" s="37">
        <v>205</v>
      </c>
      <c r="E519" t="s" s="37">
        <v>630</v>
      </c>
      <c r="F519" t="s" s="37">
        <v>618</v>
      </c>
      <c r="G519" t="s" s="37">
        <v>400</v>
      </c>
      <c r="H519" t="s" s="37">
        <v>1683</v>
      </c>
      <c r="I519" t="s" s="37">
        <v>1388</v>
      </c>
      <c r="J519" t="s" s="37">
        <v>946</v>
      </c>
      <c r="K519" t="s" s="40">
        <v>622</v>
      </c>
      <c r="L519" s="30"/>
    </row>
    <row r="520" ht="74.5" customHeight="1">
      <c r="A520" t="s" s="31">
        <v>1684</v>
      </c>
      <c r="B520" t="s" s="32">
        <v>105</v>
      </c>
      <c r="C520" t="s" s="32">
        <v>104</v>
      </c>
      <c r="D520" t="s" s="32">
        <v>205</v>
      </c>
      <c r="E520" t="s" s="32">
        <v>630</v>
      </c>
      <c r="F520" t="s" s="32">
        <v>618</v>
      </c>
      <c r="G520" t="s" s="32">
        <v>412</v>
      </c>
      <c r="H520" t="s" s="32">
        <v>1685</v>
      </c>
      <c r="I520" t="s" s="32">
        <v>1388</v>
      </c>
      <c r="J520" t="s" s="32">
        <v>946</v>
      </c>
      <c r="K520" t="s" s="35">
        <v>622</v>
      </c>
      <c r="L520" s="30"/>
    </row>
    <row r="521" ht="74.5" customHeight="1">
      <c r="A521" t="s" s="36">
        <v>1686</v>
      </c>
      <c r="B521" t="s" s="37">
        <v>105</v>
      </c>
      <c r="C521" t="s" s="37">
        <v>104</v>
      </c>
      <c r="D521" t="s" s="37">
        <v>205</v>
      </c>
      <c r="E521" t="s" s="37">
        <v>630</v>
      </c>
      <c r="F521" t="s" s="37">
        <v>618</v>
      </c>
      <c r="G521" t="s" s="37">
        <v>424</v>
      </c>
      <c r="H521" t="s" s="37">
        <v>1687</v>
      </c>
      <c r="I521" t="s" s="37">
        <v>1388</v>
      </c>
      <c r="J521" t="s" s="37">
        <v>946</v>
      </c>
      <c r="K521" t="s" s="40">
        <v>622</v>
      </c>
      <c r="L521" s="30"/>
    </row>
    <row r="522" ht="74.5" customHeight="1">
      <c r="A522" t="s" s="31">
        <v>1688</v>
      </c>
      <c r="B522" t="s" s="32">
        <v>105</v>
      </c>
      <c r="C522" t="s" s="32">
        <v>104</v>
      </c>
      <c r="D522" t="s" s="32">
        <v>205</v>
      </c>
      <c r="E522" t="s" s="32">
        <v>630</v>
      </c>
      <c r="F522" t="s" s="32">
        <v>630</v>
      </c>
      <c r="G522" t="s" s="32">
        <v>387</v>
      </c>
      <c r="H522" t="s" s="32">
        <v>1689</v>
      </c>
      <c r="I522" t="s" s="32">
        <v>1388</v>
      </c>
      <c r="J522" t="s" s="32">
        <v>955</v>
      </c>
      <c r="K522" t="s" s="35">
        <v>630</v>
      </c>
      <c r="L522" s="30"/>
    </row>
    <row r="523" ht="74.5" customHeight="1">
      <c r="A523" t="s" s="36">
        <v>1690</v>
      </c>
      <c r="B523" t="s" s="37">
        <v>105</v>
      </c>
      <c r="C523" t="s" s="37">
        <v>104</v>
      </c>
      <c r="D523" t="s" s="37">
        <v>205</v>
      </c>
      <c r="E523" t="s" s="37">
        <v>630</v>
      </c>
      <c r="F523" t="s" s="37">
        <v>630</v>
      </c>
      <c r="G523" t="s" s="37">
        <v>400</v>
      </c>
      <c r="H523" t="s" s="37">
        <v>1691</v>
      </c>
      <c r="I523" t="s" s="37">
        <v>1388</v>
      </c>
      <c r="J523" t="s" s="37">
        <v>955</v>
      </c>
      <c r="K523" t="s" s="40">
        <v>630</v>
      </c>
      <c r="L523" s="30"/>
    </row>
    <row r="524" ht="74.5" customHeight="1">
      <c r="A524" t="s" s="31">
        <v>1692</v>
      </c>
      <c r="B524" t="s" s="32">
        <v>105</v>
      </c>
      <c r="C524" t="s" s="32">
        <v>104</v>
      </c>
      <c r="D524" t="s" s="32">
        <v>205</v>
      </c>
      <c r="E524" t="s" s="32">
        <v>630</v>
      </c>
      <c r="F524" t="s" s="32">
        <v>630</v>
      </c>
      <c r="G524" t="s" s="32">
        <v>412</v>
      </c>
      <c r="H524" t="s" s="32">
        <v>1693</v>
      </c>
      <c r="I524" t="s" s="32">
        <v>1388</v>
      </c>
      <c r="J524" t="s" s="32">
        <v>955</v>
      </c>
      <c r="K524" t="s" s="35">
        <v>630</v>
      </c>
      <c r="L524" s="30"/>
    </row>
    <row r="525" ht="74.5" customHeight="1">
      <c r="A525" t="s" s="36">
        <v>1694</v>
      </c>
      <c r="B525" t="s" s="37">
        <v>105</v>
      </c>
      <c r="C525" t="s" s="37">
        <v>104</v>
      </c>
      <c r="D525" t="s" s="37">
        <v>205</v>
      </c>
      <c r="E525" t="s" s="37">
        <v>630</v>
      </c>
      <c r="F525" t="s" s="37">
        <v>630</v>
      </c>
      <c r="G525" t="s" s="37">
        <v>424</v>
      </c>
      <c r="H525" t="s" s="37">
        <v>1695</v>
      </c>
      <c r="I525" t="s" s="37">
        <v>1388</v>
      </c>
      <c r="J525" t="s" s="37">
        <v>955</v>
      </c>
      <c r="K525" t="s" s="40">
        <v>630</v>
      </c>
      <c r="L525" s="30"/>
    </row>
    <row r="526" ht="74.5" customHeight="1">
      <c r="A526" t="s" s="31">
        <v>1696</v>
      </c>
      <c r="B526" t="s" s="32">
        <v>105</v>
      </c>
      <c r="C526" t="s" s="32">
        <v>104</v>
      </c>
      <c r="D526" t="s" s="32">
        <v>205</v>
      </c>
      <c r="E526" t="s" s="32">
        <v>630</v>
      </c>
      <c r="F526" t="s" s="32">
        <v>622</v>
      </c>
      <c r="G526" t="s" s="32">
        <v>387</v>
      </c>
      <c r="H526" t="s" s="32">
        <v>1697</v>
      </c>
      <c r="I526" t="s" s="32">
        <v>1405</v>
      </c>
      <c r="J526" t="s" s="32">
        <v>955</v>
      </c>
      <c r="K526" t="s" s="35">
        <v>630</v>
      </c>
      <c r="L526" s="30"/>
    </row>
    <row r="527" ht="74.5" customHeight="1">
      <c r="A527" t="s" s="36">
        <v>1698</v>
      </c>
      <c r="B527" t="s" s="37">
        <v>105</v>
      </c>
      <c r="C527" t="s" s="37">
        <v>104</v>
      </c>
      <c r="D527" t="s" s="37">
        <v>205</v>
      </c>
      <c r="E527" t="s" s="37">
        <v>630</v>
      </c>
      <c r="F527" t="s" s="37">
        <v>622</v>
      </c>
      <c r="G527" t="s" s="37">
        <v>400</v>
      </c>
      <c r="H527" t="s" s="37">
        <v>1699</v>
      </c>
      <c r="I527" t="s" s="37">
        <v>1405</v>
      </c>
      <c r="J527" t="s" s="37">
        <v>955</v>
      </c>
      <c r="K527" t="s" s="40">
        <v>630</v>
      </c>
      <c r="L527" s="30"/>
    </row>
    <row r="528" ht="74.5" customHeight="1">
      <c r="A528" t="s" s="31">
        <v>1700</v>
      </c>
      <c r="B528" t="s" s="32">
        <v>105</v>
      </c>
      <c r="C528" t="s" s="32">
        <v>104</v>
      </c>
      <c r="D528" t="s" s="32">
        <v>205</v>
      </c>
      <c r="E528" t="s" s="32">
        <v>630</v>
      </c>
      <c r="F528" t="s" s="32">
        <v>622</v>
      </c>
      <c r="G528" t="s" s="32">
        <v>412</v>
      </c>
      <c r="H528" t="s" s="32">
        <v>1701</v>
      </c>
      <c r="I528" t="s" s="32">
        <v>1405</v>
      </c>
      <c r="J528" t="s" s="32">
        <v>955</v>
      </c>
      <c r="K528" t="s" s="35">
        <v>630</v>
      </c>
      <c r="L528" s="30"/>
    </row>
    <row r="529" ht="74.5" customHeight="1">
      <c r="A529" t="s" s="36">
        <v>1702</v>
      </c>
      <c r="B529" t="s" s="37">
        <v>105</v>
      </c>
      <c r="C529" t="s" s="37">
        <v>104</v>
      </c>
      <c r="D529" t="s" s="37">
        <v>205</v>
      </c>
      <c r="E529" t="s" s="37">
        <v>630</v>
      </c>
      <c r="F529" t="s" s="37">
        <v>622</v>
      </c>
      <c r="G529" t="s" s="37">
        <v>424</v>
      </c>
      <c r="H529" t="s" s="37">
        <v>1703</v>
      </c>
      <c r="I529" t="s" s="37">
        <v>1405</v>
      </c>
      <c r="J529" t="s" s="37">
        <v>955</v>
      </c>
      <c r="K529" t="s" s="40">
        <v>630</v>
      </c>
      <c r="L529" s="30"/>
    </row>
    <row r="530" ht="74.5" customHeight="1">
      <c r="A530" t="s" s="31">
        <v>1704</v>
      </c>
      <c r="B530" t="s" s="32">
        <v>105</v>
      </c>
      <c r="C530" t="s" s="32">
        <v>104</v>
      </c>
      <c r="D530" t="s" s="32">
        <v>205</v>
      </c>
      <c r="E530" t="s" s="32">
        <v>622</v>
      </c>
      <c r="F530" t="s" s="32">
        <v>618</v>
      </c>
      <c r="G530" t="s" s="32">
        <v>387</v>
      </c>
      <c r="H530" t="s" s="32">
        <v>1705</v>
      </c>
      <c r="I530" t="s" s="32">
        <v>1414</v>
      </c>
      <c r="J530" t="s" s="32">
        <v>946</v>
      </c>
      <c r="K530" t="s" s="35">
        <v>622</v>
      </c>
      <c r="L530" s="30"/>
    </row>
    <row r="531" ht="74.5" customHeight="1">
      <c r="A531" t="s" s="36">
        <v>1706</v>
      </c>
      <c r="B531" t="s" s="37">
        <v>105</v>
      </c>
      <c r="C531" t="s" s="37">
        <v>104</v>
      </c>
      <c r="D531" t="s" s="37">
        <v>205</v>
      </c>
      <c r="E531" t="s" s="37">
        <v>622</v>
      </c>
      <c r="F531" t="s" s="37">
        <v>618</v>
      </c>
      <c r="G531" t="s" s="37">
        <v>400</v>
      </c>
      <c r="H531" t="s" s="37">
        <v>1707</v>
      </c>
      <c r="I531" t="s" s="37">
        <v>1414</v>
      </c>
      <c r="J531" t="s" s="37">
        <v>946</v>
      </c>
      <c r="K531" t="s" s="40">
        <v>622</v>
      </c>
      <c r="L531" s="30"/>
    </row>
    <row r="532" ht="74.5" customHeight="1">
      <c r="A532" t="s" s="31">
        <v>1708</v>
      </c>
      <c r="B532" t="s" s="32">
        <v>105</v>
      </c>
      <c r="C532" t="s" s="32">
        <v>104</v>
      </c>
      <c r="D532" t="s" s="32">
        <v>205</v>
      </c>
      <c r="E532" t="s" s="32">
        <v>622</v>
      </c>
      <c r="F532" t="s" s="32">
        <v>618</v>
      </c>
      <c r="G532" t="s" s="32">
        <v>412</v>
      </c>
      <c r="H532" t="s" s="32">
        <v>1709</v>
      </c>
      <c r="I532" t="s" s="32">
        <v>1414</v>
      </c>
      <c r="J532" t="s" s="32">
        <v>946</v>
      </c>
      <c r="K532" t="s" s="35">
        <v>622</v>
      </c>
      <c r="L532" s="30"/>
    </row>
    <row r="533" ht="74.5" customHeight="1">
      <c r="A533" t="s" s="36">
        <v>1710</v>
      </c>
      <c r="B533" t="s" s="37">
        <v>105</v>
      </c>
      <c r="C533" t="s" s="37">
        <v>104</v>
      </c>
      <c r="D533" t="s" s="37">
        <v>205</v>
      </c>
      <c r="E533" t="s" s="37">
        <v>622</v>
      </c>
      <c r="F533" t="s" s="37">
        <v>618</v>
      </c>
      <c r="G533" t="s" s="37">
        <v>424</v>
      </c>
      <c r="H533" t="s" s="37">
        <v>1711</v>
      </c>
      <c r="I533" t="s" s="37">
        <v>1414</v>
      </c>
      <c r="J533" t="s" s="37">
        <v>946</v>
      </c>
      <c r="K533" t="s" s="40">
        <v>622</v>
      </c>
      <c r="L533" s="30"/>
    </row>
    <row r="534" ht="74.5" customHeight="1">
      <c r="A534" t="s" s="31">
        <v>1712</v>
      </c>
      <c r="B534" t="s" s="32">
        <v>105</v>
      </c>
      <c r="C534" t="s" s="32">
        <v>104</v>
      </c>
      <c r="D534" t="s" s="32">
        <v>205</v>
      </c>
      <c r="E534" t="s" s="32">
        <v>622</v>
      </c>
      <c r="F534" t="s" s="32">
        <v>630</v>
      </c>
      <c r="G534" t="s" s="32">
        <v>387</v>
      </c>
      <c r="H534" t="s" s="32">
        <v>1713</v>
      </c>
      <c r="I534" t="s" s="32">
        <v>1423</v>
      </c>
      <c r="J534" t="s" s="32">
        <v>955</v>
      </c>
      <c r="K534" t="s" s="35">
        <v>630</v>
      </c>
      <c r="L534" s="30"/>
    </row>
    <row r="535" ht="74.5" customHeight="1">
      <c r="A535" t="s" s="36">
        <v>1714</v>
      </c>
      <c r="B535" t="s" s="37">
        <v>105</v>
      </c>
      <c r="C535" t="s" s="37">
        <v>104</v>
      </c>
      <c r="D535" t="s" s="37">
        <v>205</v>
      </c>
      <c r="E535" t="s" s="37">
        <v>622</v>
      </c>
      <c r="F535" t="s" s="37">
        <v>630</v>
      </c>
      <c r="G535" t="s" s="37">
        <v>400</v>
      </c>
      <c r="H535" t="s" s="37">
        <v>1715</v>
      </c>
      <c r="I535" t="s" s="37">
        <v>1423</v>
      </c>
      <c r="J535" t="s" s="37">
        <v>955</v>
      </c>
      <c r="K535" t="s" s="40">
        <v>630</v>
      </c>
      <c r="L535" s="30"/>
    </row>
    <row r="536" ht="62.5" customHeight="1">
      <c r="A536" t="s" s="31">
        <v>1716</v>
      </c>
      <c r="B536" t="s" s="32">
        <v>105</v>
      </c>
      <c r="C536" t="s" s="32">
        <v>104</v>
      </c>
      <c r="D536" t="s" s="32">
        <v>205</v>
      </c>
      <c r="E536" t="s" s="32">
        <v>622</v>
      </c>
      <c r="F536" t="s" s="32">
        <v>630</v>
      </c>
      <c r="G536" t="s" s="32">
        <v>412</v>
      </c>
      <c r="H536" t="s" s="32">
        <v>1717</v>
      </c>
      <c r="I536" t="s" s="32">
        <v>1423</v>
      </c>
      <c r="J536" t="s" s="32">
        <v>955</v>
      </c>
      <c r="K536" t="s" s="35">
        <v>630</v>
      </c>
      <c r="L536" s="30"/>
    </row>
    <row r="537" ht="74.5" customHeight="1">
      <c r="A537" t="s" s="36">
        <v>1718</v>
      </c>
      <c r="B537" t="s" s="37">
        <v>105</v>
      </c>
      <c r="C537" t="s" s="37">
        <v>104</v>
      </c>
      <c r="D537" t="s" s="37">
        <v>205</v>
      </c>
      <c r="E537" t="s" s="37">
        <v>622</v>
      </c>
      <c r="F537" t="s" s="37">
        <v>630</v>
      </c>
      <c r="G537" t="s" s="37">
        <v>424</v>
      </c>
      <c r="H537" t="s" s="37">
        <v>1719</v>
      </c>
      <c r="I537" t="s" s="37">
        <v>1423</v>
      </c>
      <c r="J537" t="s" s="37">
        <v>955</v>
      </c>
      <c r="K537" t="s" s="40">
        <v>630</v>
      </c>
      <c r="L537" s="30"/>
    </row>
    <row r="538" ht="74.5" customHeight="1">
      <c r="A538" t="s" s="31">
        <v>1720</v>
      </c>
      <c r="B538" t="s" s="32">
        <v>105</v>
      </c>
      <c r="C538" t="s" s="32">
        <v>104</v>
      </c>
      <c r="D538" t="s" s="32">
        <v>205</v>
      </c>
      <c r="E538" t="s" s="32">
        <v>622</v>
      </c>
      <c r="F538" t="s" s="32">
        <v>622</v>
      </c>
      <c r="G538" t="s" s="32">
        <v>387</v>
      </c>
      <c r="H538" t="s" s="32">
        <v>1721</v>
      </c>
      <c r="I538" t="s" s="32">
        <v>1423</v>
      </c>
      <c r="J538" t="s" s="32">
        <v>955</v>
      </c>
      <c r="K538" t="s" s="35">
        <v>641</v>
      </c>
      <c r="L538" s="30"/>
    </row>
    <row r="539" ht="74.5" customHeight="1">
      <c r="A539" t="s" s="36">
        <v>1722</v>
      </c>
      <c r="B539" t="s" s="37">
        <v>105</v>
      </c>
      <c r="C539" t="s" s="37">
        <v>104</v>
      </c>
      <c r="D539" t="s" s="37">
        <v>205</v>
      </c>
      <c r="E539" t="s" s="37">
        <v>622</v>
      </c>
      <c r="F539" t="s" s="37">
        <v>622</v>
      </c>
      <c r="G539" t="s" s="37">
        <v>400</v>
      </c>
      <c r="H539" t="s" s="37">
        <v>1723</v>
      </c>
      <c r="I539" t="s" s="37">
        <v>1423</v>
      </c>
      <c r="J539" t="s" s="37">
        <v>955</v>
      </c>
      <c r="K539" t="s" s="40">
        <v>641</v>
      </c>
      <c r="L539" s="30"/>
    </row>
    <row r="540" ht="62.5" customHeight="1">
      <c r="A540" t="s" s="31">
        <v>1724</v>
      </c>
      <c r="B540" t="s" s="32">
        <v>105</v>
      </c>
      <c r="C540" t="s" s="32">
        <v>104</v>
      </c>
      <c r="D540" t="s" s="32">
        <v>205</v>
      </c>
      <c r="E540" t="s" s="32">
        <v>622</v>
      </c>
      <c r="F540" t="s" s="32">
        <v>622</v>
      </c>
      <c r="G540" t="s" s="32">
        <v>412</v>
      </c>
      <c r="H540" t="s" s="32">
        <v>1725</v>
      </c>
      <c r="I540" t="s" s="32">
        <v>1423</v>
      </c>
      <c r="J540" t="s" s="32">
        <v>955</v>
      </c>
      <c r="K540" t="s" s="35">
        <v>641</v>
      </c>
      <c r="L540" s="30"/>
    </row>
    <row r="541" ht="74.5" customHeight="1">
      <c r="A541" t="s" s="36">
        <v>1726</v>
      </c>
      <c r="B541" t="s" s="37">
        <v>105</v>
      </c>
      <c r="C541" t="s" s="37">
        <v>104</v>
      </c>
      <c r="D541" t="s" s="37">
        <v>205</v>
      </c>
      <c r="E541" t="s" s="37">
        <v>622</v>
      </c>
      <c r="F541" t="s" s="37">
        <v>622</v>
      </c>
      <c r="G541" t="s" s="37">
        <v>424</v>
      </c>
      <c r="H541" t="s" s="37">
        <v>1727</v>
      </c>
      <c r="I541" t="s" s="37">
        <v>1423</v>
      </c>
      <c r="J541" t="s" s="37">
        <v>955</v>
      </c>
      <c r="K541" t="s" s="40">
        <v>641</v>
      </c>
      <c r="L541" s="30"/>
    </row>
    <row r="542" ht="74.5" customHeight="1">
      <c r="A542" t="s" s="31">
        <v>1728</v>
      </c>
      <c r="B542" t="s" s="32">
        <v>118</v>
      </c>
      <c r="C542" t="s" s="32">
        <v>117</v>
      </c>
      <c r="D542" t="s" s="32">
        <v>156</v>
      </c>
      <c r="E542" t="s" s="32">
        <v>618</v>
      </c>
      <c r="F542" t="s" s="32">
        <v>618</v>
      </c>
      <c r="G542" t="s" s="32">
        <v>387</v>
      </c>
      <c r="H542" t="s" s="32">
        <v>1729</v>
      </c>
      <c r="I542" t="s" s="32">
        <v>1730</v>
      </c>
      <c r="J542" t="s" s="32">
        <v>621</v>
      </c>
      <c r="K542" t="s" s="35">
        <v>622</v>
      </c>
      <c r="L542" s="30"/>
    </row>
    <row r="543" ht="74.5" customHeight="1">
      <c r="A543" t="s" s="36">
        <v>1731</v>
      </c>
      <c r="B543" t="s" s="37">
        <v>118</v>
      </c>
      <c r="C543" t="s" s="37">
        <v>117</v>
      </c>
      <c r="D543" t="s" s="37">
        <v>156</v>
      </c>
      <c r="E543" t="s" s="37">
        <v>618</v>
      </c>
      <c r="F543" t="s" s="37">
        <v>618</v>
      </c>
      <c r="G543" t="s" s="37">
        <v>400</v>
      </c>
      <c r="H543" t="s" s="37">
        <v>1732</v>
      </c>
      <c r="I543" t="s" s="37">
        <v>1730</v>
      </c>
      <c r="J543" t="s" s="37">
        <v>621</v>
      </c>
      <c r="K543" t="s" s="40">
        <v>622</v>
      </c>
      <c r="L543" s="30"/>
    </row>
    <row r="544" ht="74.5" customHeight="1">
      <c r="A544" t="s" s="31">
        <v>1733</v>
      </c>
      <c r="B544" t="s" s="32">
        <v>118</v>
      </c>
      <c r="C544" t="s" s="32">
        <v>117</v>
      </c>
      <c r="D544" t="s" s="32">
        <v>156</v>
      </c>
      <c r="E544" t="s" s="32">
        <v>618</v>
      </c>
      <c r="F544" t="s" s="32">
        <v>618</v>
      </c>
      <c r="G544" t="s" s="32">
        <v>412</v>
      </c>
      <c r="H544" t="s" s="32">
        <v>1734</v>
      </c>
      <c r="I544" t="s" s="32">
        <v>1730</v>
      </c>
      <c r="J544" t="s" s="32">
        <v>621</v>
      </c>
      <c r="K544" t="s" s="35">
        <v>622</v>
      </c>
      <c r="L544" s="30"/>
    </row>
    <row r="545" ht="74.5" customHeight="1">
      <c r="A545" t="s" s="36">
        <v>1735</v>
      </c>
      <c r="B545" t="s" s="37">
        <v>118</v>
      </c>
      <c r="C545" t="s" s="37">
        <v>117</v>
      </c>
      <c r="D545" t="s" s="37">
        <v>156</v>
      </c>
      <c r="E545" t="s" s="37">
        <v>618</v>
      </c>
      <c r="F545" t="s" s="37">
        <v>618</v>
      </c>
      <c r="G545" t="s" s="37">
        <v>424</v>
      </c>
      <c r="H545" t="s" s="37">
        <v>1736</v>
      </c>
      <c r="I545" t="s" s="37">
        <v>1730</v>
      </c>
      <c r="J545" t="s" s="37">
        <v>621</v>
      </c>
      <c r="K545" t="s" s="40">
        <v>622</v>
      </c>
      <c r="L545" s="30"/>
    </row>
    <row r="546" ht="74.5" customHeight="1">
      <c r="A546" t="s" s="31">
        <v>1737</v>
      </c>
      <c r="B546" t="s" s="32">
        <v>118</v>
      </c>
      <c r="C546" t="s" s="32">
        <v>117</v>
      </c>
      <c r="D546" t="s" s="32">
        <v>156</v>
      </c>
      <c r="E546" t="s" s="32">
        <v>618</v>
      </c>
      <c r="F546" t="s" s="32">
        <v>630</v>
      </c>
      <c r="G546" t="s" s="32">
        <v>387</v>
      </c>
      <c r="H546" t="s" s="32">
        <v>1738</v>
      </c>
      <c r="I546" t="s" s="32">
        <v>1730</v>
      </c>
      <c r="J546" t="s" s="32">
        <v>632</v>
      </c>
      <c r="K546" t="s" s="35">
        <v>622</v>
      </c>
      <c r="L546" s="30"/>
    </row>
    <row r="547" ht="74.5" customHeight="1">
      <c r="A547" t="s" s="36">
        <v>1739</v>
      </c>
      <c r="B547" t="s" s="37">
        <v>118</v>
      </c>
      <c r="C547" t="s" s="37">
        <v>117</v>
      </c>
      <c r="D547" t="s" s="37">
        <v>156</v>
      </c>
      <c r="E547" t="s" s="37">
        <v>618</v>
      </c>
      <c r="F547" t="s" s="37">
        <v>630</v>
      </c>
      <c r="G547" t="s" s="37">
        <v>400</v>
      </c>
      <c r="H547" t="s" s="37">
        <v>1740</v>
      </c>
      <c r="I547" t="s" s="37">
        <v>1730</v>
      </c>
      <c r="J547" t="s" s="37">
        <v>632</v>
      </c>
      <c r="K547" t="s" s="40">
        <v>622</v>
      </c>
      <c r="L547" s="30"/>
    </row>
    <row r="548" ht="74.5" customHeight="1">
      <c r="A548" t="s" s="31">
        <v>1741</v>
      </c>
      <c r="B548" t="s" s="32">
        <v>118</v>
      </c>
      <c r="C548" t="s" s="32">
        <v>117</v>
      </c>
      <c r="D548" t="s" s="32">
        <v>156</v>
      </c>
      <c r="E548" t="s" s="32">
        <v>618</v>
      </c>
      <c r="F548" t="s" s="32">
        <v>630</v>
      </c>
      <c r="G548" t="s" s="32">
        <v>412</v>
      </c>
      <c r="H548" t="s" s="32">
        <v>1742</v>
      </c>
      <c r="I548" t="s" s="32">
        <v>1730</v>
      </c>
      <c r="J548" t="s" s="32">
        <v>632</v>
      </c>
      <c r="K548" t="s" s="35">
        <v>622</v>
      </c>
      <c r="L548" s="30"/>
    </row>
    <row r="549" ht="74.5" customHeight="1">
      <c r="A549" t="s" s="36">
        <v>1743</v>
      </c>
      <c r="B549" t="s" s="37">
        <v>118</v>
      </c>
      <c r="C549" t="s" s="37">
        <v>117</v>
      </c>
      <c r="D549" t="s" s="37">
        <v>156</v>
      </c>
      <c r="E549" t="s" s="37">
        <v>618</v>
      </c>
      <c r="F549" t="s" s="37">
        <v>630</v>
      </c>
      <c r="G549" t="s" s="37">
        <v>424</v>
      </c>
      <c r="H549" t="s" s="37">
        <v>1744</v>
      </c>
      <c r="I549" t="s" s="37">
        <v>1730</v>
      </c>
      <c r="J549" t="s" s="37">
        <v>632</v>
      </c>
      <c r="K549" t="s" s="40">
        <v>622</v>
      </c>
      <c r="L549" s="30"/>
    </row>
    <row r="550" ht="74.5" customHeight="1">
      <c r="A550" t="s" s="31">
        <v>1745</v>
      </c>
      <c r="B550" t="s" s="32">
        <v>118</v>
      </c>
      <c r="C550" t="s" s="32">
        <v>117</v>
      </c>
      <c r="D550" t="s" s="32">
        <v>156</v>
      </c>
      <c r="E550" t="s" s="32">
        <v>618</v>
      </c>
      <c r="F550" t="s" s="32">
        <v>622</v>
      </c>
      <c r="G550" t="s" s="32">
        <v>387</v>
      </c>
      <c r="H550" t="s" s="32">
        <v>1746</v>
      </c>
      <c r="I550" t="s" s="32">
        <v>1730</v>
      </c>
      <c r="J550" t="s" s="32">
        <v>632</v>
      </c>
      <c r="K550" t="s" s="35">
        <v>641</v>
      </c>
      <c r="L550" s="30"/>
    </row>
    <row r="551" ht="74.5" customHeight="1">
      <c r="A551" t="s" s="36">
        <v>1747</v>
      </c>
      <c r="B551" t="s" s="37">
        <v>118</v>
      </c>
      <c r="C551" t="s" s="37">
        <v>117</v>
      </c>
      <c r="D551" t="s" s="37">
        <v>156</v>
      </c>
      <c r="E551" t="s" s="37">
        <v>618</v>
      </c>
      <c r="F551" t="s" s="37">
        <v>622</v>
      </c>
      <c r="G551" t="s" s="37">
        <v>400</v>
      </c>
      <c r="H551" t="s" s="37">
        <v>1748</v>
      </c>
      <c r="I551" t="s" s="37">
        <v>1730</v>
      </c>
      <c r="J551" t="s" s="37">
        <v>632</v>
      </c>
      <c r="K551" t="s" s="40">
        <v>641</v>
      </c>
      <c r="L551" s="30"/>
    </row>
    <row r="552" ht="74.5" customHeight="1">
      <c r="A552" t="s" s="31">
        <v>1749</v>
      </c>
      <c r="B552" t="s" s="32">
        <v>118</v>
      </c>
      <c r="C552" t="s" s="32">
        <v>117</v>
      </c>
      <c r="D552" t="s" s="32">
        <v>156</v>
      </c>
      <c r="E552" t="s" s="32">
        <v>618</v>
      </c>
      <c r="F552" t="s" s="32">
        <v>622</v>
      </c>
      <c r="G552" t="s" s="32">
        <v>412</v>
      </c>
      <c r="H552" t="s" s="32">
        <v>1750</v>
      </c>
      <c r="I552" t="s" s="32">
        <v>1730</v>
      </c>
      <c r="J552" t="s" s="32">
        <v>632</v>
      </c>
      <c r="K552" t="s" s="35">
        <v>641</v>
      </c>
      <c r="L552" s="30"/>
    </row>
    <row r="553" ht="74.5" customHeight="1">
      <c r="A553" t="s" s="36">
        <v>1751</v>
      </c>
      <c r="B553" t="s" s="37">
        <v>118</v>
      </c>
      <c r="C553" t="s" s="37">
        <v>117</v>
      </c>
      <c r="D553" t="s" s="37">
        <v>156</v>
      </c>
      <c r="E553" t="s" s="37">
        <v>618</v>
      </c>
      <c r="F553" t="s" s="37">
        <v>622</v>
      </c>
      <c r="G553" t="s" s="37">
        <v>424</v>
      </c>
      <c r="H553" t="s" s="37">
        <v>1752</v>
      </c>
      <c r="I553" t="s" s="37">
        <v>1730</v>
      </c>
      <c r="J553" t="s" s="37">
        <v>632</v>
      </c>
      <c r="K553" t="s" s="40">
        <v>641</v>
      </c>
      <c r="L553" s="30"/>
    </row>
    <row r="554" ht="74.5" customHeight="1">
      <c r="A554" t="s" s="31">
        <v>1753</v>
      </c>
      <c r="B554" t="s" s="32">
        <v>118</v>
      </c>
      <c r="C554" t="s" s="32">
        <v>117</v>
      </c>
      <c r="D554" t="s" s="32">
        <v>156</v>
      </c>
      <c r="E554" t="s" s="32">
        <v>630</v>
      </c>
      <c r="F554" t="s" s="32">
        <v>618</v>
      </c>
      <c r="G554" t="s" s="32">
        <v>387</v>
      </c>
      <c r="H554" t="s" s="32">
        <v>1754</v>
      </c>
      <c r="I554" t="s" s="32">
        <v>1755</v>
      </c>
      <c r="J554" t="s" s="32">
        <v>651</v>
      </c>
      <c r="K554" t="s" s="35">
        <v>622</v>
      </c>
      <c r="L554" s="30"/>
    </row>
    <row r="555" ht="74.5" customHeight="1">
      <c r="A555" t="s" s="36">
        <v>1756</v>
      </c>
      <c r="B555" t="s" s="37">
        <v>118</v>
      </c>
      <c r="C555" t="s" s="37">
        <v>117</v>
      </c>
      <c r="D555" t="s" s="37">
        <v>156</v>
      </c>
      <c r="E555" t="s" s="37">
        <v>630</v>
      </c>
      <c r="F555" t="s" s="37">
        <v>618</v>
      </c>
      <c r="G555" t="s" s="37">
        <v>400</v>
      </c>
      <c r="H555" t="s" s="37">
        <v>1757</v>
      </c>
      <c r="I555" t="s" s="37">
        <v>1755</v>
      </c>
      <c r="J555" t="s" s="37">
        <v>651</v>
      </c>
      <c r="K555" t="s" s="40">
        <v>622</v>
      </c>
      <c r="L555" s="30"/>
    </row>
    <row r="556" ht="74.5" customHeight="1">
      <c r="A556" t="s" s="31">
        <v>1758</v>
      </c>
      <c r="B556" t="s" s="32">
        <v>118</v>
      </c>
      <c r="C556" t="s" s="32">
        <v>117</v>
      </c>
      <c r="D556" t="s" s="32">
        <v>156</v>
      </c>
      <c r="E556" t="s" s="32">
        <v>630</v>
      </c>
      <c r="F556" t="s" s="32">
        <v>618</v>
      </c>
      <c r="G556" t="s" s="32">
        <v>412</v>
      </c>
      <c r="H556" t="s" s="32">
        <v>1759</v>
      </c>
      <c r="I556" t="s" s="32">
        <v>1755</v>
      </c>
      <c r="J556" t="s" s="32">
        <v>651</v>
      </c>
      <c r="K556" t="s" s="35">
        <v>622</v>
      </c>
      <c r="L556" s="30"/>
    </row>
    <row r="557" ht="74.5" customHeight="1">
      <c r="A557" t="s" s="36">
        <v>1760</v>
      </c>
      <c r="B557" t="s" s="37">
        <v>118</v>
      </c>
      <c r="C557" t="s" s="37">
        <v>117</v>
      </c>
      <c r="D557" t="s" s="37">
        <v>156</v>
      </c>
      <c r="E557" t="s" s="37">
        <v>630</v>
      </c>
      <c r="F557" t="s" s="37">
        <v>618</v>
      </c>
      <c r="G557" t="s" s="37">
        <v>424</v>
      </c>
      <c r="H557" t="s" s="37">
        <v>1761</v>
      </c>
      <c r="I557" t="s" s="37">
        <v>1755</v>
      </c>
      <c r="J557" t="s" s="37">
        <v>651</v>
      </c>
      <c r="K557" t="s" s="40">
        <v>622</v>
      </c>
      <c r="L557" s="30"/>
    </row>
    <row r="558" ht="74.5" customHeight="1">
      <c r="A558" t="s" s="31">
        <v>1762</v>
      </c>
      <c r="B558" t="s" s="32">
        <v>118</v>
      </c>
      <c r="C558" t="s" s="32">
        <v>117</v>
      </c>
      <c r="D558" t="s" s="32">
        <v>156</v>
      </c>
      <c r="E558" t="s" s="32">
        <v>630</v>
      </c>
      <c r="F558" t="s" s="32">
        <v>630</v>
      </c>
      <c r="G558" t="s" s="32">
        <v>387</v>
      </c>
      <c r="H558" t="s" s="32">
        <v>1763</v>
      </c>
      <c r="I558" t="s" s="32">
        <v>1755</v>
      </c>
      <c r="J558" t="s" s="32">
        <v>660</v>
      </c>
      <c r="K558" t="s" s="35">
        <v>630</v>
      </c>
      <c r="L558" s="30"/>
    </row>
    <row r="559" ht="74.5" customHeight="1">
      <c r="A559" t="s" s="36">
        <v>1764</v>
      </c>
      <c r="B559" t="s" s="37">
        <v>118</v>
      </c>
      <c r="C559" t="s" s="37">
        <v>117</v>
      </c>
      <c r="D559" t="s" s="37">
        <v>156</v>
      </c>
      <c r="E559" t="s" s="37">
        <v>630</v>
      </c>
      <c r="F559" t="s" s="37">
        <v>630</v>
      </c>
      <c r="G559" t="s" s="37">
        <v>400</v>
      </c>
      <c r="H559" t="s" s="37">
        <v>1765</v>
      </c>
      <c r="I559" t="s" s="37">
        <v>1755</v>
      </c>
      <c r="J559" t="s" s="37">
        <v>660</v>
      </c>
      <c r="K559" t="s" s="40">
        <v>630</v>
      </c>
      <c r="L559" s="30"/>
    </row>
    <row r="560" ht="74.5" customHeight="1">
      <c r="A560" t="s" s="31">
        <v>1766</v>
      </c>
      <c r="B560" t="s" s="32">
        <v>118</v>
      </c>
      <c r="C560" t="s" s="32">
        <v>117</v>
      </c>
      <c r="D560" t="s" s="32">
        <v>156</v>
      </c>
      <c r="E560" t="s" s="32">
        <v>630</v>
      </c>
      <c r="F560" t="s" s="32">
        <v>630</v>
      </c>
      <c r="G560" t="s" s="32">
        <v>412</v>
      </c>
      <c r="H560" t="s" s="32">
        <v>1767</v>
      </c>
      <c r="I560" t="s" s="32">
        <v>1755</v>
      </c>
      <c r="J560" t="s" s="32">
        <v>660</v>
      </c>
      <c r="K560" t="s" s="35">
        <v>630</v>
      </c>
      <c r="L560" s="30"/>
    </row>
    <row r="561" ht="74.5" customHeight="1">
      <c r="A561" t="s" s="36">
        <v>1768</v>
      </c>
      <c r="B561" t="s" s="37">
        <v>118</v>
      </c>
      <c r="C561" t="s" s="37">
        <v>117</v>
      </c>
      <c r="D561" t="s" s="37">
        <v>156</v>
      </c>
      <c r="E561" t="s" s="37">
        <v>630</v>
      </c>
      <c r="F561" t="s" s="37">
        <v>630</v>
      </c>
      <c r="G561" t="s" s="37">
        <v>424</v>
      </c>
      <c r="H561" t="s" s="37">
        <v>1769</v>
      </c>
      <c r="I561" t="s" s="37">
        <v>1755</v>
      </c>
      <c r="J561" t="s" s="37">
        <v>660</v>
      </c>
      <c r="K561" t="s" s="40">
        <v>630</v>
      </c>
      <c r="L561" s="30"/>
    </row>
    <row r="562" ht="74.5" customHeight="1">
      <c r="A562" t="s" s="31">
        <v>1770</v>
      </c>
      <c r="B562" t="s" s="32">
        <v>118</v>
      </c>
      <c r="C562" t="s" s="32">
        <v>117</v>
      </c>
      <c r="D562" t="s" s="32">
        <v>156</v>
      </c>
      <c r="E562" t="s" s="32">
        <v>630</v>
      </c>
      <c r="F562" t="s" s="32">
        <v>622</v>
      </c>
      <c r="G562" t="s" s="32">
        <v>387</v>
      </c>
      <c r="H562" t="s" s="32">
        <v>1771</v>
      </c>
      <c r="I562" t="s" s="32">
        <v>1772</v>
      </c>
      <c r="J562" t="s" s="32">
        <v>660</v>
      </c>
      <c r="K562" t="s" s="35">
        <v>630</v>
      </c>
      <c r="L562" s="30"/>
    </row>
    <row r="563" ht="74.5" customHeight="1">
      <c r="A563" t="s" s="36">
        <v>1773</v>
      </c>
      <c r="B563" t="s" s="37">
        <v>118</v>
      </c>
      <c r="C563" t="s" s="37">
        <v>117</v>
      </c>
      <c r="D563" t="s" s="37">
        <v>156</v>
      </c>
      <c r="E563" t="s" s="37">
        <v>630</v>
      </c>
      <c r="F563" t="s" s="37">
        <v>622</v>
      </c>
      <c r="G563" t="s" s="37">
        <v>400</v>
      </c>
      <c r="H563" t="s" s="37">
        <v>1774</v>
      </c>
      <c r="I563" t="s" s="37">
        <v>1772</v>
      </c>
      <c r="J563" t="s" s="37">
        <v>660</v>
      </c>
      <c r="K563" t="s" s="40">
        <v>630</v>
      </c>
      <c r="L563" s="30"/>
    </row>
    <row r="564" ht="74.5" customHeight="1">
      <c r="A564" t="s" s="31">
        <v>1775</v>
      </c>
      <c r="B564" t="s" s="32">
        <v>118</v>
      </c>
      <c r="C564" t="s" s="32">
        <v>117</v>
      </c>
      <c r="D564" t="s" s="32">
        <v>156</v>
      </c>
      <c r="E564" t="s" s="32">
        <v>630</v>
      </c>
      <c r="F564" t="s" s="32">
        <v>622</v>
      </c>
      <c r="G564" t="s" s="32">
        <v>412</v>
      </c>
      <c r="H564" t="s" s="32">
        <v>1776</v>
      </c>
      <c r="I564" t="s" s="32">
        <v>1772</v>
      </c>
      <c r="J564" t="s" s="32">
        <v>660</v>
      </c>
      <c r="K564" t="s" s="35">
        <v>630</v>
      </c>
      <c r="L564" s="30"/>
    </row>
    <row r="565" ht="74.5" customHeight="1">
      <c r="A565" t="s" s="36">
        <v>1777</v>
      </c>
      <c r="B565" t="s" s="37">
        <v>118</v>
      </c>
      <c r="C565" t="s" s="37">
        <v>117</v>
      </c>
      <c r="D565" t="s" s="37">
        <v>156</v>
      </c>
      <c r="E565" t="s" s="37">
        <v>630</v>
      </c>
      <c r="F565" t="s" s="37">
        <v>622</v>
      </c>
      <c r="G565" t="s" s="37">
        <v>424</v>
      </c>
      <c r="H565" t="s" s="37">
        <v>1778</v>
      </c>
      <c r="I565" t="s" s="37">
        <v>1772</v>
      </c>
      <c r="J565" t="s" s="37">
        <v>660</v>
      </c>
      <c r="K565" t="s" s="40">
        <v>630</v>
      </c>
      <c r="L565" s="30"/>
    </row>
    <row r="566" ht="74.5" customHeight="1">
      <c r="A566" t="s" s="31">
        <v>1779</v>
      </c>
      <c r="B566" t="s" s="32">
        <v>118</v>
      </c>
      <c r="C566" t="s" s="32">
        <v>117</v>
      </c>
      <c r="D566" t="s" s="32">
        <v>156</v>
      </c>
      <c r="E566" t="s" s="32">
        <v>622</v>
      </c>
      <c r="F566" t="s" s="32">
        <v>618</v>
      </c>
      <c r="G566" t="s" s="32">
        <v>387</v>
      </c>
      <c r="H566" t="s" s="32">
        <v>1780</v>
      </c>
      <c r="I566" t="s" s="32">
        <v>1781</v>
      </c>
      <c r="J566" t="s" s="32">
        <v>651</v>
      </c>
      <c r="K566" t="s" s="35">
        <v>622</v>
      </c>
      <c r="L566" s="30"/>
    </row>
    <row r="567" ht="74.5" customHeight="1">
      <c r="A567" t="s" s="36">
        <v>1782</v>
      </c>
      <c r="B567" t="s" s="37">
        <v>118</v>
      </c>
      <c r="C567" t="s" s="37">
        <v>117</v>
      </c>
      <c r="D567" t="s" s="37">
        <v>156</v>
      </c>
      <c r="E567" t="s" s="37">
        <v>622</v>
      </c>
      <c r="F567" t="s" s="37">
        <v>618</v>
      </c>
      <c r="G567" t="s" s="37">
        <v>400</v>
      </c>
      <c r="H567" t="s" s="37">
        <v>1783</v>
      </c>
      <c r="I567" t="s" s="37">
        <v>1781</v>
      </c>
      <c r="J567" t="s" s="37">
        <v>651</v>
      </c>
      <c r="K567" t="s" s="40">
        <v>622</v>
      </c>
      <c r="L567" s="30"/>
    </row>
    <row r="568" ht="74.5" customHeight="1">
      <c r="A568" t="s" s="31">
        <v>1784</v>
      </c>
      <c r="B568" t="s" s="32">
        <v>118</v>
      </c>
      <c r="C568" t="s" s="32">
        <v>117</v>
      </c>
      <c r="D568" t="s" s="32">
        <v>156</v>
      </c>
      <c r="E568" t="s" s="32">
        <v>622</v>
      </c>
      <c r="F568" t="s" s="32">
        <v>618</v>
      </c>
      <c r="G568" t="s" s="32">
        <v>412</v>
      </c>
      <c r="H568" t="s" s="32">
        <v>1785</v>
      </c>
      <c r="I568" t="s" s="32">
        <v>1781</v>
      </c>
      <c r="J568" t="s" s="32">
        <v>651</v>
      </c>
      <c r="K568" t="s" s="35">
        <v>622</v>
      </c>
      <c r="L568" s="30"/>
    </row>
    <row r="569" ht="74.5" customHeight="1">
      <c r="A569" t="s" s="36">
        <v>1786</v>
      </c>
      <c r="B569" t="s" s="37">
        <v>118</v>
      </c>
      <c r="C569" t="s" s="37">
        <v>117</v>
      </c>
      <c r="D569" t="s" s="37">
        <v>156</v>
      </c>
      <c r="E569" t="s" s="37">
        <v>622</v>
      </c>
      <c r="F569" t="s" s="37">
        <v>618</v>
      </c>
      <c r="G569" t="s" s="37">
        <v>424</v>
      </c>
      <c r="H569" t="s" s="37">
        <v>1787</v>
      </c>
      <c r="I569" t="s" s="37">
        <v>1781</v>
      </c>
      <c r="J569" t="s" s="37">
        <v>651</v>
      </c>
      <c r="K569" t="s" s="40">
        <v>622</v>
      </c>
      <c r="L569" s="30"/>
    </row>
    <row r="570" ht="74.5" customHeight="1">
      <c r="A570" t="s" s="31">
        <v>1788</v>
      </c>
      <c r="B570" t="s" s="32">
        <v>118</v>
      </c>
      <c r="C570" t="s" s="32">
        <v>117</v>
      </c>
      <c r="D570" t="s" s="32">
        <v>156</v>
      </c>
      <c r="E570" t="s" s="32">
        <v>622</v>
      </c>
      <c r="F570" t="s" s="32">
        <v>630</v>
      </c>
      <c r="G570" t="s" s="32">
        <v>387</v>
      </c>
      <c r="H570" t="s" s="32">
        <v>1789</v>
      </c>
      <c r="I570" t="s" s="32">
        <v>1790</v>
      </c>
      <c r="J570" t="s" s="32">
        <v>660</v>
      </c>
      <c r="K570" t="s" s="35">
        <v>630</v>
      </c>
      <c r="L570" s="30"/>
    </row>
    <row r="571" ht="74.5" customHeight="1">
      <c r="A571" t="s" s="36">
        <v>1791</v>
      </c>
      <c r="B571" t="s" s="37">
        <v>118</v>
      </c>
      <c r="C571" t="s" s="37">
        <v>117</v>
      </c>
      <c r="D571" t="s" s="37">
        <v>156</v>
      </c>
      <c r="E571" t="s" s="37">
        <v>622</v>
      </c>
      <c r="F571" t="s" s="37">
        <v>630</v>
      </c>
      <c r="G571" t="s" s="37">
        <v>400</v>
      </c>
      <c r="H571" t="s" s="37">
        <v>1792</v>
      </c>
      <c r="I571" t="s" s="37">
        <v>1790</v>
      </c>
      <c r="J571" t="s" s="37">
        <v>660</v>
      </c>
      <c r="K571" t="s" s="40">
        <v>630</v>
      </c>
      <c r="L571" s="30"/>
    </row>
    <row r="572" ht="74.5" customHeight="1">
      <c r="A572" t="s" s="31">
        <v>1793</v>
      </c>
      <c r="B572" t="s" s="32">
        <v>118</v>
      </c>
      <c r="C572" t="s" s="32">
        <v>117</v>
      </c>
      <c r="D572" t="s" s="32">
        <v>156</v>
      </c>
      <c r="E572" t="s" s="32">
        <v>622</v>
      </c>
      <c r="F572" t="s" s="32">
        <v>630</v>
      </c>
      <c r="G572" t="s" s="32">
        <v>412</v>
      </c>
      <c r="H572" t="s" s="32">
        <v>1794</v>
      </c>
      <c r="I572" t="s" s="32">
        <v>1790</v>
      </c>
      <c r="J572" t="s" s="32">
        <v>660</v>
      </c>
      <c r="K572" t="s" s="35">
        <v>630</v>
      </c>
      <c r="L572" s="30"/>
    </row>
    <row r="573" ht="74.5" customHeight="1">
      <c r="A573" t="s" s="36">
        <v>1795</v>
      </c>
      <c r="B573" t="s" s="37">
        <v>118</v>
      </c>
      <c r="C573" t="s" s="37">
        <v>117</v>
      </c>
      <c r="D573" t="s" s="37">
        <v>156</v>
      </c>
      <c r="E573" t="s" s="37">
        <v>622</v>
      </c>
      <c r="F573" t="s" s="37">
        <v>630</v>
      </c>
      <c r="G573" t="s" s="37">
        <v>424</v>
      </c>
      <c r="H573" t="s" s="37">
        <v>1796</v>
      </c>
      <c r="I573" t="s" s="37">
        <v>1790</v>
      </c>
      <c r="J573" t="s" s="37">
        <v>660</v>
      </c>
      <c r="K573" t="s" s="40">
        <v>630</v>
      </c>
      <c r="L573" s="30"/>
    </row>
    <row r="574" ht="74.5" customHeight="1">
      <c r="A574" t="s" s="31">
        <v>1797</v>
      </c>
      <c r="B574" t="s" s="32">
        <v>118</v>
      </c>
      <c r="C574" t="s" s="32">
        <v>117</v>
      </c>
      <c r="D574" t="s" s="32">
        <v>156</v>
      </c>
      <c r="E574" t="s" s="32">
        <v>622</v>
      </c>
      <c r="F574" t="s" s="32">
        <v>622</v>
      </c>
      <c r="G574" t="s" s="32">
        <v>387</v>
      </c>
      <c r="H574" t="s" s="32">
        <v>1798</v>
      </c>
      <c r="I574" t="s" s="32">
        <v>1790</v>
      </c>
      <c r="J574" t="s" s="32">
        <v>660</v>
      </c>
      <c r="K574" t="s" s="35">
        <v>641</v>
      </c>
      <c r="L574" s="30"/>
    </row>
    <row r="575" ht="74.5" customHeight="1">
      <c r="A575" t="s" s="36">
        <v>1799</v>
      </c>
      <c r="B575" t="s" s="37">
        <v>118</v>
      </c>
      <c r="C575" t="s" s="37">
        <v>117</v>
      </c>
      <c r="D575" t="s" s="37">
        <v>156</v>
      </c>
      <c r="E575" t="s" s="37">
        <v>622</v>
      </c>
      <c r="F575" t="s" s="37">
        <v>622</v>
      </c>
      <c r="G575" t="s" s="37">
        <v>400</v>
      </c>
      <c r="H575" t="s" s="37">
        <v>1800</v>
      </c>
      <c r="I575" t="s" s="37">
        <v>1790</v>
      </c>
      <c r="J575" t="s" s="37">
        <v>660</v>
      </c>
      <c r="K575" t="s" s="40">
        <v>641</v>
      </c>
      <c r="L575" s="30"/>
    </row>
    <row r="576" ht="74.5" customHeight="1">
      <c r="A576" t="s" s="31">
        <v>1801</v>
      </c>
      <c r="B576" t="s" s="32">
        <v>118</v>
      </c>
      <c r="C576" t="s" s="32">
        <v>117</v>
      </c>
      <c r="D576" t="s" s="32">
        <v>156</v>
      </c>
      <c r="E576" t="s" s="32">
        <v>622</v>
      </c>
      <c r="F576" t="s" s="32">
        <v>622</v>
      </c>
      <c r="G576" t="s" s="32">
        <v>412</v>
      </c>
      <c r="H576" t="s" s="32">
        <v>1802</v>
      </c>
      <c r="I576" t="s" s="32">
        <v>1790</v>
      </c>
      <c r="J576" t="s" s="32">
        <v>660</v>
      </c>
      <c r="K576" t="s" s="35">
        <v>641</v>
      </c>
      <c r="L576" s="30"/>
    </row>
    <row r="577" ht="74.5" customHeight="1">
      <c r="A577" t="s" s="36">
        <v>1803</v>
      </c>
      <c r="B577" t="s" s="37">
        <v>118</v>
      </c>
      <c r="C577" t="s" s="37">
        <v>117</v>
      </c>
      <c r="D577" t="s" s="37">
        <v>156</v>
      </c>
      <c r="E577" t="s" s="37">
        <v>622</v>
      </c>
      <c r="F577" t="s" s="37">
        <v>622</v>
      </c>
      <c r="G577" t="s" s="37">
        <v>424</v>
      </c>
      <c r="H577" t="s" s="37">
        <v>1804</v>
      </c>
      <c r="I577" t="s" s="37">
        <v>1790</v>
      </c>
      <c r="J577" t="s" s="37">
        <v>660</v>
      </c>
      <c r="K577" t="s" s="40">
        <v>641</v>
      </c>
      <c r="L577" s="30"/>
    </row>
    <row r="578" ht="74.5" customHeight="1">
      <c r="A578" t="s" s="31">
        <v>1805</v>
      </c>
      <c r="B578" t="s" s="32">
        <v>118</v>
      </c>
      <c r="C578" t="s" s="32">
        <v>117</v>
      </c>
      <c r="D578" t="s" s="32">
        <v>169</v>
      </c>
      <c r="E578" t="s" s="32">
        <v>618</v>
      </c>
      <c r="F578" t="s" s="32">
        <v>618</v>
      </c>
      <c r="G578" t="s" s="32">
        <v>387</v>
      </c>
      <c r="H578" t="s" s="32">
        <v>1806</v>
      </c>
      <c r="I578" t="s" s="32">
        <v>1730</v>
      </c>
      <c r="J578" t="s" s="32">
        <v>621</v>
      </c>
      <c r="K578" t="s" s="35">
        <v>622</v>
      </c>
      <c r="L578" s="30"/>
    </row>
    <row r="579" ht="74.5" customHeight="1">
      <c r="A579" t="s" s="36">
        <v>1807</v>
      </c>
      <c r="B579" t="s" s="37">
        <v>118</v>
      </c>
      <c r="C579" t="s" s="37">
        <v>117</v>
      </c>
      <c r="D579" t="s" s="37">
        <v>169</v>
      </c>
      <c r="E579" t="s" s="37">
        <v>618</v>
      </c>
      <c r="F579" t="s" s="37">
        <v>618</v>
      </c>
      <c r="G579" t="s" s="37">
        <v>400</v>
      </c>
      <c r="H579" t="s" s="37">
        <v>1808</v>
      </c>
      <c r="I579" t="s" s="37">
        <v>1730</v>
      </c>
      <c r="J579" t="s" s="37">
        <v>621</v>
      </c>
      <c r="K579" t="s" s="40">
        <v>622</v>
      </c>
      <c r="L579" s="30"/>
    </row>
    <row r="580" ht="74.5" customHeight="1">
      <c r="A580" t="s" s="31">
        <v>1809</v>
      </c>
      <c r="B580" t="s" s="32">
        <v>118</v>
      </c>
      <c r="C580" t="s" s="32">
        <v>117</v>
      </c>
      <c r="D580" t="s" s="32">
        <v>169</v>
      </c>
      <c r="E580" t="s" s="32">
        <v>618</v>
      </c>
      <c r="F580" t="s" s="32">
        <v>618</v>
      </c>
      <c r="G580" t="s" s="32">
        <v>412</v>
      </c>
      <c r="H580" t="s" s="32">
        <v>1810</v>
      </c>
      <c r="I580" t="s" s="32">
        <v>1730</v>
      </c>
      <c r="J580" t="s" s="32">
        <v>621</v>
      </c>
      <c r="K580" t="s" s="35">
        <v>622</v>
      </c>
      <c r="L580" s="30"/>
    </row>
    <row r="581" ht="74.5" customHeight="1">
      <c r="A581" t="s" s="36">
        <v>1811</v>
      </c>
      <c r="B581" t="s" s="37">
        <v>118</v>
      </c>
      <c r="C581" t="s" s="37">
        <v>117</v>
      </c>
      <c r="D581" t="s" s="37">
        <v>169</v>
      </c>
      <c r="E581" t="s" s="37">
        <v>618</v>
      </c>
      <c r="F581" t="s" s="37">
        <v>618</v>
      </c>
      <c r="G581" t="s" s="37">
        <v>424</v>
      </c>
      <c r="H581" t="s" s="37">
        <v>1812</v>
      </c>
      <c r="I581" t="s" s="37">
        <v>1730</v>
      </c>
      <c r="J581" t="s" s="37">
        <v>621</v>
      </c>
      <c r="K581" t="s" s="40">
        <v>622</v>
      </c>
      <c r="L581" s="30"/>
    </row>
    <row r="582" ht="74.5" customHeight="1">
      <c r="A582" t="s" s="31">
        <v>1813</v>
      </c>
      <c r="B582" t="s" s="32">
        <v>118</v>
      </c>
      <c r="C582" t="s" s="32">
        <v>117</v>
      </c>
      <c r="D582" t="s" s="32">
        <v>169</v>
      </c>
      <c r="E582" t="s" s="32">
        <v>618</v>
      </c>
      <c r="F582" t="s" s="32">
        <v>630</v>
      </c>
      <c r="G582" t="s" s="32">
        <v>387</v>
      </c>
      <c r="H582" t="s" s="32">
        <v>1814</v>
      </c>
      <c r="I582" t="s" s="32">
        <v>1730</v>
      </c>
      <c r="J582" t="s" s="32">
        <v>632</v>
      </c>
      <c r="K582" t="s" s="35">
        <v>622</v>
      </c>
      <c r="L582" s="30"/>
    </row>
    <row r="583" ht="74.5" customHeight="1">
      <c r="A583" t="s" s="36">
        <v>1815</v>
      </c>
      <c r="B583" t="s" s="37">
        <v>118</v>
      </c>
      <c r="C583" t="s" s="37">
        <v>117</v>
      </c>
      <c r="D583" t="s" s="37">
        <v>169</v>
      </c>
      <c r="E583" t="s" s="37">
        <v>618</v>
      </c>
      <c r="F583" t="s" s="37">
        <v>630</v>
      </c>
      <c r="G583" t="s" s="37">
        <v>400</v>
      </c>
      <c r="H583" t="s" s="37">
        <v>1816</v>
      </c>
      <c r="I583" t="s" s="37">
        <v>1730</v>
      </c>
      <c r="J583" t="s" s="37">
        <v>632</v>
      </c>
      <c r="K583" t="s" s="40">
        <v>622</v>
      </c>
      <c r="L583" s="30"/>
    </row>
    <row r="584" ht="74.5" customHeight="1">
      <c r="A584" t="s" s="31">
        <v>1817</v>
      </c>
      <c r="B584" t="s" s="32">
        <v>118</v>
      </c>
      <c r="C584" t="s" s="32">
        <v>117</v>
      </c>
      <c r="D584" t="s" s="32">
        <v>169</v>
      </c>
      <c r="E584" t="s" s="32">
        <v>618</v>
      </c>
      <c r="F584" t="s" s="32">
        <v>630</v>
      </c>
      <c r="G584" t="s" s="32">
        <v>412</v>
      </c>
      <c r="H584" t="s" s="32">
        <v>1818</v>
      </c>
      <c r="I584" t="s" s="32">
        <v>1730</v>
      </c>
      <c r="J584" t="s" s="32">
        <v>632</v>
      </c>
      <c r="K584" t="s" s="35">
        <v>622</v>
      </c>
      <c r="L584" s="30"/>
    </row>
    <row r="585" ht="74.5" customHeight="1">
      <c r="A585" t="s" s="36">
        <v>1819</v>
      </c>
      <c r="B585" t="s" s="37">
        <v>118</v>
      </c>
      <c r="C585" t="s" s="37">
        <v>117</v>
      </c>
      <c r="D585" t="s" s="37">
        <v>169</v>
      </c>
      <c r="E585" t="s" s="37">
        <v>618</v>
      </c>
      <c r="F585" t="s" s="37">
        <v>630</v>
      </c>
      <c r="G585" t="s" s="37">
        <v>424</v>
      </c>
      <c r="H585" t="s" s="37">
        <v>1820</v>
      </c>
      <c r="I585" t="s" s="37">
        <v>1730</v>
      </c>
      <c r="J585" t="s" s="37">
        <v>632</v>
      </c>
      <c r="K585" t="s" s="40">
        <v>622</v>
      </c>
      <c r="L585" s="30"/>
    </row>
    <row r="586" ht="74.5" customHeight="1">
      <c r="A586" t="s" s="31">
        <v>1821</v>
      </c>
      <c r="B586" t="s" s="32">
        <v>118</v>
      </c>
      <c r="C586" t="s" s="32">
        <v>117</v>
      </c>
      <c r="D586" t="s" s="32">
        <v>169</v>
      </c>
      <c r="E586" t="s" s="32">
        <v>618</v>
      </c>
      <c r="F586" t="s" s="32">
        <v>622</v>
      </c>
      <c r="G586" t="s" s="32">
        <v>387</v>
      </c>
      <c r="H586" t="s" s="32">
        <v>1822</v>
      </c>
      <c r="I586" t="s" s="32">
        <v>1730</v>
      </c>
      <c r="J586" t="s" s="32">
        <v>632</v>
      </c>
      <c r="K586" t="s" s="35">
        <v>641</v>
      </c>
      <c r="L586" s="30"/>
    </row>
    <row r="587" ht="74.5" customHeight="1">
      <c r="A587" t="s" s="36">
        <v>1823</v>
      </c>
      <c r="B587" t="s" s="37">
        <v>118</v>
      </c>
      <c r="C587" t="s" s="37">
        <v>117</v>
      </c>
      <c r="D587" t="s" s="37">
        <v>169</v>
      </c>
      <c r="E587" t="s" s="37">
        <v>618</v>
      </c>
      <c r="F587" t="s" s="37">
        <v>622</v>
      </c>
      <c r="G587" t="s" s="37">
        <v>400</v>
      </c>
      <c r="H587" t="s" s="37">
        <v>1824</v>
      </c>
      <c r="I587" t="s" s="37">
        <v>1730</v>
      </c>
      <c r="J587" t="s" s="37">
        <v>632</v>
      </c>
      <c r="K587" t="s" s="40">
        <v>641</v>
      </c>
      <c r="L587" s="30"/>
    </row>
    <row r="588" ht="74.5" customHeight="1">
      <c r="A588" t="s" s="31">
        <v>1825</v>
      </c>
      <c r="B588" t="s" s="32">
        <v>118</v>
      </c>
      <c r="C588" t="s" s="32">
        <v>117</v>
      </c>
      <c r="D588" t="s" s="32">
        <v>169</v>
      </c>
      <c r="E588" t="s" s="32">
        <v>618</v>
      </c>
      <c r="F588" t="s" s="32">
        <v>622</v>
      </c>
      <c r="G588" t="s" s="32">
        <v>412</v>
      </c>
      <c r="H588" t="s" s="32">
        <v>1826</v>
      </c>
      <c r="I588" t="s" s="32">
        <v>1730</v>
      </c>
      <c r="J588" t="s" s="32">
        <v>632</v>
      </c>
      <c r="K588" t="s" s="35">
        <v>641</v>
      </c>
      <c r="L588" s="30"/>
    </row>
    <row r="589" ht="74.5" customHeight="1">
      <c r="A589" t="s" s="36">
        <v>1827</v>
      </c>
      <c r="B589" t="s" s="37">
        <v>118</v>
      </c>
      <c r="C589" t="s" s="37">
        <v>117</v>
      </c>
      <c r="D589" t="s" s="37">
        <v>169</v>
      </c>
      <c r="E589" t="s" s="37">
        <v>618</v>
      </c>
      <c r="F589" t="s" s="37">
        <v>622</v>
      </c>
      <c r="G589" t="s" s="37">
        <v>424</v>
      </c>
      <c r="H589" t="s" s="37">
        <v>1828</v>
      </c>
      <c r="I589" t="s" s="37">
        <v>1730</v>
      </c>
      <c r="J589" t="s" s="37">
        <v>632</v>
      </c>
      <c r="K589" t="s" s="40">
        <v>641</v>
      </c>
      <c r="L589" s="30"/>
    </row>
    <row r="590" ht="74.5" customHeight="1">
      <c r="A590" t="s" s="31">
        <v>1829</v>
      </c>
      <c r="B590" t="s" s="32">
        <v>118</v>
      </c>
      <c r="C590" t="s" s="32">
        <v>117</v>
      </c>
      <c r="D590" t="s" s="32">
        <v>169</v>
      </c>
      <c r="E590" t="s" s="32">
        <v>630</v>
      </c>
      <c r="F590" t="s" s="32">
        <v>618</v>
      </c>
      <c r="G590" t="s" s="32">
        <v>387</v>
      </c>
      <c r="H590" t="s" s="32">
        <v>1830</v>
      </c>
      <c r="I590" t="s" s="32">
        <v>1755</v>
      </c>
      <c r="J590" t="s" s="32">
        <v>651</v>
      </c>
      <c r="K590" t="s" s="35">
        <v>622</v>
      </c>
      <c r="L590" s="30"/>
    </row>
    <row r="591" ht="74.5" customHeight="1">
      <c r="A591" t="s" s="36">
        <v>1831</v>
      </c>
      <c r="B591" t="s" s="37">
        <v>118</v>
      </c>
      <c r="C591" t="s" s="37">
        <v>117</v>
      </c>
      <c r="D591" t="s" s="37">
        <v>169</v>
      </c>
      <c r="E591" t="s" s="37">
        <v>630</v>
      </c>
      <c r="F591" t="s" s="37">
        <v>618</v>
      </c>
      <c r="G591" t="s" s="37">
        <v>400</v>
      </c>
      <c r="H591" t="s" s="37">
        <v>1832</v>
      </c>
      <c r="I591" t="s" s="37">
        <v>1755</v>
      </c>
      <c r="J591" t="s" s="37">
        <v>651</v>
      </c>
      <c r="K591" t="s" s="40">
        <v>622</v>
      </c>
      <c r="L591" s="30"/>
    </row>
    <row r="592" ht="74.5" customHeight="1">
      <c r="A592" t="s" s="31">
        <v>1833</v>
      </c>
      <c r="B592" t="s" s="32">
        <v>118</v>
      </c>
      <c r="C592" t="s" s="32">
        <v>117</v>
      </c>
      <c r="D592" t="s" s="32">
        <v>169</v>
      </c>
      <c r="E592" t="s" s="32">
        <v>630</v>
      </c>
      <c r="F592" t="s" s="32">
        <v>618</v>
      </c>
      <c r="G592" t="s" s="32">
        <v>412</v>
      </c>
      <c r="H592" t="s" s="32">
        <v>1834</v>
      </c>
      <c r="I592" t="s" s="32">
        <v>1755</v>
      </c>
      <c r="J592" t="s" s="32">
        <v>651</v>
      </c>
      <c r="K592" t="s" s="35">
        <v>622</v>
      </c>
      <c r="L592" s="30"/>
    </row>
    <row r="593" ht="74.5" customHeight="1">
      <c r="A593" t="s" s="36">
        <v>1835</v>
      </c>
      <c r="B593" t="s" s="37">
        <v>118</v>
      </c>
      <c r="C593" t="s" s="37">
        <v>117</v>
      </c>
      <c r="D593" t="s" s="37">
        <v>169</v>
      </c>
      <c r="E593" t="s" s="37">
        <v>630</v>
      </c>
      <c r="F593" t="s" s="37">
        <v>618</v>
      </c>
      <c r="G593" t="s" s="37">
        <v>424</v>
      </c>
      <c r="H593" t="s" s="37">
        <v>1836</v>
      </c>
      <c r="I593" t="s" s="37">
        <v>1755</v>
      </c>
      <c r="J593" t="s" s="37">
        <v>651</v>
      </c>
      <c r="K593" t="s" s="40">
        <v>622</v>
      </c>
      <c r="L593" s="30"/>
    </row>
    <row r="594" ht="74.5" customHeight="1">
      <c r="A594" t="s" s="31">
        <v>1837</v>
      </c>
      <c r="B594" t="s" s="32">
        <v>118</v>
      </c>
      <c r="C594" t="s" s="32">
        <v>117</v>
      </c>
      <c r="D594" t="s" s="32">
        <v>169</v>
      </c>
      <c r="E594" t="s" s="32">
        <v>630</v>
      </c>
      <c r="F594" t="s" s="32">
        <v>630</v>
      </c>
      <c r="G594" t="s" s="32">
        <v>387</v>
      </c>
      <c r="H594" t="s" s="32">
        <v>1838</v>
      </c>
      <c r="I594" t="s" s="32">
        <v>1755</v>
      </c>
      <c r="J594" t="s" s="32">
        <v>660</v>
      </c>
      <c r="K594" t="s" s="35">
        <v>630</v>
      </c>
      <c r="L594" s="30"/>
    </row>
    <row r="595" ht="74.5" customHeight="1">
      <c r="A595" t="s" s="36">
        <v>1839</v>
      </c>
      <c r="B595" t="s" s="37">
        <v>118</v>
      </c>
      <c r="C595" t="s" s="37">
        <v>117</v>
      </c>
      <c r="D595" t="s" s="37">
        <v>169</v>
      </c>
      <c r="E595" t="s" s="37">
        <v>630</v>
      </c>
      <c r="F595" t="s" s="37">
        <v>630</v>
      </c>
      <c r="G595" t="s" s="37">
        <v>400</v>
      </c>
      <c r="H595" t="s" s="37">
        <v>1840</v>
      </c>
      <c r="I595" t="s" s="37">
        <v>1755</v>
      </c>
      <c r="J595" t="s" s="37">
        <v>660</v>
      </c>
      <c r="K595" t="s" s="40">
        <v>630</v>
      </c>
      <c r="L595" s="30"/>
    </row>
    <row r="596" ht="62.5" customHeight="1">
      <c r="A596" t="s" s="31">
        <v>1841</v>
      </c>
      <c r="B596" t="s" s="32">
        <v>118</v>
      </c>
      <c r="C596" t="s" s="32">
        <v>117</v>
      </c>
      <c r="D596" t="s" s="32">
        <v>169</v>
      </c>
      <c r="E596" t="s" s="32">
        <v>630</v>
      </c>
      <c r="F596" t="s" s="32">
        <v>630</v>
      </c>
      <c r="G596" t="s" s="32">
        <v>412</v>
      </c>
      <c r="H596" t="s" s="32">
        <v>1842</v>
      </c>
      <c r="I596" t="s" s="32">
        <v>1755</v>
      </c>
      <c r="J596" t="s" s="32">
        <v>660</v>
      </c>
      <c r="K596" t="s" s="35">
        <v>630</v>
      </c>
      <c r="L596" s="30"/>
    </row>
    <row r="597" ht="74.5" customHeight="1">
      <c r="A597" t="s" s="36">
        <v>1843</v>
      </c>
      <c r="B597" t="s" s="37">
        <v>118</v>
      </c>
      <c r="C597" t="s" s="37">
        <v>117</v>
      </c>
      <c r="D597" t="s" s="37">
        <v>169</v>
      </c>
      <c r="E597" t="s" s="37">
        <v>630</v>
      </c>
      <c r="F597" t="s" s="37">
        <v>630</v>
      </c>
      <c r="G597" t="s" s="37">
        <v>424</v>
      </c>
      <c r="H597" t="s" s="37">
        <v>1844</v>
      </c>
      <c r="I597" t="s" s="37">
        <v>1755</v>
      </c>
      <c r="J597" t="s" s="37">
        <v>660</v>
      </c>
      <c r="K597" t="s" s="40">
        <v>630</v>
      </c>
      <c r="L597" s="30"/>
    </row>
    <row r="598" ht="74.5" customHeight="1">
      <c r="A598" t="s" s="31">
        <v>1845</v>
      </c>
      <c r="B598" t="s" s="32">
        <v>118</v>
      </c>
      <c r="C598" t="s" s="32">
        <v>117</v>
      </c>
      <c r="D598" t="s" s="32">
        <v>169</v>
      </c>
      <c r="E598" t="s" s="32">
        <v>630</v>
      </c>
      <c r="F598" t="s" s="32">
        <v>622</v>
      </c>
      <c r="G598" t="s" s="32">
        <v>387</v>
      </c>
      <c r="H598" t="s" s="32">
        <v>1846</v>
      </c>
      <c r="I598" t="s" s="32">
        <v>1772</v>
      </c>
      <c r="J598" t="s" s="32">
        <v>660</v>
      </c>
      <c r="K598" t="s" s="35">
        <v>630</v>
      </c>
      <c r="L598" s="30"/>
    </row>
    <row r="599" ht="74.5" customHeight="1">
      <c r="A599" t="s" s="36">
        <v>1847</v>
      </c>
      <c r="B599" t="s" s="37">
        <v>118</v>
      </c>
      <c r="C599" t="s" s="37">
        <v>117</v>
      </c>
      <c r="D599" t="s" s="37">
        <v>169</v>
      </c>
      <c r="E599" t="s" s="37">
        <v>630</v>
      </c>
      <c r="F599" t="s" s="37">
        <v>622</v>
      </c>
      <c r="G599" t="s" s="37">
        <v>400</v>
      </c>
      <c r="H599" t="s" s="37">
        <v>1848</v>
      </c>
      <c r="I599" t="s" s="37">
        <v>1772</v>
      </c>
      <c r="J599" t="s" s="37">
        <v>660</v>
      </c>
      <c r="K599" t="s" s="40">
        <v>630</v>
      </c>
      <c r="L599" s="30"/>
    </row>
    <row r="600" ht="74.5" customHeight="1">
      <c r="A600" t="s" s="31">
        <v>1849</v>
      </c>
      <c r="B600" t="s" s="32">
        <v>118</v>
      </c>
      <c r="C600" t="s" s="32">
        <v>117</v>
      </c>
      <c r="D600" t="s" s="32">
        <v>169</v>
      </c>
      <c r="E600" t="s" s="32">
        <v>630</v>
      </c>
      <c r="F600" t="s" s="32">
        <v>622</v>
      </c>
      <c r="G600" t="s" s="32">
        <v>412</v>
      </c>
      <c r="H600" t="s" s="32">
        <v>1850</v>
      </c>
      <c r="I600" t="s" s="32">
        <v>1772</v>
      </c>
      <c r="J600" t="s" s="32">
        <v>660</v>
      </c>
      <c r="K600" t="s" s="35">
        <v>630</v>
      </c>
      <c r="L600" s="30"/>
    </row>
    <row r="601" ht="74.5" customHeight="1">
      <c r="A601" t="s" s="36">
        <v>1851</v>
      </c>
      <c r="B601" t="s" s="37">
        <v>118</v>
      </c>
      <c r="C601" t="s" s="37">
        <v>117</v>
      </c>
      <c r="D601" t="s" s="37">
        <v>169</v>
      </c>
      <c r="E601" t="s" s="37">
        <v>630</v>
      </c>
      <c r="F601" t="s" s="37">
        <v>622</v>
      </c>
      <c r="G601" t="s" s="37">
        <v>424</v>
      </c>
      <c r="H601" t="s" s="37">
        <v>1852</v>
      </c>
      <c r="I601" t="s" s="37">
        <v>1772</v>
      </c>
      <c r="J601" t="s" s="37">
        <v>660</v>
      </c>
      <c r="K601" t="s" s="40">
        <v>630</v>
      </c>
      <c r="L601" s="30"/>
    </row>
    <row r="602" ht="74.5" customHeight="1">
      <c r="A602" t="s" s="31">
        <v>1853</v>
      </c>
      <c r="B602" t="s" s="32">
        <v>118</v>
      </c>
      <c r="C602" t="s" s="32">
        <v>117</v>
      </c>
      <c r="D602" t="s" s="32">
        <v>169</v>
      </c>
      <c r="E602" t="s" s="32">
        <v>622</v>
      </c>
      <c r="F602" t="s" s="32">
        <v>618</v>
      </c>
      <c r="G602" t="s" s="32">
        <v>387</v>
      </c>
      <c r="H602" t="s" s="32">
        <v>1854</v>
      </c>
      <c r="I602" t="s" s="32">
        <v>1781</v>
      </c>
      <c r="J602" t="s" s="32">
        <v>651</v>
      </c>
      <c r="K602" t="s" s="35">
        <v>622</v>
      </c>
      <c r="L602" s="30"/>
    </row>
    <row r="603" ht="74.5" customHeight="1">
      <c r="A603" t="s" s="36">
        <v>1855</v>
      </c>
      <c r="B603" t="s" s="37">
        <v>118</v>
      </c>
      <c r="C603" t="s" s="37">
        <v>117</v>
      </c>
      <c r="D603" t="s" s="37">
        <v>169</v>
      </c>
      <c r="E603" t="s" s="37">
        <v>622</v>
      </c>
      <c r="F603" t="s" s="37">
        <v>618</v>
      </c>
      <c r="G603" t="s" s="37">
        <v>400</v>
      </c>
      <c r="H603" t="s" s="37">
        <v>1856</v>
      </c>
      <c r="I603" t="s" s="37">
        <v>1781</v>
      </c>
      <c r="J603" t="s" s="37">
        <v>651</v>
      </c>
      <c r="K603" t="s" s="40">
        <v>622</v>
      </c>
      <c r="L603" s="30"/>
    </row>
    <row r="604" ht="74.5" customHeight="1">
      <c r="A604" t="s" s="31">
        <v>1857</v>
      </c>
      <c r="B604" t="s" s="32">
        <v>118</v>
      </c>
      <c r="C604" t="s" s="32">
        <v>117</v>
      </c>
      <c r="D604" t="s" s="32">
        <v>169</v>
      </c>
      <c r="E604" t="s" s="32">
        <v>622</v>
      </c>
      <c r="F604" t="s" s="32">
        <v>618</v>
      </c>
      <c r="G604" t="s" s="32">
        <v>412</v>
      </c>
      <c r="H604" t="s" s="32">
        <v>1858</v>
      </c>
      <c r="I604" t="s" s="32">
        <v>1781</v>
      </c>
      <c r="J604" t="s" s="32">
        <v>651</v>
      </c>
      <c r="K604" t="s" s="35">
        <v>622</v>
      </c>
      <c r="L604" s="30"/>
    </row>
    <row r="605" ht="74.5" customHeight="1">
      <c r="A605" t="s" s="36">
        <v>1859</v>
      </c>
      <c r="B605" t="s" s="37">
        <v>118</v>
      </c>
      <c r="C605" t="s" s="37">
        <v>117</v>
      </c>
      <c r="D605" t="s" s="37">
        <v>169</v>
      </c>
      <c r="E605" t="s" s="37">
        <v>622</v>
      </c>
      <c r="F605" t="s" s="37">
        <v>618</v>
      </c>
      <c r="G605" t="s" s="37">
        <v>424</v>
      </c>
      <c r="H605" t="s" s="37">
        <v>1860</v>
      </c>
      <c r="I605" t="s" s="37">
        <v>1781</v>
      </c>
      <c r="J605" t="s" s="37">
        <v>651</v>
      </c>
      <c r="K605" t="s" s="40">
        <v>622</v>
      </c>
      <c r="L605" s="30"/>
    </row>
    <row r="606" ht="74.5" customHeight="1">
      <c r="A606" t="s" s="31">
        <v>1861</v>
      </c>
      <c r="B606" t="s" s="32">
        <v>118</v>
      </c>
      <c r="C606" t="s" s="32">
        <v>117</v>
      </c>
      <c r="D606" t="s" s="32">
        <v>169</v>
      </c>
      <c r="E606" t="s" s="32">
        <v>622</v>
      </c>
      <c r="F606" t="s" s="32">
        <v>630</v>
      </c>
      <c r="G606" t="s" s="32">
        <v>387</v>
      </c>
      <c r="H606" t="s" s="32">
        <v>1862</v>
      </c>
      <c r="I606" t="s" s="32">
        <v>1790</v>
      </c>
      <c r="J606" t="s" s="32">
        <v>660</v>
      </c>
      <c r="K606" t="s" s="35">
        <v>630</v>
      </c>
      <c r="L606" s="30"/>
    </row>
    <row r="607" ht="74.5" customHeight="1">
      <c r="A607" t="s" s="36">
        <v>1863</v>
      </c>
      <c r="B607" t="s" s="37">
        <v>118</v>
      </c>
      <c r="C607" t="s" s="37">
        <v>117</v>
      </c>
      <c r="D607" t="s" s="37">
        <v>169</v>
      </c>
      <c r="E607" t="s" s="37">
        <v>622</v>
      </c>
      <c r="F607" t="s" s="37">
        <v>630</v>
      </c>
      <c r="G607" t="s" s="37">
        <v>400</v>
      </c>
      <c r="H607" t="s" s="37">
        <v>1864</v>
      </c>
      <c r="I607" t="s" s="37">
        <v>1790</v>
      </c>
      <c r="J607" t="s" s="37">
        <v>660</v>
      </c>
      <c r="K607" t="s" s="40">
        <v>630</v>
      </c>
      <c r="L607" s="30"/>
    </row>
    <row r="608" ht="62.5" customHeight="1">
      <c r="A608" t="s" s="31">
        <v>1865</v>
      </c>
      <c r="B608" t="s" s="32">
        <v>118</v>
      </c>
      <c r="C608" t="s" s="32">
        <v>117</v>
      </c>
      <c r="D608" t="s" s="32">
        <v>169</v>
      </c>
      <c r="E608" t="s" s="32">
        <v>622</v>
      </c>
      <c r="F608" t="s" s="32">
        <v>630</v>
      </c>
      <c r="G608" t="s" s="32">
        <v>412</v>
      </c>
      <c r="H608" t="s" s="32">
        <v>1866</v>
      </c>
      <c r="I608" t="s" s="32">
        <v>1790</v>
      </c>
      <c r="J608" t="s" s="32">
        <v>660</v>
      </c>
      <c r="K608" t="s" s="35">
        <v>630</v>
      </c>
      <c r="L608" s="30"/>
    </row>
    <row r="609" ht="74.5" customHeight="1">
      <c r="A609" t="s" s="36">
        <v>1867</v>
      </c>
      <c r="B609" t="s" s="37">
        <v>118</v>
      </c>
      <c r="C609" t="s" s="37">
        <v>117</v>
      </c>
      <c r="D609" t="s" s="37">
        <v>169</v>
      </c>
      <c r="E609" t="s" s="37">
        <v>622</v>
      </c>
      <c r="F609" t="s" s="37">
        <v>630</v>
      </c>
      <c r="G609" t="s" s="37">
        <v>424</v>
      </c>
      <c r="H609" t="s" s="37">
        <v>1868</v>
      </c>
      <c r="I609" t="s" s="37">
        <v>1790</v>
      </c>
      <c r="J609" t="s" s="37">
        <v>660</v>
      </c>
      <c r="K609" t="s" s="40">
        <v>630</v>
      </c>
      <c r="L609" s="30"/>
    </row>
    <row r="610" ht="74.5" customHeight="1">
      <c r="A610" t="s" s="31">
        <v>1869</v>
      </c>
      <c r="B610" t="s" s="32">
        <v>118</v>
      </c>
      <c r="C610" t="s" s="32">
        <v>117</v>
      </c>
      <c r="D610" t="s" s="32">
        <v>169</v>
      </c>
      <c r="E610" t="s" s="32">
        <v>622</v>
      </c>
      <c r="F610" t="s" s="32">
        <v>622</v>
      </c>
      <c r="G610" t="s" s="32">
        <v>387</v>
      </c>
      <c r="H610" t="s" s="32">
        <v>1870</v>
      </c>
      <c r="I610" t="s" s="32">
        <v>1790</v>
      </c>
      <c r="J610" t="s" s="32">
        <v>660</v>
      </c>
      <c r="K610" t="s" s="35">
        <v>641</v>
      </c>
      <c r="L610" s="30"/>
    </row>
    <row r="611" ht="74.5" customHeight="1">
      <c r="A611" t="s" s="36">
        <v>1871</v>
      </c>
      <c r="B611" t="s" s="37">
        <v>118</v>
      </c>
      <c r="C611" t="s" s="37">
        <v>117</v>
      </c>
      <c r="D611" t="s" s="37">
        <v>169</v>
      </c>
      <c r="E611" t="s" s="37">
        <v>622</v>
      </c>
      <c r="F611" t="s" s="37">
        <v>622</v>
      </c>
      <c r="G611" t="s" s="37">
        <v>400</v>
      </c>
      <c r="H611" t="s" s="37">
        <v>1872</v>
      </c>
      <c r="I611" t="s" s="37">
        <v>1790</v>
      </c>
      <c r="J611" t="s" s="37">
        <v>660</v>
      </c>
      <c r="K611" t="s" s="40">
        <v>641</v>
      </c>
      <c r="L611" s="30"/>
    </row>
    <row r="612" ht="62.5" customHeight="1">
      <c r="A612" t="s" s="31">
        <v>1873</v>
      </c>
      <c r="B612" t="s" s="32">
        <v>118</v>
      </c>
      <c r="C612" t="s" s="32">
        <v>117</v>
      </c>
      <c r="D612" t="s" s="32">
        <v>169</v>
      </c>
      <c r="E612" t="s" s="32">
        <v>622</v>
      </c>
      <c r="F612" t="s" s="32">
        <v>622</v>
      </c>
      <c r="G612" t="s" s="32">
        <v>412</v>
      </c>
      <c r="H612" t="s" s="32">
        <v>1874</v>
      </c>
      <c r="I612" t="s" s="32">
        <v>1790</v>
      </c>
      <c r="J612" t="s" s="32">
        <v>660</v>
      </c>
      <c r="K612" t="s" s="35">
        <v>641</v>
      </c>
      <c r="L612" s="30"/>
    </row>
    <row r="613" ht="74.5" customHeight="1">
      <c r="A613" t="s" s="36">
        <v>1875</v>
      </c>
      <c r="B613" t="s" s="37">
        <v>118</v>
      </c>
      <c r="C613" t="s" s="37">
        <v>117</v>
      </c>
      <c r="D613" t="s" s="37">
        <v>169</v>
      </c>
      <c r="E613" t="s" s="37">
        <v>622</v>
      </c>
      <c r="F613" t="s" s="37">
        <v>622</v>
      </c>
      <c r="G613" t="s" s="37">
        <v>424</v>
      </c>
      <c r="H613" t="s" s="37">
        <v>1876</v>
      </c>
      <c r="I613" t="s" s="37">
        <v>1790</v>
      </c>
      <c r="J613" t="s" s="37">
        <v>660</v>
      </c>
      <c r="K613" t="s" s="40">
        <v>641</v>
      </c>
      <c r="L613" s="30"/>
    </row>
    <row r="614" ht="74.5" customHeight="1">
      <c r="A614" t="s" s="31">
        <v>1877</v>
      </c>
      <c r="B614" t="s" s="32">
        <v>118</v>
      </c>
      <c r="C614" t="s" s="32">
        <v>117</v>
      </c>
      <c r="D614" t="s" s="32">
        <v>181</v>
      </c>
      <c r="E614" t="s" s="32">
        <v>618</v>
      </c>
      <c r="F614" t="s" s="32">
        <v>618</v>
      </c>
      <c r="G614" t="s" s="32">
        <v>387</v>
      </c>
      <c r="H614" t="s" s="32">
        <v>1878</v>
      </c>
      <c r="I614" t="s" s="32">
        <v>1730</v>
      </c>
      <c r="J614" t="s" s="32">
        <v>621</v>
      </c>
      <c r="K614" t="s" s="35">
        <v>622</v>
      </c>
      <c r="L614" s="30"/>
    </row>
    <row r="615" ht="74.5" customHeight="1">
      <c r="A615" t="s" s="36">
        <v>1879</v>
      </c>
      <c r="B615" t="s" s="37">
        <v>118</v>
      </c>
      <c r="C615" t="s" s="37">
        <v>117</v>
      </c>
      <c r="D615" t="s" s="37">
        <v>181</v>
      </c>
      <c r="E615" t="s" s="37">
        <v>618</v>
      </c>
      <c r="F615" t="s" s="37">
        <v>618</v>
      </c>
      <c r="G615" t="s" s="37">
        <v>400</v>
      </c>
      <c r="H615" t="s" s="37">
        <v>1880</v>
      </c>
      <c r="I615" t="s" s="37">
        <v>1730</v>
      </c>
      <c r="J615" t="s" s="37">
        <v>621</v>
      </c>
      <c r="K615" t="s" s="40">
        <v>622</v>
      </c>
      <c r="L615" s="30"/>
    </row>
    <row r="616" ht="74.5" customHeight="1">
      <c r="A616" t="s" s="31">
        <v>1881</v>
      </c>
      <c r="B616" t="s" s="32">
        <v>118</v>
      </c>
      <c r="C616" t="s" s="32">
        <v>117</v>
      </c>
      <c r="D616" t="s" s="32">
        <v>181</v>
      </c>
      <c r="E616" t="s" s="32">
        <v>618</v>
      </c>
      <c r="F616" t="s" s="32">
        <v>618</v>
      </c>
      <c r="G616" t="s" s="32">
        <v>412</v>
      </c>
      <c r="H616" t="s" s="32">
        <v>1882</v>
      </c>
      <c r="I616" t="s" s="32">
        <v>1730</v>
      </c>
      <c r="J616" t="s" s="32">
        <v>621</v>
      </c>
      <c r="K616" t="s" s="35">
        <v>622</v>
      </c>
      <c r="L616" s="30"/>
    </row>
    <row r="617" ht="74.5" customHeight="1">
      <c r="A617" t="s" s="36">
        <v>1883</v>
      </c>
      <c r="B617" t="s" s="37">
        <v>118</v>
      </c>
      <c r="C617" t="s" s="37">
        <v>117</v>
      </c>
      <c r="D617" t="s" s="37">
        <v>181</v>
      </c>
      <c r="E617" t="s" s="37">
        <v>618</v>
      </c>
      <c r="F617" t="s" s="37">
        <v>618</v>
      </c>
      <c r="G617" t="s" s="37">
        <v>424</v>
      </c>
      <c r="H617" t="s" s="37">
        <v>1884</v>
      </c>
      <c r="I617" t="s" s="37">
        <v>1730</v>
      </c>
      <c r="J617" t="s" s="37">
        <v>621</v>
      </c>
      <c r="K617" t="s" s="40">
        <v>622</v>
      </c>
      <c r="L617" s="30"/>
    </row>
    <row r="618" ht="74.5" customHeight="1">
      <c r="A618" t="s" s="31">
        <v>1885</v>
      </c>
      <c r="B618" t="s" s="32">
        <v>118</v>
      </c>
      <c r="C618" t="s" s="32">
        <v>117</v>
      </c>
      <c r="D618" t="s" s="32">
        <v>181</v>
      </c>
      <c r="E618" t="s" s="32">
        <v>618</v>
      </c>
      <c r="F618" t="s" s="32">
        <v>630</v>
      </c>
      <c r="G618" t="s" s="32">
        <v>387</v>
      </c>
      <c r="H618" t="s" s="32">
        <v>1886</v>
      </c>
      <c r="I618" t="s" s="32">
        <v>1730</v>
      </c>
      <c r="J618" t="s" s="32">
        <v>632</v>
      </c>
      <c r="K618" t="s" s="35">
        <v>622</v>
      </c>
      <c r="L618" s="30"/>
    </row>
    <row r="619" ht="74.5" customHeight="1">
      <c r="A619" t="s" s="36">
        <v>1887</v>
      </c>
      <c r="B619" t="s" s="37">
        <v>118</v>
      </c>
      <c r="C619" t="s" s="37">
        <v>117</v>
      </c>
      <c r="D619" t="s" s="37">
        <v>181</v>
      </c>
      <c r="E619" t="s" s="37">
        <v>618</v>
      </c>
      <c r="F619" t="s" s="37">
        <v>630</v>
      </c>
      <c r="G619" t="s" s="37">
        <v>400</v>
      </c>
      <c r="H619" t="s" s="37">
        <v>1888</v>
      </c>
      <c r="I619" t="s" s="37">
        <v>1730</v>
      </c>
      <c r="J619" t="s" s="37">
        <v>632</v>
      </c>
      <c r="K619" t="s" s="40">
        <v>622</v>
      </c>
      <c r="L619" s="30"/>
    </row>
    <row r="620" ht="74.5" customHeight="1">
      <c r="A620" t="s" s="31">
        <v>1889</v>
      </c>
      <c r="B620" t="s" s="32">
        <v>118</v>
      </c>
      <c r="C620" t="s" s="32">
        <v>117</v>
      </c>
      <c r="D620" t="s" s="32">
        <v>181</v>
      </c>
      <c r="E620" t="s" s="32">
        <v>618</v>
      </c>
      <c r="F620" t="s" s="32">
        <v>630</v>
      </c>
      <c r="G620" t="s" s="32">
        <v>412</v>
      </c>
      <c r="H620" t="s" s="32">
        <v>1890</v>
      </c>
      <c r="I620" t="s" s="32">
        <v>1730</v>
      </c>
      <c r="J620" t="s" s="32">
        <v>632</v>
      </c>
      <c r="K620" t="s" s="35">
        <v>622</v>
      </c>
      <c r="L620" s="30"/>
    </row>
    <row r="621" ht="74.5" customHeight="1">
      <c r="A621" t="s" s="36">
        <v>1891</v>
      </c>
      <c r="B621" t="s" s="37">
        <v>118</v>
      </c>
      <c r="C621" t="s" s="37">
        <v>117</v>
      </c>
      <c r="D621" t="s" s="37">
        <v>181</v>
      </c>
      <c r="E621" t="s" s="37">
        <v>618</v>
      </c>
      <c r="F621" t="s" s="37">
        <v>630</v>
      </c>
      <c r="G621" t="s" s="37">
        <v>424</v>
      </c>
      <c r="H621" t="s" s="37">
        <v>1892</v>
      </c>
      <c r="I621" t="s" s="37">
        <v>1730</v>
      </c>
      <c r="J621" t="s" s="37">
        <v>632</v>
      </c>
      <c r="K621" t="s" s="40">
        <v>622</v>
      </c>
      <c r="L621" s="30"/>
    </row>
    <row r="622" ht="74.5" customHeight="1">
      <c r="A622" t="s" s="31">
        <v>1893</v>
      </c>
      <c r="B622" t="s" s="32">
        <v>118</v>
      </c>
      <c r="C622" t="s" s="32">
        <v>117</v>
      </c>
      <c r="D622" t="s" s="32">
        <v>181</v>
      </c>
      <c r="E622" t="s" s="32">
        <v>618</v>
      </c>
      <c r="F622" t="s" s="32">
        <v>622</v>
      </c>
      <c r="G622" t="s" s="32">
        <v>387</v>
      </c>
      <c r="H622" t="s" s="32">
        <v>1894</v>
      </c>
      <c r="I622" t="s" s="32">
        <v>1730</v>
      </c>
      <c r="J622" t="s" s="32">
        <v>632</v>
      </c>
      <c r="K622" t="s" s="35">
        <v>641</v>
      </c>
      <c r="L622" s="30"/>
    </row>
    <row r="623" ht="74.5" customHeight="1">
      <c r="A623" t="s" s="36">
        <v>1895</v>
      </c>
      <c r="B623" t="s" s="37">
        <v>118</v>
      </c>
      <c r="C623" t="s" s="37">
        <v>117</v>
      </c>
      <c r="D623" t="s" s="37">
        <v>181</v>
      </c>
      <c r="E623" t="s" s="37">
        <v>618</v>
      </c>
      <c r="F623" t="s" s="37">
        <v>622</v>
      </c>
      <c r="G623" t="s" s="37">
        <v>400</v>
      </c>
      <c r="H623" t="s" s="37">
        <v>1896</v>
      </c>
      <c r="I623" t="s" s="37">
        <v>1730</v>
      </c>
      <c r="J623" t="s" s="37">
        <v>632</v>
      </c>
      <c r="K623" t="s" s="40">
        <v>641</v>
      </c>
      <c r="L623" s="30"/>
    </row>
    <row r="624" ht="74.5" customHeight="1">
      <c r="A624" t="s" s="31">
        <v>1897</v>
      </c>
      <c r="B624" t="s" s="32">
        <v>118</v>
      </c>
      <c r="C624" t="s" s="32">
        <v>117</v>
      </c>
      <c r="D624" t="s" s="32">
        <v>181</v>
      </c>
      <c r="E624" t="s" s="32">
        <v>618</v>
      </c>
      <c r="F624" t="s" s="32">
        <v>622</v>
      </c>
      <c r="G624" t="s" s="32">
        <v>412</v>
      </c>
      <c r="H624" t="s" s="32">
        <v>1898</v>
      </c>
      <c r="I624" t="s" s="32">
        <v>1730</v>
      </c>
      <c r="J624" t="s" s="32">
        <v>632</v>
      </c>
      <c r="K624" t="s" s="35">
        <v>641</v>
      </c>
      <c r="L624" s="30"/>
    </row>
    <row r="625" ht="74.5" customHeight="1">
      <c r="A625" t="s" s="36">
        <v>1899</v>
      </c>
      <c r="B625" t="s" s="37">
        <v>118</v>
      </c>
      <c r="C625" t="s" s="37">
        <v>117</v>
      </c>
      <c r="D625" t="s" s="37">
        <v>181</v>
      </c>
      <c r="E625" t="s" s="37">
        <v>618</v>
      </c>
      <c r="F625" t="s" s="37">
        <v>622</v>
      </c>
      <c r="G625" t="s" s="37">
        <v>424</v>
      </c>
      <c r="H625" t="s" s="37">
        <v>1900</v>
      </c>
      <c r="I625" t="s" s="37">
        <v>1730</v>
      </c>
      <c r="J625" t="s" s="37">
        <v>632</v>
      </c>
      <c r="K625" t="s" s="40">
        <v>641</v>
      </c>
      <c r="L625" s="30"/>
    </row>
    <row r="626" ht="74.5" customHeight="1">
      <c r="A626" t="s" s="31">
        <v>1901</v>
      </c>
      <c r="B626" t="s" s="32">
        <v>118</v>
      </c>
      <c r="C626" t="s" s="32">
        <v>117</v>
      </c>
      <c r="D626" t="s" s="32">
        <v>181</v>
      </c>
      <c r="E626" t="s" s="32">
        <v>630</v>
      </c>
      <c r="F626" t="s" s="32">
        <v>618</v>
      </c>
      <c r="G626" t="s" s="32">
        <v>387</v>
      </c>
      <c r="H626" t="s" s="32">
        <v>1902</v>
      </c>
      <c r="I626" t="s" s="32">
        <v>1755</v>
      </c>
      <c r="J626" t="s" s="32">
        <v>651</v>
      </c>
      <c r="K626" t="s" s="35">
        <v>622</v>
      </c>
      <c r="L626" s="30"/>
    </row>
    <row r="627" ht="74.5" customHeight="1">
      <c r="A627" t="s" s="36">
        <v>1903</v>
      </c>
      <c r="B627" t="s" s="37">
        <v>118</v>
      </c>
      <c r="C627" t="s" s="37">
        <v>117</v>
      </c>
      <c r="D627" t="s" s="37">
        <v>181</v>
      </c>
      <c r="E627" t="s" s="37">
        <v>630</v>
      </c>
      <c r="F627" t="s" s="37">
        <v>618</v>
      </c>
      <c r="G627" t="s" s="37">
        <v>400</v>
      </c>
      <c r="H627" t="s" s="37">
        <v>1904</v>
      </c>
      <c r="I627" t="s" s="37">
        <v>1755</v>
      </c>
      <c r="J627" t="s" s="37">
        <v>651</v>
      </c>
      <c r="K627" t="s" s="40">
        <v>622</v>
      </c>
      <c r="L627" s="30"/>
    </row>
    <row r="628" ht="74.5" customHeight="1">
      <c r="A628" t="s" s="31">
        <v>1905</v>
      </c>
      <c r="B628" t="s" s="32">
        <v>118</v>
      </c>
      <c r="C628" t="s" s="32">
        <v>117</v>
      </c>
      <c r="D628" t="s" s="32">
        <v>181</v>
      </c>
      <c r="E628" t="s" s="32">
        <v>630</v>
      </c>
      <c r="F628" t="s" s="32">
        <v>618</v>
      </c>
      <c r="G628" t="s" s="32">
        <v>412</v>
      </c>
      <c r="H628" t="s" s="32">
        <v>1906</v>
      </c>
      <c r="I628" t="s" s="32">
        <v>1755</v>
      </c>
      <c r="J628" t="s" s="32">
        <v>651</v>
      </c>
      <c r="K628" t="s" s="35">
        <v>622</v>
      </c>
      <c r="L628" s="30"/>
    </row>
    <row r="629" ht="74.5" customHeight="1">
      <c r="A629" t="s" s="36">
        <v>1907</v>
      </c>
      <c r="B629" t="s" s="37">
        <v>118</v>
      </c>
      <c r="C629" t="s" s="37">
        <v>117</v>
      </c>
      <c r="D629" t="s" s="37">
        <v>181</v>
      </c>
      <c r="E629" t="s" s="37">
        <v>630</v>
      </c>
      <c r="F629" t="s" s="37">
        <v>618</v>
      </c>
      <c r="G629" t="s" s="37">
        <v>424</v>
      </c>
      <c r="H629" t="s" s="37">
        <v>1908</v>
      </c>
      <c r="I629" t="s" s="37">
        <v>1755</v>
      </c>
      <c r="J629" t="s" s="37">
        <v>651</v>
      </c>
      <c r="K629" t="s" s="40">
        <v>622</v>
      </c>
      <c r="L629" s="30"/>
    </row>
    <row r="630" ht="74.5" customHeight="1">
      <c r="A630" t="s" s="31">
        <v>1909</v>
      </c>
      <c r="B630" t="s" s="32">
        <v>118</v>
      </c>
      <c r="C630" t="s" s="32">
        <v>117</v>
      </c>
      <c r="D630" t="s" s="32">
        <v>181</v>
      </c>
      <c r="E630" t="s" s="32">
        <v>630</v>
      </c>
      <c r="F630" t="s" s="32">
        <v>630</v>
      </c>
      <c r="G630" t="s" s="32">
        <v>387</v>
      </c>
      <c r="H630" t="s" s="32">
        <v>1910</v>
      </c>
      <c r="I630" t="s" s="32">
        <v>1755</v>
      </c>
      <c r="J630" t="s" s="32">
        <v>660</v>
      </c>
      <c r="K630" t="s" s="35">
        <v>630</v>
      </c>
      <c r="L630" s="30"/>
    </row>
    <row r="631" ht="74.5" customHeight="1">
      <c r="A631" t="s" s="36">
        <v>1911</v>
      </c>
      <c r="B631" t="s" s="37">
        <v>118</v>
      </c>
      <c r="C631" t="s" s="37">
        <v>117</v>
      </c>
      <c r="D631" t="s" s="37">
        <v>181</v>
      </c>
      <c r="E631" t="s" s="37">
        <v>630</v>
      </c>
      <c r="F631" t="s" s="37">
        <v>630</v>
      </c>
      <c r="G631" t="s" s="37">
        <v>400</v>
      </c>
      <c r="H631" t="s" s="37">
        <v>1912</v>
      </c>
      <c r="I631" t="s" s="37">
        <v>1755</v>
      </c>
      <c r="J631" t="s" s="37">
        <v>660</v>
      </c>
      <c r="K631" t="s" s="40">
        <v>630</v>
      </c>
      <c r="L631" s="30"/>
    </row>
    <row r="632" ht="74.5" customHeight="1">
      <c r="A632" t="s" s="31">
        <v>1913</v>
      </c>
      <c r="B632" t="s" s="32">
        <v>118</v>
      </c>
      <c r="C632" t="s" s="32">
        <v>117</v>
      </c>
      <c r="D632" t="s" s="32">
        <v>181</v>
      </c>
      <c r="E632" t="s" s="32">
        <v>630</v>
      </c>
      <c r="F632" t="s" s="32">
        <v>630</v>
      </c>
      <c r="G632" t="s" s="32">
        <v>412</v>
      </c>
      <c r="H632" t="s" s="32">
        <v>1914</v>
      </c>
      <c r="I632" t="s" s="32">
        <v>1755</v>
      </c>
      <c r="J632" t="s" s="32">
        <v>660</v>
      </c>
      <c r="K632" t="s" s="35">
        <v>630</v>
      </c>
      <c r="L632" s="30"/>
    </row>
    <row r="633" ht="74.5" customHeight="1">
      <c r="A633" t="s" s="36">
        <v>1915</v>
      </c>
      <c r="B633" t="s" s="37">
        <v>118</v>
      </c>
      <c r="C633" t="s" s="37">
        <v>117</v>
      </c>
      <c r="D633" t="s" s="37">
        <v>181</v>
      </c>
      <c r="E633" t="s" s="37">
        <v>630</v>
      </c>
      <c r="F633" t="s" s="37">
        <v>630</v>
      </c>
      <c r="G633" t="s" s="37">
        <v>424</v>
      </c>
      <c r="H633" t="s" s="37">
        <v>1916</v>
      </c>
      <c r="I633" t="s" s="37">
        <v>1755</v>
      </c>
      <c r="J633" t="s" s="37">
        <v>660</v>
      </c>
      <c r="K633" t="s" s="40">
        <v>630</v>
      </c>
      <c r="L633" s="30"/>
    </row>
    <row r="634" ht="74.5" customHeight="1">
      <c r="A634" t="s" s="31">
        <v>1917</v>
      </c>
      <c r="B634" t="s" s="32">
        <v>118</v>
      </c>
      <c r="C634" t="s" s="32">
        <v>117</v>
      </c>
      <c r="D634" t="s" s="32">
        <v>181</v>
      </c>
      <c r="E634" t="s" s="32">
        <v>630</v>
      </c>
      <c r="F634" t="s" s="32">
        <v>622</v>
      </c>
      <c r="G634" t="s" s="32">
        <v>387</v>
      </c>
      <c r="H634" t="s" s="32">
        <v>1918</v>
      </c>
      <c r="I634" t="s" s="32">
        <v>1772</v>
      </c>
      <c r="J634" t="s" s="32">
        <v>660</v>
      </c>
      <c r="K634" t="s" s="35">
        <v>630</v>
      </c>
      <c r="L634" s="30"/>
    </row>
    <row r="635" ht="74.5" customHeight="1">
      <c r="A635" t="s" s="36">
        <v>1919</v>
      </c>
      <c r="B635" t="s" s="37">
        <v>118</v>
      </c>
      <c r="C635" t="s" s="37">
        <v>117</v>
      </c>
      <c r="D635" t="s" s="37">
        <v>181</v>
      </c>
      <c r="E635" t="s" s="37">
        <v>630</v>
      </c>
      <c r="F635" t="s" s="37">
        <v>622</v>
      </c>
      <c r="G635" t="s" s="37">
        <v>400</v>
      </c>
      <c r="H635" t="s" s="37">
        <v>1920</v>
      </c>
      <c r="I635" t="s" s="37">
        <v>1772</v>
      </c>
      <c r="J635" t="s" s="37">
        <v>660</v>
      </c>
      <c r="K635" t="s" s="40">
        <v>630</v>
      </c>
      <c r="L635" s="30"/>
    </row>
    <row r="636" ht="74.5" customHeight="1">
      <c r="A636" t="s" s="31">
        <v>1921</v>
      </c>
      <c r="B636" t="s" s="32">
        <v>118</v>
      </c>
      <c r="C636" t="s" s="32">
        <v>117</v>
      </c>
      <c r="D636" t="s" s="32">
        <v>181</v>
      </c>
      <c r="E636" t="s" s="32">
        <v>630</v>
      </c>
      <c r="F636" t="s" s="32">
        <v>622</v>
      </c>
      <c r="G636" t="s" s="32">
        <v>412</v>
      </c>
      <c r="H636" t="s" s="32">
        <v>1922</v>
      </c>
      <c r="I636" t="s" s="32">
        <v>1772</v>
      </c>
      <c r="J636" t="s" s="32">
        <v>660</v>
      </c>
      <c r="K636" t="s" s="35">
        <v>630</v>
      </c>
      <c r="L636" s="30"/>
    </row>
    <row r="637" ht="74.5" customHeight="1">
      <c r="A637" t="s" s="36">
        <v>1923</v>
      </c>
      <c r="B637" t="s" s="37">
        <v>118</v>
      </c>
      <c r="C637" t="s" s="37">
        <v>117</v>
      </c>
      <c r="D637" t="s" s="37">
        <v>181</v>
      </c>
      <c r="E637" t="s" s="37">
        <v>630</v>
      </c>
      <c r="F637" t="s" s="37">
        <v>622</v>
      </c>
      <c r="G637" t="s" s="37">
        <v>424</v>
      </c>
      <c r="H637" t="s" s="37">
        <v>1924</v>
      </c>
      <c r="I637" t="s" s="37">
        <v>1772</v>
      </c>
      <c r="J637" t="s" s="37">
        <v>660</v>
      </c>
      <c r="K637" t="s" s="40">
        <v>630</v>
      </c>
      <c r="L637" s="30"/>
    </row>
    <row r="638" ht="74.5" customHeight="1">
      <c r="A638" t="s" s="31">
        <v>1925</v>
      </c>
      <c r="B638" t="s" s="32">
        <v>118</v>
      </c>
      <c r="C638" t="s" s="32">
        <v>117</v>
      </c>
      <c r="D638" t="s" s="32">
        <v>181</v>
      </c>
      <c r="E638" t="s" s="32">
        <v>622</v>
      </c>
      <c r="F638" t="s" s="32">
        <v>618</v>
      </c>
      <c r="G638" t="s" s="32">
        <v>387</v>
      </c>
      <c r="H638" t="s" s="32">
        <v>1926</v>
      </c>
      <c r="I638" t="s" s="32">
        <v>1781</v>
      </c>
      <c r="J638" t="s" s="32">
        <v>651</v>
      </c>
      <c r="K638" t="s" s="35">
        <v>622</v>
      </c>
      <c r="L638" s="30"/>
    </row>
    <row r="639" ht="74.5" customHeight="1">
      <c r="A639" t="s" s="36">
        <v>1927</v>
      </c>
      <c r="B639" t="s" s="37">
        <v>118</v>
      </c>
      <c r="C639" t="s" s="37">
        <v>117</v>
      </c>
      <c r="D639" t="s" s="37">
        <v>181</v>
      </c>
      <c r="E639" t="s" s="37">
        <v>622</v>
      </c>
      <c r="F639" t="s" s="37">
        <v>618</v>
      </c>
      <c r="G639" t="s" s="37">
        <v>400</v>
      </c>
      <c r="H639" t="s" s="37">
        <v>1928</v>
      </c>
      <c r="I639" t="s" s="37">
        <v>1781</v>
      </c>
      <c r="J639" t="s" s="37">
        <v>651</v>
      </c>
      <c r="K639" t="s" s="40">
        <v>622</v>
      </c>
      <c r="L639" s="30"/>
    </row>
    <row r="640" ht="74.5" customHeight="1">
      <c r="A640" t="s" s="31">
        <v>1929</v>
      </c>
      <c r="B640" t="s" s="32">
        <v>118</v>
      </c>
      <c r="C640" t="s" s="32">
        <v>117</v>
      </c>
      <c r="D640" t="s" s="32">
        <v>181</v>
      </c>
      <c r="E640" t="s" s="32">
        <v>622</v>
      </c>
      <c r="F640" t="s" s="32">
        <v>618</v>
      </c>
      <c r="G640" t="s" s="32">
        <v>412</v>
      </c>
      <c r="H640" t="s" s="32">
        <v>1930</v>
      </c>
      <c r="I640" t="s" s="32">
        <v>1781</v>
      </c>
      <c r="J640" t="s" s="32">
        <v>651</v>
      </c>
      <c r="K640" t="s" s="35">
        <v>622</v>
      </c>
      <c r="L640" s="30"/>
    </row>
    <row r="641" ht="74.5" customHeight="1">
      <c r="A641" t="s" s="36">
        <v>1931</v>
      </c>
      <c r="B641" t="s" s="37">
        <v>118</v>
      </c>
      <c r="C641" t="s" s="37">
        <v>117</v>
      </c>
      <c r="D641" t="s" s="37">
        <v>181</v>
      </c>
      <c r="E641" t="s" s="37">
        <v>622</v>
      </c>
      <c r="F641" t="s" s="37">
        <v>618</v>
      </c>
      <c r="G641" t="s" s="37">
        <v>424</v>
      </c>
      <c r="H641" t="s" s="37">
        <v>1932</v>
      </c>
      <c r="I641" t="s" s="37">
        <v>1781</v>
      </c>
      <c r="J641" t="s" s="37">
        <v>651</v>
      </c>
      <c r="K641" t="s" s="40">
        <v>622</v>
      </c>
      <c r="L641" s="30"/>
    </row>
    <row r="642" ht="74.5" customHeight="1">
      <c r="A642" t="s" s="31">
        <v>1933</v>
      </c>
      <c r="B642" t="s" s="32">
        <v>118</v>
      </c>
      <c r="C642" t="s" s="32">
        <v>117</v>
      </c>
      <c r="D642" t="s" s="32">
        <v>181</v>
      </c>
      <c r="E642" t="s" s="32">
        <v>622</v>
      </c>
      <c r="F642" t="s" s="32">
        <v>630</v>
      </c>
      <c r="G642" t="s" s="32">
        <v>387</v>
      </c>
      <c r="H642" t="s" s="32">
        <v>1934</v>
      </c>
      <c r="I642" t="s" s="32">
        <v>1790</v>
      </c>
      <c r="J642" t="s" s="32">
        <v>660</v>
      </c>
      <c r="K642" t="s" s="35">
        <v>630</v>
      </c>
      <c r="L642" s="30"/>
    </row>
    <row r="643" ht="74.5" customHeight="1">
      <c r="A643" t="s" s="36">
        <v>1935</v>
      </c>
      <c r="B643" t="s" s="37">
        <v>118</v>
      </c>
      <c r="C643" t="s" s="37">
        <v>117</v>
      </c>
      <c r="D643" t="s" s="37">
        <v>181</v>
      </c>
      <c r="E643" t="s" s="37">
        <v>622</v>
      </c>
      <c r="F643" t="s" s="37">
        <v>630</v>
      </c>
      <c r="G643" t="s" s="37">
        <v>400</v>
      </c>
      <c r="H643" t="s" s="37">
        <v>1936</v>
      </c>
      <c r="I643" t="s" s="37">
        <v>1790</v>
      </c>
      <c r="J643" t="s" s="37">
        <v>660</v>
      </c>
      <c r="K643" t="s" s="40">
        <v>630</v>
      </c>
      <c r="L643" s="30"/>
    </row>
    <row r="644" ht="74.5" customHeight="1">
      <c r="A644" t="s" s="31">
        <v>1937</v>
      </c>
      <c r="B644" t="s" s="32">
        <v>118</v>
      </c>
      <c r="C644" t="s" s="32">
        <v>117</v>
      </c>
      <c r="D644" t="s" s="32">
        <v>181</v>
      </c>
      <c r="E644" t="s" s="32">
        <v>622</v>
      </c>
      <c r="F644" t="s" s="32">
        <v>630</v>
      </c>
      <c r="G644" t="s" s="32">
        <v>412</v>
      </c>
      <c r="H644" t="s" s="32">
        <v>1938</v>
      </c>
      <c r="I644" t="s" s="32">
        <v>1790</v>
      </c>
      <c r="J644" t="s" s="32">
        <v>660</v>
      </c>
      <c r="K644" t="s" s="35">
        <v>630</v>
      </c>
      <c r="L644" s="30"/>
    </row>
    <row r="645" ht="74.5" customHeight="1">
      <c r="A645" t="s" s="36">
        <v>1939</v>
      </c>
      <c r="B645" t="s" s="37">
        <v>118</v>
      </c>
      <c r="C645" t="s" s="37">
        <v>117</v>
      </c>
      <c r="D645" t="s" s="37">
        <v>181</v>
      </c>
      <c r="E645" t="s" s="37">
        <v>622</v>
      </c>
      <c r="F645" t="s" s="37">
        <v>630</v>
      </c>
      <c r="G645" t="s" s="37">
        <v>424</v>
      </c>
      <c r="H645" t="s" s="37">
        <v>1940</v>
      </c>
      <c r="I645" t="s" s="37">
        <v>1790</v>
      </c>
      <c r="J645" t="s" s="37">
        <v>660</v>
      </c>
      <c r="K645" t="s" s="40">
        <v>630</v>
      </c>
      <c r="L645" s="30"/>
    </row>
    <row r="646" ht="74.5" customHeight="1">
      <c r="A646" t="s" s="31">
        <v>1941</v>
      </c>
      <c r="B646" t="s" s="32">
        <v>118</v>
      </c>
      <c r="C646" t="s" s="32">
        <v>117</v>
      </c>
      <c r="D646" t="s" s="32">
        <v>181</v>
      </c>
      <c r="E646" t="s" s="32">
        <v>622</v>
      </c>
      <c r="F646" t="s" s="32">
        <v>622</v>
      </c>
      <c r="G646" t="s" s="32">
        <v>387</v>
      </c>
      <c r="H646" t="s" s="32">
        <v>1942</v>
      </c>
      <c r="I646" t="s" s="32">
        <v>1790</v>
      </c>
      <c r="J646" t="s" s="32">
        <v>660</v>
      </c>
      <c r="K646" t="s" s="35">
        <v>641</v>
      </c>
      <c r="L646" s="30"/>
    </row>
    <row r="647" ht="74.5" customHeight="1">
      <c r="A647" t="s" s="36">
        <v>1943</v>
      </c>
      <c r="B647" t="s" s="37">
        <v>118</v>
      </c>
      <c r="C647" t="s" s="37">
        <v>117</v>
      </c>
      <c r="D647" t="s" s="37">
        <v>181</v>
      </c>
      <c r="E647" t="s" s="37">
        <v>622</v>
      </c>
      <c r="F647" t="s" s="37">
        <v>622</v>
      </c>
      <c r="G647" t="s" s="37">
        <v>400</v>
      </c>
      <c r="H647" t="s" s="37">
        <v>1944</v>
      </c>
      <c r="I647" t="s" s="37">
        <v>1790</v>
      </c>
      <c r="J647" t="s" s="37">
        <v>660</v>
      </c>
      <c r="K647" t="s" s="40">
        <v>641</v>
      </c>
      <c r="L647" s="30"/>
    </row>
    <row r="648" ht="74.5" customHeight="1">
      <c r="A648" t="s" s="31">
        <v>1945</v>
      </c>
      <c r="B648" t="s" s="32">
        <v>118</v>
      </c>
      <c r="C648" t="s" s="32">
        <v>117</v>
      </c>
      <c r="D648" t="s" s="32">
        <v>181</v>
      </c>
      <c r="E648" t="s" s="32">
        <v>622</v>
      </c>
      <c r="F648" t="s" s="32">
        <v>622</v>
      </c>
      <c r="G648" t="s" s="32">
        <v>412</v>
      </c>
      <c r="H648" t="s" s="32">
        <v>1946</v>
      </c>
      <c r="I648" t="s" s="32">
        <v>1790</v>
      </c>
      <c r="J648" t="s" s="32">
        <v>660</v>
      </c>
      <c r="K648" t="s" s="35">
        <v>641</v>
      </c>
      <c r="L648" s="30"/>
    </row>
    <row r="649" ht="74.5" customHeight="1">
      <c r="A649" t="s" s="36">
        <v>1947</v>
      </c>
      <c r="B649" t="s" s="37">
        <v>118</v>
      </c>
      <c r="C649" t="s" s="37">
        <v>117</v>
      </c>
      <c r="D649" t="s" s="37">
        <v>181</v>
      </c>
      <c r="E649" t="s" s="37">
        <v>622</v>
      </c>
      <c r="F649" t="s" s="37">
        <v>622</v>
      </c>
      <c r="G649" t="s" s="37">
        <v>424</v>
      </c>
      <c r="H649" t="s" s="37">
        <v>1948</v>
      </c>
      <c r="I649" t="s" s="37">
        <v>1790</v>
      </c>
      <c r="J649" t="s" s="37">
        <v>660</v>
      </c>
      <c r="K649" t="s" s="40">
        <v>641</v>
      </c>
      <c r="L649" s="30"/>
    </row>
    <row r="650" ht="74.5" customHeight="1">
      <c r="A650" t="s" s="31">
        <v>1949</v>
      </c>
      <c r="B650" t="s" s="32">
        <v>118</v>
      </c>
      <c r="C650" t="s" s="32">
        <v>117</v>
      </c>
      <c r="D650" t="s" s="32">
        <v>193</v>
      </c>
      <c r="E650" t="s" s="32">
        <v>618</v>
      </c>
      <c r="F650" t="s" s="32">
        <v>618</v>
      </c>
      <c r="G650" t="s" s="32">
        <v>387</v>
      </c>
      <c r="H650" t="s" s="32">
        <v>1950</v>
      </c>
      <c r="I650" t="s" s="32">
        <v>1730</v>
      </c>
      <c r="J650" t="s" s="32">
        <v>621</v>
      </c>
      <c r="K650" t="s" s="35">
        <v>622</v>
      </c>
      <c r="L650" s="30"/>
    </row>
    <row r="651" ht="74.5" customHeight="1">
      <c r="A651" t="s" s="36">
        <v>1951</v>
      </c>
      <c r="B651" t="s" s="37">
        <v>118</v>
      </c>
      <c r="C651" t="s" s="37">
        <v>117</v>
      </c>
      <c r="D651" t="s" s="37">
        <v>193</v>
      </c>
      <c r="E651" t="s" s="37">
        <v>618</v>
      </c>
      <c r="F651" t="s" s="37">
        <v>618</v>
      </c>
      <c r="G651" t="s" s="37">
        <v>400</v>
      </c>
      <c r="H651" t="s" s="37">
        <v>1952</v>
      </c>
      <c r="I651" t="s" s="37">
        <v>1730</v>
      </c>
      <c r="J651" t="s" s="37">
        <v>621</v>
      </c>
      <c r="K651" t="s" s="40">
        <v>622</v>
      </c>
      <c r="L651" s="30"/>
    </row>
    <row r="652" ht="74.5" customHeight="1">
      <c r="A652" t="s" s="31">
        <v>1953</v>
      </c>
      <c r="B652" t="s" s="32">
        <v>118</v>
      </c>
      <c r="C652" t="s" s="32">
        <v>117</v>
      </c>
      <c r="D652" t="s" s="32">
        <v>193</v>
      </c>
      <c r="E652" t="s" s="32">
        <v>618</v>
      </c>
      <c r="F652" t="s" s="32">
        <v>618</v>
      </c>
      <c r="G652" t="s" s="32">
        <v>412</v>
      </c>
      <c r="H652" t="s" s="32">
        <v>1954</v>
      </c>
      <c r="I652" t="s" s="32">
        <v>1730</v>
      </c>
      <c r="J652" t="s" s="32">
        <v>621</v>
      </c>
      <c r="K652" t="s" s="35">
        <v>622</v>
      </c>
      <c r="L652" s="30"/>
    </row>
    <row r="653" ht="74.5" customHeight="1">
      <c r="A653" t="s" s="36">
        <v>1955</v>
      </c>
      <c r="B653" t="s" s="37">
        <v>118</v>
      </c>
      <c r="C653" t="s" s="37">
        <v>117</v>
      </c>
      <c r="D653" t="s" s="37">
        <v>193</v>
      </c>
      <c r="E653" t="s" s="37">
        <v>618</v>
      </c>
      <c r="F653" t="s" s="37">
        <v>618</v>
      </c>
      <c r="G653" t="s" s="37">
        <v>424</v>
      </c>
      <c r="H653" t="s" s="37">
        <v>1956</v>
      </c>
      <c r="I653" t="s" s="37">
        <v>1730</v>
      </c>
      <c r="J653" t="s" s="37">
        <v>621</v>
      </c>
      <c r="K653" t="s" s="40">
        <v>622</v>
      </c>
      <c r="L653" s="30"/>
    </row>
    <row r="654" ht="74.5" customHeight="1">
      <c r="A654" t="s" s="31">
        <v>1957</v>
      </c>
      <c r="B654" t="s" s="32">
        <v>118</v>
      </c>
      <c r="C654" t="s" s="32">
        <v>117</v>
      </c>
      <c r="D654" t="s" s="32">
        <v>193</v>
      </c>
      <c r="E654" t="s" s="32">
        <v>618</v>
      </c>
      <c r="F654" t="s" s="32">
        <v>630</v>
      </c>
      <c r="G654" t="s" s="32">
        <v>387</v>
      </c>
      <c r="H654" t="s" s="32">
        <v>1958</v>
      </c>
      <c r="I654" t="s" s="32">
        <v>1730</v>
      </c>
      <c r="J654" t="s" s="32">
        <v>632</v>
      </c>
      <c r="K654" t="s" s="35">
        <v>622</v>
      </c>
      <c r="L654" s="30"/>
    </row>
    <row r="655" ht="74.5" customHeight="1">
      <c r="A655" t="s" s="36">
        <v>1959</v>
      </c>
      <c r="B655" t="s" s="37">
        <v>118</v>
      </c>
      <c r="C655" t="s" s="37">
        <v>117</v>
      </c>
      <c r="D655" t="s" s="37">
        <v>193</v>
      </c>
      <c r="E655" t="s" s="37">
        <v>618</v>
      </c>
      <c r="F655" t="s" s="37">
        <v>630</v>
      </c>
      <c r="G655" t="s" s="37">
        <v>400</v>
      </c>
      <c r="H655" t="s" s="37">
        <v>1960</v>
      </c>
      <c r="I655" t="s" s="37">
        <v>1730</v>
      </c>
      <c r="J655" t="s" s="37">
        <v>632</v>
      </c>
      <c r="K655" t="s" s="40">
        <v>622</v>
      </c>
      <c r="L655" s="30"/>
    </row>
    <row r="656" ht="74.5" customHeight="1">
      <c r="A656" t="s" s="31">
        <v>1961</v>
      </c>
      <c r="B656" t="s" s="32">
        <v>118</v>
      </c>
      <c r="C656" t="s" s="32">
        <v>117</v>
      </c>
      <c r="D656" t="s" s="32">
        <v>193</v>
      </c>
      <c r="E656" t="s" s="32">
        <v>618</v>
      </c>
      <c r="F656" t="s" s="32">
        <v>630</v>
      </c>
      <c r="G656" t="s" s="32">
        <v>412</v>
      </c>
      <c r="H656" t="s" s="32">
        <v>1962</v>
      </c>
      <c r="I656" t="s" s="32">
        <v>1730</v>
      </c>
      <c r="J656" t="s" s="32">
        <v>632</v>
      </c>
      <c r="K656" t="s" s="35">
        <v>622</v>
      </c>
      <c r="L656" s="30"/>
    </row>
    <row r="657" ht="74.5" customHeight="1">
      <c r="A657" t="s" s="36">
        <v>1963</v>
      </c>
      <c r="B657" t="s" s="37">
        <v>118</v>
      </c>
      <c r="C657" t="s" s="37">
        <v>117</v>
      </c>
      <c r="D657" t="s" s="37">
        <v>193</v>
      </c>
      <c r="E657" t="s" s="37">
        <v>618</v>
      </c>
      <c r="F657" t="s" s="37">
        <v>630</v>
      </c>
      <c r="G657" t="s" s="37">
        <v>424</v>
      </c>
      <c r="H657" t="s" s="37">
        <v>1964</v>
      </c>
      <c r="I657" t="s" s="37">
        <v>1730</v>
      </c>
      <c r="J657" t="s" s="37">
        <v>632</v>
      </c>
      <c r="K657" t="s" s="40">
        <v>622</v>
      </c>
      <c r="L657" s="30"/>
    </row>
    <row r="658" ht="74.5" customHeight="1">
      <c r="A658" t="s" s="31">
        <v>1965</v>
      </c>
      <c r="B658" t="s" s="32">
        <v>118</v>
      </c>
      <c r="C658" t="s" s="32">
        <v>117</v>
      </c>
      <c r="D658" t="s" s="32">
        <v>193</v>
      </c>
      <c r="E658" t="s" s="32">
        <v>618</v>
      </c>
      <c r="F658" t="s" s="32">
        <v>622</v>
      </c>
      <c r="G658" t="s" s="32">
        <v>387</v>
      </c>
      <c r="H658" t="s" s="32">
        <v>1966</v>
      </c>
      <c r="I658" t="s" s="32">
        <v>1730</v>
      </c>
      <c r="J658" t="s" s="32">
        <v>632</v>
      </c>
      <c r="K658" t="s" s="35">
        <v>641</v>
      </c>
      <c r="L658" s="30"/>
    </row>
    <row r="659" ht="74.5" customHeight="1">
      <c r="A659" t="s" s="36">
        <v>1967</v>
      </c>
      <c r="B659" t="s" s="37">
        <v>118</v>
      </c>
      <c r="C659" t="s" s="37">
        <v>117</v>
      </c>
      <c r="D659" t="s" s="37">
        <v>193</v>
      </c>
      <c r="E659" t="s" s="37">
        <v>618</v>
      </c>
      <c r="F659" t="s" s="37">
        <v>622</v>
      </c>
      <c r="G659" t="s" s="37">
        <v>400</v>
      </c>
      <c r="H659" t="s" s="37">
        <v>1968</v>
      </c>
      <c r="I659" t="s" s="37">
        <v>1730</v>
      </c>
      <c r="J659" t="s" s="37">
        <v>632</v>
      </c>
      <c r="K659" t="s" s="40">
        <v>641</v>
      </c>
      <c r="L659" s="30"/>
    </row>
    <row r="660" ht="74.5" customHeight="1">
      <c r="A660" t="s" s="31">
        <v>1969</v>
      </c>
      <c r="B660" t="s" s="32">
        <v>118</v>
      </c>
      <c r="C660" t="s" s="32">
        <v>117</v>
      </c>
      <c r="D660" t="s" s="32">
        <v>193</v>
      </c>
      <c r="E660" t="s" s="32">
        <v>618</v>
      </c>
      <c r="F660" t="s" s="32">
        <v>622</v>
      </c>
      <c r="G660" t="s" s="32">
        <v>412</v>
      </c>
      <c r="H660" t="s" s="32">
        <v>1970</v>
      </c>
      <c r="I660" t="s" s="32">
        <v>1730</v>
      </c>
      <c r="J660" t="s" s="32">
        <v>632</v>
      </c>
      <c r="K660" t="s" s="35">
        <v>641</v>
      </c>
      <c r="L660" s="30"/>
    </row>
    <row r="661" ht="74.5" customHeight="1">
      <c r="A661" t="s" s="36">
        <v>1971</v>
      </c>
      <c r="B661" t="s" s="37">
        <v>118</v>
      </c>
      <c r="C661" t="s" s="37">
        <v>117</v>
      </c>
      <c r="D661" t="s" s="37">
        <v>193</v>
      </c>
      <c r="E661" t="s" s="37">
        <v>618</v>
      </c>
      <c r="F661" t="s" s="37">
        <v>622</v>
      </c>
      <c r="G661" t="s" s="37">
        <v>424</v>
      </c>
      <c r="H661" t="s" s="37">
        <v>1972</v>
      </c>
      <c r="I661" t="s" s="37">
        <v>1730</v>
      </c>
      <c r="J661" t="s" s="37">
        <v>632</v>
      </c>
      <c r="K661" t="s" s="40">
        <v>641</v>
      </c>
      <c r="L661" s="30"/>
    </row>
    <row r="662" ht="74.5" customHeight="1">
      <c r="A662" t="s" s="31">
        <v>1973</v>
      </c>
      <c r="B662" t="s" s="32">
        <v>118</v>
      </c>
      <c r="C662" t="s" s="32">
        <v>117</v>
      </c>
      <c r="D662" t="s" s="32">
        <v>193</v>
      </c>
      <c r="E662" t="s" s="32">
        <v>630</v>
      </c>
      <c r="F662" t="s" s="32">
        <v>618</v>
      </c>
      <c r="G662" t="s" s="32">
        <v>387</v>
      </c>
      <c r="H662" t="s" s="32">
        <v>1974</v>
      </c>
      <c r="I662" t="s" s="32">
        <v>1755</v>
      </c>
      <c r="J662" t="s" s="32">
        <v>651</v>
      </c>
      <c r="K662" t="s" s="35">
        <v>622</v>
      </c>
      <c r="L662" s="30"/>
    </row>
    <row r="663" ht="74.5" customHeight="1">
      <c r="A663" t="s" s="36">
        <v>1975</v>
      </c>
      <c r="B663" t="s" s="37">
        <v>118</v>
      </c>
      <c r="C663" t="s" s="37">
        <v>117</v>
      </c>
      <c r="D663" t="s" s="37">
        <v>193</v>
      </c>
      <c r="E663" t="s" s="37">
        <v>630</v>
      </c>
      <c r="F663" t="s" s="37">
        <v>618</v>
      </c>
      <c r="G663" t="s" s="37">
        <v>400</v>
      </c>
      <c r="H663" t="s" s="37">
        <v>1976</v>
      </c>
      <c r="I663" t="s" s="37">
        <v>1755</v>
      </c>
      <c r="J663" t="s" s="37">
        <v>651</v>
      </c>
      <c r="K663" t="s" s="40">
        <v>622</v>
      </c>
      <c r="L663" s="30"/>
    </row>
    <row r="664" ht="74.5" customHeight="1">
      <c r="A664" t="s" s="31">
        <v>1977</v>
      </c>
      <c r="B664" t="s" s="32">
        <v>118</v>
      </c>
      <c r="C664" t="s" s="32">
        <v>117</v>
      </c>
      <c r="D664" t="s" s="32">
        <v>193</v>
      </c>
      <c r="E664" t="s" s="32">
        <v>630</v>
      </c>
      <c r="F664" t="s" s="32">
        <v>618</v>
      </c>
      <c r="G664" t="s" s="32">
        <v>412</v>
      </c>
      <c r="H664" t="s" s="32">
        <v>1978</v>
      </c>
      <c r="I664" t="s" s="32">
        <v>1755</v>
      </c>
      <c r="J664" t="s" s="32">
        <v>651</v>
      </c>
      <c r="K664" t="s" s="35">
        <v>622</v>
      </c>
      <c r="L664" s="30"/>
    </row>
    <row r="665" ht="74.5" customHeight="1">
      <c r="A665" t="s" s="36">
        <v>1979</v>
      </c>
      <c r="B665" t="s" s="37">
        <v>118</v>
      </c>
      <c r="C665" t="s" s="37">
        <v>117</v>
      </c>
      <c r="D665" t="s" s="37">
        <v>193</v>
      </c>
      <c r="E665" t="s" s="37">
        <v>630</v>
      </c>
      <c r="F665" t="s" s="37">
        <v>618</v>
      </c>
      <c r="G665" t="s" s="37">
        <v>424</v>
      </c>
      <c r="H665" t="s" s="37">
        <v>1980</v>
      </c>
      <c r="I665" t="s" s="37">
        <v>1755</v>
      </c>
      <c r="J665" t="s" s="37">
        <v>651</v>
      </c>
      <c r="K665" t="s" s="40">
        <v>622</v>
      </c>
      <c r="L665" s="30"/>
    </row>
    <row r="666" ht="74.5" customHeight="1">
      <c r="A666" t="s" s="31">
        <v>1981</v>
      </c>
      <c r="B666" t="s" s="32">
        <v>118</v>
      </c>
      <c r="C666" t="s" s="32">
        <v>117</v>
      </c>
      <c r="D666" t="s" s="32">
        <v>193</v>
      </c>
      <c r="E666" t="s" s="32">
        <v>630</v>
      </c>
      <c r="F666" t="s" s="32">
        <v>630</v>
      </c>
      <c r="G666" t="s" s="32">
        <v>387</v>
      </c>
      <c r="H666" t="s" s="32">
        <v>1982</v>
      </c>
      <c r="I666" t="s" s="32">
        <v>1755</v>
      </c>
      <c r="J666" t="s" s="32">
        <v>660</v>
      </c>
      <c r="K666" t="s" s="35">
        <v>630</v>
      </c>
      <c r="L666" s="30"/>
    </row>
    <row r="667" ht="74.5" customHeight="1">
      <c r="A667" t="s" s="36">
        <v>1983</v>
      </c>
      <c r="B667" t="s" s="37">
        <v>118</v>
      </c>
      <c r="C667" t="s" s="37">
        <v>117</v>
      </c>
      <c r="D667" t="s" s="37">
        <v>193</v>
      </c>
      <c r="E667" t="s" s="37">
        <v>630</v>
      </c>
      <c r="F667" t="s" s="37">
        <v>630</v>
      </c>
      <c r="G667" t="s" s="37">
        <v>400</v>
      </c>
      <c r="H667" t="s" s="37">
        <v>1984</v>
      </c>
      <c r="I667" t="s" s="37">
        <v>1755</v>
      </c>
      <c r="J667" t="s" s="37">
        <v>660</v>
      </c>
      <c r="K667" t="s" s="40">
        <v>630</v>
      </c>
      <c r="L667" s="30"/>
    </row>
    <row r="668" ht="74.5" customHeight="1">
      <c r="A668" t="s" s="31">
        <v>1985</v>
      </c>
      <c r="B668" t="s" s="32">
        <v>118</v>
      </c>
      <c r="C668" t="s" s="32">
        <v>117</v>
      </c>
      <c r="D668" t="s" s="32">
        <v>193</v>
      </c>
      <c r="E668" t="s" s="32">
        <v>630</v>
      </c>
      <c r="F668" t="s" s="32">
        <v>630</v>
      </c>
      <c r="G668" t="s" s="32">
        <v>412</v>
      </c>
      <c r="H668" t="s" s="32">
        <v>1986</v>
      </c>
      <c r="I668" t="s" s="32">
        <v>1755</v>
      </c>
      <c r="J668" t="s" s="32">
        <v>660</v>
      </c>
      <c r="K668" t="s" s="35">
        <v>630</v>
      </c>
      <c r="L668" s="30"/>
    </row>
    <row r="669" ht="74.5" customHeight="1">
      <c r="A669" t="s" s="36">
        <v>1987</v>
      </c>
      <c r="B669" t="s" s="37">
        <v>118</v>
      </c>
      <c r="C669" t="s" s="37">
        <v>117</v>
      </c>
      <c r="D669" t="s" s="37">
        <v>193</v>
      </c>
      <c r="E669" t="s" s="37">
        <v>630</v>
      </c>
      <c r="F669" t="s" s="37">
        <v>630</v>
      </c>
      <c r="G669" t="s" s="37">
        <v>424</v>
      </c>
      <c r="H669" t="s" s="37">
        <v>1988</v>
      </c>
      <c r="I669" t="s" s="37">
        <v>1755</v>
      </c>
      <c r="J669" t="s" s="37">
        <v>660</v>
      </c>
      <c r="K669" t="s" s="40">
        <v>630</v>
      </c>
      <c r="L669" s="30"/>
    </row>
    <row r="670" ht="74.5" customHeight="1">
      <c r="A670" t="s" s="31">
        <v>1989</v>
      </c>
      <c r="B670" t="s" s="32">
        <v>118</v>
      </c>
      <c r="C670" t="s" s="32">
        <v>117</v>
      </c>
      <c r="D670" t="s" s="32">
        <v>193</v>
      </c>
      <c r="E670" t="s" s="32">
        <v>630</v>
      </c>
      <c r="F670" t="s" s="32">
        <v>622</v>
      </c>
      <c r="G670" t="s" s="32">
        <v>387</v>
      </c>
      <c r="H670" t="s" s="32">
        <v>1990</v>
      </c>
      <c r="I670" t="s" s="32">
        <v>1772</v>
      </c>
      <c r="J670" t="s" s="32">
        <v>660</v>
      </c>
      <c r="K670" t="s" s="35">
        <v>630</v>
      </c>
      <c r="L670" s="30"/>
    </row>
    <row r="671" ht="74.5" customHeight="1">
      <c r="A671" t="s" s="36">
        <v>1991</v>
      </c>
      <c r="B671" t="s" s="37">
        <v>118</v>
      </c>
      <c r="C671" t="s" s="37">
        <v>117</v>
      </c>
      <c r="D671" t="s" s="37">
        <v>193</v>
      </c>
      <c r="E671" t="s" s="37">
        <v>630</v>
      </c>
      <c r="F671" t="s" s="37">
        <v>622</v>
      </c>
      <c r="G671" t="s" s="37">
        <v>400</v>
      </c>
      <c r="H671" t="s" s="37">
        <v>1992</v>
      </c>
      <c r="I671" t="s" s="37">
        <v>1772</v>
      </c>
      <c r="J671" t="s" s="37">
        <v>660</v>
      </c>
      <c r="K671" t="s" s="40">
        <v>630</v>
      </c>
      <c r="L671" s="30"/>
    </row>
    <row r="672" ht="74.5" customHeight="1">
      <c r="A672" t="s" s="31">
        <v>1993</v>
      </c>
      <c r="B672" t="s" s="32">
        <v>118</v>
      </c>
      <c r="C672" t="s" s="32">
        <v>117</v>
      </c>
      <c r="D672" t="s" s="32">
        <v>193</v>
      </c>
      <c r="E672" t="s" s="32">
        <v>630</v>
      </c>
      <c r="F672" t="s" s="32">
        <v>622</v>
      </c>
      <c r="G672" t="s" s="32">
        <v>412</v>
      </c>
      <c r="H672" t="s" s="32">
        <v>1994</v>
      </c>
      <c r="I672" t="s" s="32">
        <v>1772</v>
      </c>
      <c r="J672" t="s" s="32">
        <v>660</v>
      </c>
      <c r="K672" t="s" s="35">
        <v>630</v>
      </c>
      <c r="L672" s="30"/>
    </row>
    <row r="673" ht="74.5" customHeight="1">
      <c r="A673" t="s" s="36">
        <v>1995</v>
      </c>
      <c r="B673" t="s" s="37">
        <v>118</v>
      </c>
      <c r="C673" t="s" s="37">
        <v>117</v>
      </c>
      <c r="D673" t="s" s="37">
        <v>193</v>
      </c>
      <c r="E673" t="s" s="37">
        <v>630</v>
      </c>
      <c r="F673" t="s" s="37">
        <v>622</v>
      </c>
      <c r="G673" t="s" s="37">
        <v>424</v>
      </c>
      <c r="H673" t="s" s="37">
        <v>1996</v>
      </c>
      <c r="I673" t="s" s="37">
        <v>1772</v>
      </c>
      <c r="J673" t="s" s="37">
        <v>660</v>
      </c>
      <c r="K673" t="s" s="40">
        <v>630</v>
      </c>
      <c r="L673" s="30"/>
    </row>
    <row r="674" ht="74.5" customHeight="1">
      <c r="A674" t="s" s="31">
        <v>1997</v>
      </c>
      <c r="B674" t="s" s="32">
        <v>118</v>
      </c>
      <c r="C674" t="s" s="32">
        <v>117</v>
      </c>
      <c r="D674" t="s" s="32">
        <v>193</v>
      </c>
      <c r="E674" t="s" s="32">
        <v>622</v>
      </c>
      <c r="F674" t="s" s="32">
        <v>618</v>
      </c>
      <c r="G674" t="s" s="32">
        <v>387</v>
      </c>
      <c r="H674" t="s" s="32">
        <v>1998</v>
      </c>
      <c r="I674" t="s" s="32">
        <v>1781</v>
      </c>
      <c r="J674" t="s" s="32">
        <v>651</v>
      </c>
      <c r="K674" t="s" s="35">
        <v>622</v>
      </c>
      <c r="L674" s="30"/>
    </row>
    <row r="675" ht="74.5" customHeight="1">
      <c r="A675" t="s" s="36">
        <v>1999</v>
      </c>
      <c r="B675" t="s" s="37">
        <v>118</v>
      </c>
      <c r="C675" t="s" s="37">
        <v>117</v>
      </c>
      <c r="D675" t="s" s="37">
        <v>193</v>
      </c>
      <c r="E675" t="s" s="37">
        <v>622</v>
      </c>
      <c r="F675" t="s" s="37">
        <v>618</v>
      </c>
      <c r="G675" t="s" s="37">
        <v>400</v>
      </c>
      <c r="H675" t="s" s="37">
        <v>2000</v>
      </c>
      <c r="I675" t="s" s="37">
        <v>1781</v>
      </c>
      <c r="J675" t="s" s="37">
        <v>651</v>
      </c>
      <c r="K675" t="s" s="40">
        <v>622</v>
      </c>
      <c r="L675" s="30"/>
    </row>
    <row r="676" ht="74.5" customHeight="1">
      <c r="A676" t="s" s="31">
        <v>2001</v>
      </c>
      <c r="B676" t="s" s="32">
        <v>118</v>
      </c>
      <c r="C676" t="s" s="32">
        <v>117</v>
      </c>
      <c r="D676" t="s" s="32">
        <v>193</v>
      </c>
      <c r="E676" t="s" s="32">
        <v>622</v>
      </c>
      <c r="F676" t="s" s="32">
        <v>618</v>
      </c>
      <c r="G676" t="s" s="32">
        <v>412</v>
      </c>
      <c r="H676" t="s" s="32">
        <v>2002</v>
      </c>
      <c r="I676" t="s" s="32">
        <v>1781</v>
      </c>
      <c r="J676" t="s" s="32">
        <v>651</v>
      </c>
      <c r="K676" t="s" s="35">
        <v>622</v>
      </c>
      <c r="L676" s="30"/>
    </row>
    <row r="677" ht="74.5" customHeight="1">
      <c r="A677" t="s" s="36">
        <v>2003</v>
      </c>
      <c r="B677" t="s" s="37">
        <v>118</v>
      </c>
      <c r="C677" t="s" s="37">
        <v>117</v>
      </c>
      <c r="D677" t="s" s="37">
        <v>193</v>
      </c>
      <c r="E677" t="s" s="37">
        <v>622</v>
      </c>
      <c r="F677" t="s" s="37">
        <v>618</v>
      </c>
      <c r="G677" t="s" s="37">
        <v>424</v>
      </c>
      <c r="H677" t="s" s="37">
        <v>2004</v>
      </c>
      <c r="I677" t="s" s="37">
        <v>1781</v>
      </c>
      <c r="J677" t="s" s="37">
        <v>651</v>
      </c>
      <c r="K677" t="s" s="40">
        <v>622</v>
      </c>
      <c r="L677" s="30"/>
    </row>
    <row r="678" ht="74.5" customHeight="1">
      <c r="A678" t="s" s="31">
        <v>2005</v>
      </c>
      <c r="B678" t="s" s="32">
        <v>118</v>
      </c>
      <c r="C678" t="s" s="32">
        <v>117</v>
      </c>
      <c r="D678" t="s" s="32">
        <v>193</v>
      </c>
      <c r="E678" t="s" s="32">
        <v>622</v>
      </c>
      <c r="F678" t="s" s="32">
        <v>630</v>
      </c>
      <c r="G678" t="s" s="32">
        <v>387</v>
      </c>
      <c r="H678" t="s" s="32">
        <v>2006</v>
      </c>
      <c r="I678" t="s" s="32">
        <v>1790</v>
      </c>
      <c r="J678" t="s" s="32">
        <v>660</v>
      </c>
      <c r="K678" t="s" s="35">
        <v>630</v>
      </c>
      <c r="L678" s="30"/>
    </row>
    <row r="679" ht="74.5" customHeight="1">
      <c r="A679" t="s" s="36">
        <v>2007</v>
      </c>
      <c r="B679" t="s" s="37">
        <v>118</v>
      </c>
      <c r="C679" t="s" s="37">
        <v>117</v>
      </c>
      <c r="D679" t="s" s="37">
        <v>193</v>
      </c>
      <c r="E679" t="s" s="37">
        <v>622</v>
      </c>
      <c r="F679" t="s" s="37">
        <v>630</v>
      </c>
      <c r="G679" t="s" s="37">
        <v>400</v>
      </c>
      <c r="H679" t="s" s="37">
        <v>2008</v>
      </c>
      <c r="I679" t="s" s="37">
        <v>1790</v>
      </c>
      <c r="J679" t="s" s="37">
        <v>660</v>
      </c>
      <c r="K679" t="s" s="40">
        <v>630</v>
      </c>
      <c r="L679" s="30"/>
    </row>
    <row r="680" ht="74.5" customHeight="1">
      <c r="A680" t="s" s="31">
        <v>2009</v>
      </c>
      <c r="B680" t="s" s="32">
        <v>118</v>
      </c>
      <c r="C680" t="s" s="32">
        <v>117</v>
      </c>
      <c r="D680" t="s" s="32">
        <v>193</v>
      </c>
      <c r="E680" t="s" s="32">
        <v>622</v>
      </c>
      <c r="F680" t="s" s="32">
        <v>630</v>
      </c>
      <c r="G680" t="s" s="32">
        <v>412</v>
      </c>
      <c r="H680" t="s" s="32">
        <v>2010</v>
      </c>
      <c r="I680" t="s" s="32">
        <v>1790</v>
      </c>
      <c r="J680" t="s" s="32">
        <v>660</v>
      </c>
      <c r="K680" t="s" s="35">
        <v>630</v>
      </c>
      <c r="L680" s="30"/>
    </row>
    <row r="681" ht="74.5" customHeight="1">
      <c r="A681" t="s" s="36">
        <v>2011</v>
      </c>
      <c r="B681" t="s" s="37">
        <v>118</v>
      </c>
      <c r="C681" t="s" s="37">
        <v>117</v>
      </c>
      <c r="D681" t="s" s="37">
        <v>193</v>
      </c>
      <c r="E681" t="s" s="37">
        <v>622</v>
      </c>
      <c r="F681" t="s" s="37">
        <v>630</v>
      </c>
      <c r="G681" t="s" s="37">
        <v>424</v>
      </c>
      <c r="H681" t="s" s="37">
        <v>2012</v>
      </c>
      <c r="I681" t="s" s="37">
        <v>1790</v>
      </c>
      <c r="J681" t="s" s="37">
        <v>660</v>
      </c>
      <c r="K681" t="s" s="40">
        <v>630</v>
      </c>
      <c r="L681" s="30"/>
    </row>
    <row r="682" ht="74.5" customHeight="1">
      <c r="A682" t="s" s="31">
        <v>2013</v>
      </c>
      <c r="B682" t="s" s="32">
        <v>118</v>
      </c>
      <c r="C682" t="s" s="32">
        <v>117</v>
      </c>
      <c r="D682" t="s" s="32">
        <v>193</v>
      </c>
      <c r="E682" t="s" s="32">
        <v>622</v>
      </c>
      <c r="F682" t="s" s="32">
        <v>622</v>
      </c>
      <c r="G682" t="s" s="32">
        <v>387</v>
      </c>
      <c r="H682" t="s" s="32">
        <v>2014</v>
      </c>
      <c r="I682" t="s" s="32">
        <v>1790</v>
      </c>
      <c r="J682" t="s" s="32">
        <v>660</v>
      </c>
      <c r="K682" t="s" s="35">
        <v>641</v>
      </c>
      <c r="L682" s="30"/>
    </row>
    <row r="683" ht="74.5" customHeight="1">
      <c r="A683" t="s" s="36">
        <v>2015</v>
      </c>
      <c r="B683" t="s" s="37">
        <v>118</v>
      </c>
      <c r="C683" t="s" s="37">
        <v>117</v>
      </c>
      <c r="D683" t="s" s="37">
        <v>193</v>
      </c>
      <c r="E683" t="s" s="37">
        <v>622</v>
      </c>
      <c r="F683" t="s" s="37">
        <v>622</v>
      </c>
      <c r="G683" t="s" s="37">
        <v>400</v>
      </c>
      <c r="H683" t="s" s="37">
        <v>2016</v>
      </c>
      <c r="I683" t="s" s="37">
        <v>1790</v>
      </c>
      <c r="J683" t="s" s="37">
        <v>660</v>
      </c>
      <c r="K683" t="s" s="40">
        <v>641</v>
      </c>
      <c r="L683" s="30"/>
    </row>
    <row r="684" ht="74.5" customHeight="1">
      <c r="A684" t="s" s="31">
        <v>2017</v>
      </c>
      <c r="B684" t="s" s="32">
        <v>118</v>
      </c>
      <c r="C684" t="s" s="32">
        <v>117</v>
      </c>
      <c r="D684" t="s" s="32">
        <v>193</v>
      </c>
      <c r="E684" t="s" s="32">
        <v>622</v>
      </c>
      <c r="F684" t="s" s="32">
        <v>622</v>
      </c>
      <c r="G684" t="s" s="32">
        <v>412</v>
      </c>
      <c r="H684" t="s" s="32">
        <v>2018</v>
      </c>
      <c r="I684" t="s" s="32">
        <v>1790</v>
      </c>
      <c r="J684" t="s" s="32">
        <v>660</v>
      </c>
      <c r="K684" t="s" s="35">
        <v>641</v>
      </c>
      <c r="L684" s="30"/>
    </row>
    <row r="685" ht="74.5" customHeight="1">
      <c r="A685" t="s" s="36">
        <v>2019</v>
      </c>
      <c r="B685" t="s" s="37">
        <v>118</v>
      </c>
      <c r="C685" t="s" s="37">
        <v>117</v>
      </c>
      <c r="D685" t="s" s="37">
        <v>193</v>
      </c>
      <c r="E685" t="s" s="37">
        <v>622</v>
      </c>
      <c r="F685" t="s" s="37">
        <v>622</v>
      </c>
      <c r="G685" t="s" s="37">
        <v>424</v>
      </c>
      <c r="H685" t="s" s="37">
        <v>2020</v>
      </c>
      <c r="I685" t="s" s="37">
        <v>1790</v>
      </c>
      <c r="J685" t="s" s="37">
        <v>660</v>
      </c>
      <c r="K685" t="s" s="40">
        <v>641</v>
      </c>
      <c r="L685" s="30"/>
    </row>
    <row r="686" ht="74.5" customHeight="1">
      <c r="A686" t="s" s="31">
        <v>2021</v>
      </c>
      <c r="B686" t="s" s="32">
        <v>118</v>
      </c>
      <c r="C686" t="s" s="32">
        <v>117</v>
      </c>
      <c r="D686" t="s" s="32">
        <v>205</v>
      </c>
      <c r="E686" t="s" s="32">
        <v>618</v>
      </c>
      <c r="F686" t="s" s="32">
        <v>618</v>
      </c>
      <c r="G686" t="s" s="32">
        <v>387</v>
      </c>
      <c r="H686" t="s" s="32">
        <v>2022</v>
      </c>
      <c r="I686" t="s" s="32">
        <v>1730</v>
      </c>
      <c r="J686" t="s" s="32">
        <v>920</v>
      </c>
      <c r="K686" t="s" s="35">
        <v>622</v>
      </c>
      <c r="L686" s="30"/>
    </row>
    <row r="687" ht="74.5" customHeight="1">
      <c r="A687" t="s" s="36">
        <v>2023</v>
      </c>
      <c r="B687" t="s" s="37">
        <v>118</v>
      </c>
      <c r="C687" t="s" s="37">
        <v>117</v>
      </c>
      <c r="D687" t="s" s="37">
        <v>205</v>
      </c>
      <c r="E687" t="s" s="37">
        <v>618</v>
      </c>
      <c r="F687" t="s" s="37">
        <v>618</v>
      </c>
      <c r="G687" t="s" s="37">
        <v>400</v>
      </c>
      <c r="H687" t="s" s="37">
        <v>2024</v>
      </c>
      <c r="I687" t="s" s="37">
        <v>1730</v>
      </c>
      <c r="J687" t="s" s="37">
        <v>920</v>
      </c>
      <c r="K687" t="s" s="40">
        <v>622</v>
      </c>
      <c r="L687" s="30"/>
    </row>
    <row r="688" ht="74.5" customHeight="1">
      <c r="A688" t="s" s="31">
        <v>2025</v>
      </c>
      <c r="B688" t="s" s="32">
        <v>118</v>
      </c>
      <c r="C688" t="s" s="32">
        <v>117</v>
      </c>
      <c r="D688" t="s" s="32">
        <v>205</v>
      </c>
      <c r="E688" t="s" s="32">
        <v>618</v>
      </c>
      <c r="F688" t="s" s="32">
        <v>618</v>
      </c>
      <c r="G688" t="s" s="32">
        <v>412</v>
      </c>
      <c r="H688" t="s" s="32">
        <v>2026</v>
      </c>
      <c r="I688" t="s" s="32">
        <v>1730</v>
      </c>
      <c r="J688" t="s" s="32">
        <v>920</v>
      </c>
      <c r="K688" t="s" s="35">
        <v>622</v>
      </c>
      <c r="L688" s="30"/>
    </row>
    <row r="689" ht="74.5" customHeight="1">
      <c r="A689" t="s" s="36">
        <v>2027</v>
      </c>
      <c r="B689" t="s" s="37">
        <v>118</v>
      </c>
      <c r="C689" t="s" s="37">
        <v>117</v>
      </c>
      <c r="D689" t="s" s="37">
        <v>205</v>
      </c>
      <c r="E689" t="s" s="37">
        <v>618</v>
      </c>
      <c r="F689" t="s" s="37">
        <v>618</v>
      </c>
      <c r="G689" t="s" s="37">
        <v>424</v>
      </c>
      <c r="H689" t="s" s="37">
        <v>2028</v>
      </c>
      <c r="I689" t="s" s="37">
        <v>1730</v>
      </c>
      <c r="J689" t="s" s="37">
        <v>920</v>
      </c>
      <c r="K689" t="s" s="40">
        <v>622</v>
      </c>
      <c r="L689" s="30"/>
    </row>
    <row r="690" ht="74.5" customHeight="1">
      <c r="A690" t="s" s="31">
        <v>2029</v>
      </c>
      <c r="B690" t="s" s="32">
        <v>118</v>
      </c>
      <c r="C690" t="s" s="32">
        <v>117</v>
      </c>
      <c r="D690" t="s" s="32">
        <v>205</v>
      </c>
      <c r="E690" t="s" s="32">
        <v>618</v>
      </c>
      <c r="F690" t="s" s="32">
        <v>630</v>
      </c>
      <c r="G690" t="s" s="32">
        <v>387</v>
      </c>
      <c r="H690" t="s" s="32">
        <v>2030</v>
      </c>
      <c r="I690" t="s" s="32">
        <v>1730</v>
      </c>
      <c r="J690" t="s" s="32">
        <v>929</v>
      </c>
      <c r="K690" t="s" s="35">
        <v>622</v>
      </c>
      <c r="L690" s="30"/>
    </row>
    <row r="691" ht="74.5" customHeight="1">
      <c r="A691" t="s" s="36">
        <v>2031</v>
      </c>
      <c r="B691" t="s" s="37">
        <v>118</v>
      </c>
      <c r="C691" t="s" s="37">
        <v>117</v>
      </c>
      <c r="D691" t="s" s="37">
        <v>205</v>
      </c>
      <c r="E691" t="s" s="37">
        <v>618</v>
      </c>
      <c r="F691" t="s" s="37">
        <v>630</v>
      </c>
      <c r="G691" t="s" s="37">
        <v>400</v>
      </c>
      <c r="H691" t="s" s="37">
        <v>2032</v>
      </c>
      <c r="I691" t="s" s="37">
        <v>1730</v>
      </c>
      <c r="J691" t="s" s="37">
        <v>929</v>
      </c>
      <c r="K691" t="s" s="40">
        <v>622</v>
      </c>
      <c r="L691" s="30"/>
    </row>
    <row r="692" ht="74.5" customHeight="1">
      <c r="A692" t="s" s="31">
        <v>2033</v>
      </c>
      <c r="B692" t="s" s="32">
        <v>118</v>
      </c>
      <c r="C692" t="s" s="32">
        <v>117</v>
      </c>
      <c r="D692" t="s" s="32">
        <v>205</v>
      </c>
      <c r="E692" t="s" s="32">
        <v>618</v>
      </c>
      <c r="F692" t="s" s="32">
        <v>630</v>
      </c>
      <c r="G692" t="s" s="32">
        <v>412</v>
      </c>
      <c r="H692" t="s" s="32">
        <v>2034</v>
      </c>
      <c r="I692" t="s" s="32">
        <v>1730</v>
      </c>
      <c r="J692" t="s" s="32">
        <v>929</v>
      </c>
      <c r="K692" t="s" s="35">
        <v>622</v>
      </c>
      <c r="L692" s="30"/>
    </row>
    <row r="693" ht="74.5" customHeight="1">
      <c r="A693" t="s" s="36">
        <v>2035</v>
      </c>
      <c r="B693" t="s" s="37">
        <v>118</v>
      </c>
      <c r="C693" t="s" s="37">
        <v>117</v>
      </c>
      <c r="D693" t="s" s="37">
        <v>205</v>
      </c>
      <c r="E693" t="s" s="37">
        <v>618</v>
      </c>
      <c r="F693" t="s" s="37">
        <v>630</v>
      </c>
      <c r="G693" t="s" s="37">
        <v>424</v>
      </c>
      <c r="H693" t="s" s="37">
        <v>2036</v>
      </c>
      <c r="I693" t="s" s="37">
        <v>1730</v>
      </c>
      <c r="J693" t="s" s="37">
        <v>929</v>
      </c>
      <c r="K693" t="s" s="40">
        <v>622</v>
      </c>
      <c r="L693" s="30"/>
    </row>
    <row r="694" ht="74.5" customHeight="1">
      <c r="A694" t="s" s="31">
        <v>2037</v>
      </c>
      <c r="B694" t="s" s="32">
        <v>118</v>
      </c>
      <c r="C694" t="s" s="32">
        <v>117</v>
      </c>
      <c r="D694" t="s" s="32">
        <v>205</v>
      </c>
      <c r="E694" t="s" s="32">
        <v>618</v>
      </c>
      <c r="F694" t="s" s="32">
        <v>622</v>
      </c>
      <c r="G694" t="s" s="32">
        <v>387</v>
      </c>
      <c r="H694" t="s" s="32">
        <v>2038</v>
      </c>
      <c r="I694" t="s" s="32">
        <v>1730</v>
      </c>
      <c r="J694" t="s" s="32">
        <v>929</v>
      </c>
      <c r="K694" t="s" s="35">
        <v>641</v>
      </c>
      <c r="L694" s="30"/>
    </row>
    <row r="695" ht="74.5" customHeight="1">
      <c r="A695" t="s" s="36">
        <v>2039</v>
      </c>
      <c r="B695" t="s" s="37">
        <v>118</v>
      </c>
      <c r="C695" t="s" s="37">
        <v>117</v>
      </c>
      <c r="D695" t="s" s="37">
        <v>205</v>
      </c>
      <c r="E695" t="s" s="37">
        <v>618</v>
      </c>
      <c r="F695" t="s" s="37">
        <v>622</v>
      </c>
      <c r="G695" t="s" s="37">
        <v>400</v>
      </c>
      <c r="H695" t="s" s="37">
        <v>2040</v>
      </c>
      <c r="I695" t="s" s="37">
        <v>1730</v>
      </c>
      <c r="J695" t="s" s="37">
        <v>929</v>
      </c>
      <c r="K695" t="s" s="40">
        <v>641</v>
      </c>
      <c r="L695" s="30"/>
    </row>
    <row r="696" ht="74.5" customHeight="1">
      <c r="A696" t="s" s="31">
        <v>2041</v>
      </c>
      <c r="B696" t="s" s="32">
        <v>118</v>
      </c>
      <c r="C696" t="s" s="32">
        <v>117</v>
      </c>
      <c r="D696" t="s" s="32">
        <v>205</v>
      </c>
      <c r="E696" t="s" s="32">
        <v>618</v>
      </c>
      <c r="F696" t="s" s="32">
        <v>622</v>
      </c>
      <c r="G696" t="s" s="32">
        <v>412</v>
      </c>
      <c r="H696" t="s" s="32">
        <v>2042</v>
      </c>
      <c r="I696" t="s" s="32">
        <v>1730</v>
      </c>
      <c r="J696" t="s" s="32">
        <v>929</v>
      </c>
      <c r="K696" t="s" s="35">
        <v>641</v>
      </c>
      <c r="L696" s="30"/>
    </row>
    <row r="697" ht="74.5" customHeight="1">
      <c r="A697" t="s" s="36">
        <v>2043</v>
      </c>
      <c r="B697" t="s" s="37">
        <v>118</v>
      </c>
      <c r="C697" t="s" s="37">
        <v>117</v>
      </c>
      <c r="D697" t="s" s="37">
        <v>205</v>
      </c>
      <c r="E697" t="s" s="37">
        <v>618</v>
      </c>
      <c r="F697" t="s" s="37">
        <v>622</v>
      </c>
      <c r="G697" t="s" s="37">
        <v>424</v>
      </c>
      <c r="H697" t="s" s="37">
        <v>2044</v>
      </c>
      <c r="I697" t="s" s="37">
        <v>1730</v>
      </c>
      <c r="J697" t="s" s="37">
        <v>929</v>
      </c>
      <c r="K697" t="s" s="40">
        <v>641</v>
      </c>
      <c r="L697" s="30"/>
    </row>
    <row r="698" ht="74.5" customHeight="1">
      <c r="A698" t="s" s="31">
        <v>2045</v>
      </c>
      <c r="B698" t="s" s="32">
        <v>118</v>
      </c>
      <c r="C698" t="s" s="32">
        <v>117</v>
      </c>
      <c r="D698" t="s" s="32">
        <v>205</v>
      </c>
      <c r="E698" t="s" s="32">
        <v>630</v>
      </c>
      <c r="F698" t="s" s="32">
        <v>618</v>
      </c>
      <c r="G698" t="s" s="32">
        <v>387</v>
      </c>
      <c r="H698" t="s" s="32">
        <v>2046</v>
      </c>
      <c r="I698" t="s" s="32">
        <v>1755</v>
      </c>
      <c r="J698" t="s" s="32">
        <v>946</v>
      </c>
      <c r="K698" t="s" s="35">
        <v>622</v>
      </c>
      <c r="L698" s="30"/>
    </row>
    <row r="699" ht="74.5" customHeight="1">
      <c r="A699" t="s" s="36">
        <v>2047</v>
      </c>
      <c r="B699" t="s" s="37">
        <v>118</v>
      </c>
      <c r="C699" t="s" s="37">
        <v>117</v>
      </c>
      <c r="D699" t="s" s="37">
        <v>205</v>
      </c>
      <c r="E699" t="s" s="37">
        <v>630</v>
      </c>
      <c r="F699" t="s" s="37">
        <v>618</v>
      </c>
      <c r="G699" t="s" s="37">
        <v>400</v>
      </c>
      <c r="H699" t="s" s="37">
        <v>2048</v>
      </c>
      <c r="I699" t="s" s="37">
        <v>1755</v>
      </c>
      <c r="J699" t="s" s="37">
        <v>946</v>
      </c>
      <c r="K699" t="s" s="40">
        <v>622</v>
      </c>
      <c r="L699" s="30"/>
    </row>
    <row r="700" ht="74.5" customHeight="1">
      <c r="A700" t="s" s="31">
        <v>2049</v>
      </c>
      <c r="B700" t="s" s="32">
        <v>118</v>
      </c>
      <c r="C700" t="s" s="32">
        <v>117</v>
      </c>
      <c r="D700" t="s" s="32">
        <v>205</v>
      </c>
      <c r="E700" t="s" s="32">
        <v>630</v>
      </c>
      <c r="F700" t="s" s="32">
        <v>618</v>
      </c>
      <c r="G700" t="s" s="32">
        <v>412</v>
      </c>
      <c r="H700" t="s" s="32">
        <v>2050</v>
      </c>
      <c r="I700" t="s" s="32">
        <v>1755</v>
      </c>
      <c r="J700" t="s" s="32">
        <v>946</v>
      </c>
      <c r="K700" t="s" s="35">
        <v>622</v>
      </c>
      <c r="L700" s="30"/>
    </row>
    <row r="701" ht="74.5" customHeight="1">
      <c r="A701" t="s" s="36">
        <v>2051</v>
      </c>
      <c r="B701" t="s" s="37">
        <v>118</v>
      </c>
      <c r="C701" t="s" s="37">
        <v>117</v>
      </c>
      <c r="D701" t="s" s="37">
        <v>205</v>
      </c>
      <c r="E701" t="s" s="37">
        <v>630</v>
      </c>
      <c r="F701" t="s" s="37">
        <v>618</v>
      </c>
      <c r="G701" t="s" s="37">
        <v>424</v>
      </c>
      <c r="H701" t="s" s="37">
        <v>2052</v>
      </c>
      <c r="I701" t="s" s="37">
        <v>1755</v>
      </c>
      <c r="J701" t="s" s="37">
        <v>946</v>
      </c>
      <c r="K701" t="s" s="40">
        <v>622</v>
      </c>
      <c r="L701" s="30"/>
    </row>
    <row r="702" ht="74.5" customHeight="1">
      <c r="A702" t="s" s="31">
        <v>2053</v>
      </c>
      <c r="B702" t="s" s="32">
        <v>118</v>
      </c>
      <c r="C702" t="s" s="32">
        <v>117</v>
      </c>
      <c r="D702" t="s" s="32">
        <v>205</v>
      </c>
      <c r="E702" t="s" s="32">
        <v>630</v>
      </c>
      <c r="F702" t="s" s="32">
        <v>630</v>
      </c>
      <c r="G702" t="s" s="32">
        <v>387</v>
      </c>
      <c r="H702" t="s" s="32">
        <v>2054</v>
      </c>
      <c r="I702" t="s" s="32">
        <v>1755</v>
      </c>
      <c r="J702" t="s" s="32">
        <v>955</v>
      </c>
      <c r="K702" t="s" s="35">
        <v>630</v>
      </c>
      <c r="L702" s="30"/>
    </row>
    <row r="703" ht="74.5" customHeight="1">
      <c r="A703" t="s" s="36">
        <v>2055</v>
      </c>
      <c r="B703" t="s" s="37">
        <v>118</v>
      </c>
      <c r="C703" t="s" s="37">
        <v>117</v>
      </c>
      <c r="D703" t="s" s="37">
        <v>205</v>
      </c>
      <c r="E703" t="s" s="37">
        <v>630</v>
      </c>
      <c r="F703" t="s" s="37">
        <v>630</v>
      </c>
      <c r="G703" t="s" s="37">
        <v>400</v>
      </c>
      <c r="H703" t="s" s="37">
        <v>2056</v>
      </c>
      <c r="I703" t="s" s="37">
        <v>1755</v>
      </c>
      <c r="J703" t="s" s="37">
        <v>955</v>
      </c>
      <c r="K703" t="s" s="40">
        <v>630</v>
      </c>
      <c r="L703" s="30"/>
    </row>
    <row r="704" ht="74.5" customHeight="1">
      <c r="A704" t="s" s="31">
        <v>2057</v>
      </c>
      <c r="B704" t="s" s="32">
        <v>118</v>
      </c>
      <c r="C704" t="s" s="32">
        <v>117</v>
      </c>
      <c r="D704" t="s" s="32">
        <v>205</v>
      </c>
      <c r="E704" t="s" s="32">
        <v>630</v>
      </c>
      <c r="F704" t="s" s="32">
        <v>630</v>
      </c>
      <c r="G704" t="s" s="32">
        <v>412</v>
      </c>
      <c r="H704" t="s" s="32">
        <v>2058</v>
      </c>
      <c r="I704" t="s" s="32">
        <v>1755</v>
      </c>
      <c r="J704" t="s" s="32">
        <v>955</v>
      </c>
      <c r="K704" t="s" s="35">
        <v>630</v>
      </c>
      <c r="L704" s="30"/>
    </row>
    <row r="705" ht="74.5" customHeight="1">
      <c r="A705" t="s" s="36">
        <v>2059</v>
      </c>
      <c r="B705" t="s" s="37">
        <v>118</v>
      </c>
      <c r="C705" t="s" s="37">
        <v>117</v>
      </c>
      <c r="D705" t="s" s="37">
        <v>205</v>
      </c>
      <c r="E705" t="s" s="37">
        <v>630</v>
      </c>
      <c r="F705" t="s" s="37">
        <v>630</v>
      </c>
      <c r="G705" t="s" s="37">
        <v>424</v>
      </c>
      <c r="H705" t="s" s="37">
        <v>2060</v>
      </c>
      <c r="I705" t="s" s="37">
        <v>1755</v>
      </c>
      <c r="J705" t="s" s="37">
        <v>955</v>
      </c>
      <c r="K705" t="s" s="40">
        <v>630</v>
      </c>
      <c r="L705" s="30"/>
    </row>
    <row r="706" ht="74.5" customHeight="1">
      <c r="A706" t="s" s="31">
        <v>2061</v>
      </c>
      <c r="B706" t="s" s="32">
        <v>118</v>
      </c>
      <c r="C706" t="s" s="32">
        <v>117</v>
      </c>
      <c r="D706" t="s" s="32">
        <v>205</v>
      </c>
      <c r="E706" t="s" s="32">
        <v>630</v>
      </c>
      <c r="F706" t="s" s="32">
        <v>622</v>
      </c>
      <c r="G706" t="s" s="32">
        <v>387</v>
      </c>
      <c r="H706" t="s" s="32">
        <v>2062</v>
      </c>
      <c r="I706" t="s" s="32">
        <v>1772</v>
      </c>
      <c r="J706" t="s" s="32">
        <v>955</v>
      </c>
      <c r="K706" t="s" s="35">
        <v>630</v>
      </c>
      <c r="L706" s="30"/>
    </row>
    <row r="707" ht="74.5" customHeight="1">
      <c r="A707" t="s" s="36">
        <v>2063</v>
      </c>
      <c r="B707" t="s" s="37">
        <v>118</v>
      </c>
      <c r="C707" t="s" s="37">
        <v>117</v>
      </c>
      <c r="D707" t="s" s="37">
        <v>205</v>
      </c>
      <c r="E707" t="s" s="37">
        <v>630</v>
      </c>
      <c r="F707" t="s" s="37">
        <v>622</v>
      </c>
      <c r="G707" t="s" s="37">
        <v>400</v>
      </c>
      <c r="H707" t="s" s="37">
        <v>2064</v>
      </c>
      <c r="I707" t="s" s="37">
        <v>1772</v>
      </c>
      <c r="J707" t="s" s="37">
        <v>955</v>
      </c>
      <c r="K707" t="s" s="40">
        <v>630</v>
      </c>
      <c r="L707" s="30"/>
    </row>
    <row r="708" ht="74.5" customHeight="1">
      <c r="A708" t="s" s="31">
        <v>2065</v>
      </c>
      <c r="B708" t="s" s="32">
        <v>118</v>
      </c>
      <c r="C708" t="s" s="32">
        <v>117</v>
      </c>
      <c r="D708" t="s" s="32">
        <v>205</v>
      </c>
      <c r="E708" t="s" s="32">
        <v>630</v>
      </c>
      <c r="F708" t="s" s="32">
        <v>622</v>
      </c>
      <c r="G708" t="s" s="32">
        <v>412</v>
      </c>
      <c r="H708" t="s" s="32">
        <v>2066</v>
      </c>
      <c r="I708" t="s" s="32">
        <v>1772</v>
      </c>
      <c r="J708" t="s" s="32">
        <v>955</v>
      </c>
      <c r="K708" t="s" s="35">
        <v>630</v>
      </c>
      <c r="L708" s="30"/>
    </row>
    <row r="709" ht="74.5" customHeight="1">
      <c r="A709" t="s" s="36">
        <v>2067</v>
      </c>
      <c r="B709" t="s" s="37">
        <v>118</v>
      </c>
      <c r="C709" t="s" s="37">
        <v>117</v>
      </c>
      <c r="D709" t="s" s="37">
        <v>205</v>
      </c>
      <c r="E709" t="s" s="37">
        <v>630</v>
      </c>
      <c r="F709" t="s" s="37">
        <v>622</v>
      </c>
      <c r="G709" t="s" s="37">
        <v>424</v>
      </c>
      <c r="H709" t="s" s="37">
        <v>2068</v>
      </c>
      <c r="I709" t="s" s="37">
        <v>1772</v>
      </c>
      <c r="J709" t="s" s="37">
        <v>955</v>
      </c>
      <c r="K709" t="s" s="40">
        <v>630</v>
      </c>
      <c r="L709" s="30"/>
    </row>
    <row r="710" ht="74.5" customHeight="1">
      <c r="A710" t="s" s="31">
        <v>2069</v>
      </c>
      <c r="B710" t="s" s="32">
        <v>118</v>
      </c>
      <c r="C710" t="s" s="32">
        <v>117</v>
      </c>
      <c r="D710" t="s" s="32">
        <v>205</v>
      </c>
      <c r="E710" t="s" s="32">
        <v>622</v>
      </c>
      <c r="F710" t="s" s="32">
        <v>618</v>
      </c>
      <c r="G710" t="s" s="32">
        <v>387</v>
      </c>
      <c r="H710" t="s" s="32">
        <v>2070</v>
      </c>
      <c r="I710" t="s" s="32">
        <v>1781</v>
      </c>
      <c r="J710" t="s" s="32">
        <v>946</v>
      </c>
      <c r="K710" t="s" s="35">
        <v>622</v>
      </c>
      <c r="L710" s="30"/>
    </row>
    <row r="711" ht="74.5" customHeight="1">
      <c r="A711" t="s" s="36">
        <v>2071</v>
      </c>
      <c r="B711" t="s" s="37">
        <v>118</v>
      </c>
      <c r="C711" t="s" s="37">
        <v>117</v>
      </c>
      <c r="D711" t="s" s="37">
        <v>205</v>
      </c>
      <c r="E711" t="s" s="37">
        <v>622</v>
      </c>
      <c r="F711" t="s" s="37">
        <v>618</v>
      </c>
      <c r="G711" t="s" s="37">
        <v>400</v>
      </c>
      <c r="H711" t="s" s="37">
        <v>2072</v>
      </c>
      <c r="I711" t="s" s="37">
        <v>1781</v>
      </c>
      <c r="J711" t="s" s="37">
        <v>946</v>
      </c>
      <c r="K711" t="s" s="40">
        <v>622</v>
      </c>
      <c r="L711" s="30"/>
    </row>
    <row r="712" ht="74.5" customHeight="1">
      <c r="A712" t="s" s="31">
        <v>2073</v>
      </c>
      <c r="B712" t="s" s="32">
        <v>118</v>
      </c>
      <c r="C712" t="s" s="32">
        <v>117</v>
      </c>
      <c r="D712" t="s" s="32">
        <v>205</v>
      </c>
      <c r="E712" t="s" s="32">
        <v>622</v>
      </c>
      <c r="F712" t="s" s="32">
        <v>618</v>
      </c>
      <c r="G712" t="s" s="32">
        <v>412</v>
      </c>
      <c r="H712" t="s" s="32">
        <v>2074</v>
      </c>
      <c r="I712" t="s" s="32">
        <v>1781</v>
      </c>
      <c r="J712" t="s" s="32">
        <v>946</v>
      </c>
      <c r="K712" t="s" s="35">
        <v>622</v>
      </c>
      <c r="L712" s="30"/>
    </row>
    <row r="713" ht="74.5" customHeight="1">
      <c r="A713" t="s" s="36">
        <v>2075</v>
      </c>
      <c r="B713" t="s" s="37">
        <v>118</v>
      </c>
      <c r="C713" t="s" s="37">
        <v>117</v>
      </c>
      <c r="D713" t="s" s="37">
        <v>205</v>
      </c>
      <c r="E713" t="s" s="37">
        <v>622</v>
      </c>
      <c r="F713" t="s" s="37">
        <v>618</v>
      </c>
      <c r="G713" t="s" s="37">
        <v>424</v>
      </c>
      <c r="H713" t="s" s="37">
        <v>2076</v>
      </c>
      <c r="I713" t="s" s="37">
        <v>1781</v>
      </c>
      <c r="J713" t="s" s="37">
        <v>946</v>
      </c>
      <c r="K713" t="s" s="40">
        <v>622</v>
      </c>
      <c r="L713" s="30"/>
    </row>
    <row r="714" ht="74.5" customHeight="1">
      <c r="A714" t="s" s="31">
        <v>2077</v>
      </c>
      <c r="B714" t="s" s="32">
        <v>118</v>
      </c>
      <c r="C714" t="s" s="32">
        <v>117</v>
      </c>
      <c r="D714" t="s" s="32">
        <v>205</v>
      </c>
      <c r="E714" t="s" s="32">
        <v>622</v>
      </c>
      <c r="F714" t="s" s="32">
        <v>630</v>
      </c>
      <c r="G714" t="s" s="32">
        <v>387</v>
      </c>
      <c r="H714" t="s" s="32">
        <v>2078</v>
      </c>
      <c r="I714" t="s" s="32">
        <v>1790</v>
      </c>
      <c r="J714" t="s" s="32">
        <v>955</v>
      </c>
      <c r="K714" t="s" s="35">
        <v>630</v>
      </c>
      <c r="L714" s="30"/>
    </row>
    <row r="715" ht="74.5" customHeight="1">
      <c r="A715" t="s" s="36">
        <v>2079</v>
      </c>
      <c r="B715" t="s" s="37">
        <v>118</v>
      </c>
      <c r="C715" t="s" s="37">
        <v>117</v>
      </c>
      <c r="D715" t="s" s="37">
        <v>205</v>
      </c>
      <c r="E715" t="s" s="37">
        <v>622</v>
      </c>
      <c r="F715" t="s" s="37">
        <v>630</v>
      </c>
      <c r="G715" t="s" s="37">
        <v>400</v>
      </c>
      <c r="H715" t="s" s="37">
        <v>2080</v>
      </c>
      <c r="I715" t="s" s="37">
        <v>1790</v>
      </c>
      <c r="J715" t="s" s="37">
        <v>955</v>
      </c>
      <c r="K715" t="s" s="40">
        <v>630</v>
      </c>
      <c r="L715" s="30"/>
    </row>
    <row r="716" ht="74.5" customHeight="1">
      <c r="A716" t="s" s="31">
        <v>2081</v>
      </c>
      <c r="B716" t="s" s="32">
        <v>118</v>
      </c>
      <c r="C716" t="s" s="32">
        <v>117</v>
      </c>
      <c r="D716" t="s" s="32">
        <v>205</v>
      </c>
      <c r="E716" t="s" s="32">
        <v>622</v>
      </c>
      <c r="F716" t="s" s="32">
        <v>630</v>
      </c>
      <c r="G716" t="s" s="32">
        <v>412</v>
      </c>
      <c r="H716" t="s" s="32">
        <v>2082</v>
      </c>
      <c r="I716" t="s" s="32">
        <v>1790</v>
      </c>
      <c r="J716" t="s" s="32">
        <v>955</v>
      </c>
      <c r="K716" t="s" s="35">
        <v>630</v>
      </c>
      <c r="L716" s="30"/>
    </row>
    <row r="717" ht="74.5" customHeight="1">
      <c r="A717" t="s" s="36">
        <v>2083</v>
      </c>
      <c r="B717" t="s" s="37">
        <v>118</v>
      </c>
      <c r="C717" t="s" s="37">
        <v>117</v>
      </c>
      <c r="D717" t="s" s="37">
        <v>205</v>
      </c>
      <c r="E717" t="s" s="37">
        <v>622</v>
      </c>
      <c r="F717" t="s" s="37">
        <v>630</v>
      </c>
      <c r="G717" t="s" s="37">
        <v>424</v>
      </c>
      <c r="H717" t="s" s="37">
        <v>2084</v>
      </c>
      <c r="I717" t="s" s="37">
        <v>1790</v>
      </c>
      <c r="J717" t="s" s="37">
        <v>955</v>
      </c>
      <c r="K717" t="s" s="40">
        <v>630</v>
      </c>
      <c r="L717" s="30"/>
    </row>
    <row r="718" ht="74.5" customHeight="1">
      <c r="A718" t="s" s="31">
        <v>2085</v>
      </c>
      <c r="B718" t="s" s="32">
        <v>118</v>
      </c>
      <c r="C718" t="s" s="32">
        <v>117</v>
      </c>
      <c r="D718" t="s" s="32">
        <v>205</v>
      </c>
      <c r="E718" t="s" s="32">
        <v>622</v>
      </c>
      <c r="F718" t="s" s="32">
        <v>622</v>
      </c>
      <c r="G718" t="s" s="32">
        <v>387</v>
      </c>
      <c r="H718" t="s" s="32">
        <v>2086</v>
      </c>
      <c r="I718" t="s" s="32">
        <v>1790</v>
      </c>
      <c r="J718" t="s" s="32">
        <v>955</v>
      </c>
      <c r="K718" t="s" s="35">
        <v>641</v>
      </c>
      <c r="L718" s="30"/>
    </row>
    <row r="719" ht="74.5" customHeight="1">
      <c r="A719" t="s" s="36">
        <v>2087</v>
      </c>
      <c r="B719" t="s" s="37">
        <v>118</v>
      </c>
      <c r="C719" t="s" s="37">
        <v>117</v>
      </c>
      <c r="D719" t="s" s="37">
        <v>205</v>
      </c>
      <c r="E719" t="s" s="37">
        <v>622</v>
      </c>
      <c r="F719" t="s" s="37">
        <v>622</v>
      </c>
      <c r="G719" t="s" s="37">
        <v>400</v>
      </c>
      <c r="H719" t="s" s="37">
        <v>2088</v>
      </c>
      <c r="I719" t="s" s="37">
        <v>1790</v>
      </c>
      <c r="J719" t="s" s="37">
        <v>955</v>
      </c>
      <c r="K719" t="s" s="40">
        <v>641</v>
      </c>
      <c r="L719" s="30"/>
    </row>
    <row r="720" ht="74.5" customHeight="1">
      <c r="A720" t="s" s="31">
        <v>2089</v>
      </c>
      <c r="B720" t="s" s="32">
        <v>118</v>
      </c>
      <c r="C720" t="s" s="32">
        <v>117</v>
      </c>
      <c r="D720" t="s" s="32">
        <v>205</v>
      </c>
      <c r="E720" t="s" s="32">
        <v>622</v>
      </c>
      <c r="F720" t="s" s="32">
        <v>622</v>
      </c>
      <c r="G720" t="s" s="32">
        <v>412</v>
      </c>
      <c r="H720" t="s" s="32">
        <v>2090</v>
      </c>
      <c r="I720" t="s" s="32">
        <v>1790</v>
      </c>
      <c r="J720" t="s" s="32">
        <v>955</v>
      </c>
      <c r="K720" t="s" s="35">
        <v>641</v>
      </c>
      <c r="L720" s="30"/>
    </row>
    <row r="721" ht="74.5" customHeight="1">
      <c r="A721" t="s" s="36">
        <v>2091</v>
      </c>
      <c r="B721" t="s" s="37">
        <v>118</v>
      </c>
      <c r="C721" t="s" s="37">
        <v>117</v>
      </c>
      <c r="D721" t="s" s="37">
        <v>205</v>
      </c>
      <c r="E721" t="s" s="37">
        <v>622</v>
      </c>
      <c r="F721" t="s" s="37">
        <v>622</v>
      </c>
      <c r="G721" t="s" s="37">
        <v>424</v>
      </c>
      <c r="H721" t="s" s="37">
        <v>2092</v>
      </c>
      <c r="I721" t="s" s="37">
        <v>1790</v>
      </c>
      <c r="J721" t="s" s="37">
        <v>955</v>
      </c>
      <c r="K721" t="s" s="40">
        <v>641</v>
      </c>
      <c r="L721" s="30"/>
    </row>
    <row r="722" ht="74.5" customHeight="1">
      <c r="A722" t="s" s="31">
        <v>2093</v>
      </c>
      <c r="B722" t="s" s="32">
        <v>131</v>
      </c>
      <c r="C722" t="s" s="32">
        <v>130</v>
      </c>
      <c r="D722" t="s" s="32">
        <v>156</v>
      </c>
      <c r="E722" t="s" s="32">
        <v>618</v>
      </c>
      <c r="F722" t="s" s="32">
        <v>618</v>
      </c>
      <c r="G722" t="s" s="32">
        <v>387</v>
      </c>
      <c r="H722" t="s" s="32">
        <v>2094</v>
      </c>
      <c r="I722" t="s" s="32">
        <v>2095</v>
      </c>
      <c r="J722" t="s" s="32">
        <v>621</v>
      </c>
      <c r="K722" t="s" s="35">
        <v>622</v>
      </c>
      <c r="L722" s="30"/>
    </row>
    <row r="723" ht="74.5" customHeight="1">
      <c r="A723" t="s" s="36">
        <v>2096</v>
      </c>
      <c r="B723" t="s" s="37">
        <v>131</v>
      </c>
      <c r="C723" t="s" s="37">
        <v>130</v>
      </c>
      <c r="D723" t="s" s="37">
        <v>156</v>
      </c>
      <c r="E723" t="s" s="37">
        <v>618</v>
      </c>
      <c r="F723" t="s" s="37">
        <v>618</v>
      </c>
      <c r="G723" t="s" s="37">
        <v>400</v>
      </c>
      <c r="H723" t="s" s="37">
        <v>2097</v>
      </c>
      <c r="I723" t="s" s="37">
        <v>2095</v>
      </c>
      <c r="J723" t="s" s="37">
        <v>621</v>
      </c>
      <c r="K723" t="s" s="40">
        <v>622</v>
      </c>
      <c r="L723" s="30"/>
    </row>
    <row r="724" ht="74.5" customHeight="1">
      <c r="A724" t="s" s="31">
        <v>2098</v>
      </c>
      <c r="B724" t="s" s="32">
        <v>131</v>
      </c>
      <c r="C724" t="s" s="32">
        <v>130</v>
      </c>
      <c r="D724" t="s" s="32">
        <v>156</v>
      </c>
      <c r="E724" t="s" s="32">
        <v>618</v>
      </c>
      <c r="F724" t="s" s="32">
        <v>618</v>
      </c>
      <c r="G724" t="s" s="32">
        <v>412</v>
      </c>
      <c r="H724" t="s" s="32">
        <v>2099</v>
      </c>
      <c r="I724" t="s" s="32">
        <v>2095</v>
      </c>
      <c r="J724" t="s" s="32">
        <v>621</v>
      </c>
      <c r="K724" t="s" s="35">
        <v>622</v>
      </c>
      <c r="L724" s="30"/>
    </row>
    <row r="725" ht="74.5" customHeight="1">
      <c r="A725" t="s" s="36">
        <v>2100</v>
      </c>
      <c r="B725" t="s" s="37">
        <v>131</v>
      </c>
      <c r="C725" t="s" s="37">
        <v>130</v>
      </c>
      <c r="D725" t="s" s="37">
        <v>156</v>
      </c>
      <c r="E725" t="s" s="37">
        <v>618</v>
      </c>
      <c r="F725" t="s" s="37">
        <v>618</v>
      </c>
      <c r="G725" t="s" s="37">
        <v>424</v>
      </c>
      <c r="H725" t="s" s="37">
        <v>2101</v>
      </c>
      <c r="I725" t="s" s="37">
        <v>2095</v>
      </c>
      <c r="J725" t="s" s="37">
        <v>621</v>
      </c>
      <c r="K725" t="s" s="40">
        <v>622</v>
      </c>
      <c r="L725" s="30"/>
    </row>
    <row r="726" ht="74.5" customHeight="1">
      <c r="A726" t="s" s="31">
        <v>2102</v>
      </c>
      <c r="B726" t="s" s="32">
        <v>131</v>
      </c>
      <c r="C726" t="s" s="32">
        <v>130</v>
      </c>
      <c r="D726" t="s" s="32">
        <v>156</v>
      </c>
      <c r="E726" t="s" s="32">
        <v>618</v>
      </c>
      <c r="F726" t="s" s="32">
        <v>630</v>
      </c>
      <c r="G726" t="s" s="32">
        <v>387</v>
      </c>
      <c r="H726" t="s" s="32">
        <v>2103</v>
      </c>
      <c r="I726" t="s" s="32">
        <v>2095</v>
      </c>
      <c r="J726" t="s" s="32">
        <v>632</v>
      </c>
      <c r="K726" t="s" s="35">
        <v>622</v>
      </c>
      <c r="L726" s="30"/>
    </row>
    <row r="727" ht="74.5" customHeight="1">
      <c r="A727" t="s" s="36">
        <v>2104</v>
      </c>
      <c r="B727" t="s" s="37">
        <v>131</v>
      </c>
      <c r="C727" t="s" s="37">
        <v>130</v>
      </c>
      <c r="D727" t="s" s="37">
        <v>156</v>
      </c>
      <c r="E727" t="s" s="37">
        <v>618</v>
      </c>
      <c r="F727" t="s" s="37">
        <v>630</v>
      </c>
      <c r="G727" t="s" s="37">
        <v>400</v>
      </c>
      <c r="H727" t="s" s="37">
        <v>2105</v>
      </c>
      <c r="I727" t="s" s="37">
        <v>2095</v>
      </c>
      <c r="J727" t="s" s="37">
        <v>632</v>
      </c>
      <c r="K727" t="s" s="40">
        <v>622</v>
      </c>
      <c r="L727" s="30"/>
    </row>
    <row r="728" ht="74.5" customHeight="1">
      <c r="A728" t="s" s="31">
        <v>2106</v>
      </c>
      <c r="B728" t="s" s="32">
        <v>131</v>
      </c>
      <c r="C728" t="s" s="32">
        <v>130</v>
      </c>
      <c r="D728" t="s" s="32">
        <v>156</v>
      </c>
      <c r="E728" t="s" s="32">
        <v>618</v>
      </c>
      <c r="F728" t="s" s="32">
        <v>630</v>
      </c>
      <c r="G728" t="s" s="32">
        <v>412</v>
      </c>
      <c r="H728" t="s" s="32">
        <v>2107</v>
      </c>
      <c r="I728" t="s" s="32">
        <v>2095</v>
      </c>
      <c r="J728" t="s" s="32">
        <v>632</v>
      </c>
      <c r="K728" t="s" s="35">
        <v>622</v>
      </c>
      <c r="L728" s="30"/>
    </row>
    <row r="729" ht="74.5" customHeight="1">
      <c r="A729" t="s" s="36">
        <v>2108</v>
      </c>
      <c r="B729" t="s" s="37">
        <v>131</v>
      </c>
      <c r="C729" t="s" s="37">
        <v>130</v>
      </c>
      <c r="D729" t="s" s="37">
        <v>156</v>
      </c>
      <c r="E729" t="s" s="37">
        <v>618</v>
      </c>
      <c r="F729" t="s" s="37">
        <v>630</v>
      </c>
      <c r="G729" t="s" s="37">
        <v>424</v>
      </c>
      <c r="H729" t="s" s="37">
        <v>2109</v>
      </c>
      <c r="I729" t="s" s="37">
        <v>2095</v>
      </c>
      <c r="J729" t="s" s="37">
        <v>632</v>
      </c>
      <c r="K729" t="s" s="40">
        <v>622</v>
      </c>
      <c r="L729" s="30"/>
    </row>
    <row r="730" ht="74.5" customHeight="1">
      <c r="A730" t="s" s="31">
        <v>2110</v>
      </c>
      <c r="B730" t="s" s="32">
        <v>131</v>
      </c>
      <c r="C730" t="s" s="32">
        <v>130</v>
      </c>
      <c r="D730" t="s" s="32">
        <v>156</v>
      </c>
      <c r="E730" t="s" s="32">
        <v>618</v>
      </c>
      <c r="F730" t="s" s="32">
        <v>622</v>
      </c>
      <c r="G730" t="s" s="32">
        <v>387</v>
      </c>
      <c r="H730" t="s" s="32">
        <v>2111</v>
      </c>
      <c r="I730" t="s" s="32">
        <v>2095</v>
      </c>
      <c r="J730" t="s" s="32">
        <v>632</v>
      </c>
      <c r="K730" t="s" s="35">
        <v>641</v>
      </c>
      <c r="L730" s="30"/>
    </row>
    <row r="731" ht="74.5" customHeight="1">
      <c r="A731" t="s" s="36">
        <v>2112</v>
      </c>
      <c r="B731" t="s" s="37">
        <v>131</v>
      </c>
      <c r="C731" t="s" s="37">
        <v>130</v>
      </c>
      <c r="D731" t="s" s="37">
        <v>156</v>
      </c>
      <c r="E731" t="s" s="37">
        <v>618</v>
      </c>
      <c r="F731" t="s" s="37">
        <v>622</v>
      </c>
      <c r="G731" t="s" s="37">
        <v>400</v>
      </c>
      <c r="H731" t="s" s="37">
        <v>2113</v>
      </c>
      <c r="I731" t="s" s="37">
        <v>2095</v>
      </c>
      <c r="J731" t="s" s="37">
        <v>632</v>
      </c>
      <c r="K731" t="s" s="40">
        <v>641</v>
      </c>
      <c r="L731" s="30"/>
    </row>
    <row r="732" ht="74.5" customHeight="1">
      <c r="A732" t="s" s="31">
        <v>2114</v>
      </c>
      <c r="B732" t="s" s="32">
        <v>131</v>
      </c>
      <c r="C732" t="s" s="32">
        <v>130</v>
      </c>
      <c r="D732" t="s" s="32">
        <v>156</v>
      </c>
      <c r="E732" t="s" s="32">
        <v>618</v>
      </c>
      <c r="F732" t="s" s="32">
        <v>622</v>
      </c>
      <c r="G732" t="s" s="32">
        <v>412</v>
      </c>
      <c r="H732" t="s" s="32">
        <v>2115</v>
      </c>
      <c r="I732" t="s" s="32">
        <v>2095</v>
      </c>
      <c r="J732" t="s" s="32">
        <v>632</v>
      </c>
      <c r="K732" t="s" s="35">
        <v>641</v>
      </c>
      <c r="L732" s="30"/>
    </row>
    <row r="733" ht="74.5" customHeight="1">
      <c r="A733" t="s" s="36">
        <v>2116</v>
      </c>
      <c r="B733" t="s" s="37">
        <v>131</v>
      </c>
      <c r="C733" t="s" s="37">
        <v>130</v>
      </c>
      <c r="D733" t="s" s="37">
        <v>156</v>
      </c>
      <c r="E733" t="s" s="37">
        <v>618</v>
      </c>
      <c r="F733" t="s" s="37">
        <v>622</v>
      </c>
      <c r="G733" t="s" s="37">
        <v>424</v>
      </c>
      <c r="H733" t="s" s="37">
        <v>2117</v>
      </c>
      <c r="I733" t="s" s="37">
        <v>2095</v>
      </c>
      <c r="J733" t="s" s="37">
        <v>632</v>
      </c>
      <c r="K733" t="s" s="40">
        <v>641</v>
      </c>
      <c r="L733" s="30"/>
    </row>
    <row r="734" ht="74.5" customHeight="1">
      <c r="A734" t="s" s="31">
        <v>2118</v>
      </c>
      <c r="B734" t="s" s="32">
        <v>131</v>
      </c>
      <c r="C734" t="s" s="32">
        <v>130</v>
      </c>
      <c r="D734" t="s" s="32">
        <v>156</v>
      </c>
      <c r="E734" t="s" s="32">
        <v>630</v>
      </c>
      <c r="F734" t="s" s="32">
        <v>618</v>
      </c>
      <c r="G734" t="s" s="32">
        <v>387</v>
      </c>
      <c r="H734" t="s" s="32">
        <v>2119</v>
      </c>
      <c r="I734" t="s" s="32">
        <v>2120</v>
      </c>
      <c r="J734" t="s" s="32">
        <v>651</v>
      </c>
      <c r="K734" t="s" s="35">
        <v>622</v>
      </c>
      <c r="L734" s="30"/>
    </row>
    <row r="735" ht="74.5" customHeight="1">
      <c r="A735" t="s" s="36">
        <v>2121</v>
      </c>
      <c r="B735" t="s" s="37">
        <v>131</v>
      </c>
      <c r="C735" t="s" s="37">
        <v>130</v>
      </c>
      <c r="D735" t="s" s="37">
        <v>156</v>
      </c>
      <c r="E735" t="s" s="37">
        <v>630</v>
      </c>
      <c r="F735" t="s" s="37">
        <v>618</v>
      </c>
      <c r="G735" t="s" s="37">
        <v>400</v>
      </c>
      <c r="H735" t="s" s="37">
        <v>2122</v>
      </c>
      <c r="I735" t="s" s="37">
        <v>2120</v>
      </c>
      <c r="J735" t="s" s="37">
        <v>651</v>
      </c>
      <c r="K735" t="s" s="40">
        <v>622</v>
      </c>
      <c r="L735" s="30"/>
    </row>
    <row r="736" ht="74.5" customHeight="1">
      <c r="A736" t="s" s="31">
        <v>2123</v>
      </c>
      <c r="B736" t="s" s="32">
        <v>131</v>
      </c>
      <c r="C736" t="s" s="32">
        <v>130</v>
      </c>
      <c r="D736" t="s" s="32">
        <v>156</v>
      </c>
      <c r="E736" t="s" s="32">
        <v>630</v>
      </c>
      <c r="F736" t="s" s="32">
        <v>618</v>
      </c>
      <c r="G736" t="s" s="32">
        <v>412</v>
      </c>
      <c r="H736" t="s" s="32">
        <v>2124</v>
      </c>
      <c r="I736" t="s" s="32">
        <v>2120</v>
      </c>
      <c r="J736" t="s" s="32">
        <v>651</v>
      </c>
      <c r="K736" t="s" s="35">
        <v>622</v>
      </c>
      <c r="L736" s="30"/>
    </row>
    <row r="737" ht="74.5" customHeight="1">
      <c r="A737" t="s" s="36">
        <v>2125</v>
      </c>
      <c r="B737" t="s" s="37">
        <v>131</v>
      </c>
      <c r="C737" t="s" s="37">
        <v>130</v>
      </c>
      <c r="D737" t="s" s="37">
        <v>156</v>
      </c>
      <c r="E737" t="s" s="37">
        <v>630</v>
      </c>
      <c r="F737" t="s" s="37">
        <v>618</v>
      </c>
      <c r="G737" t="s" s="37">
        <v>424</v>
      </c>
      <c r="H737" t="s" s="37">
        <v>2126</v>
      </c>
      <c r="I737" t="s" s="37">
        <v>2120</v>
      </c>
      <c r="J737" t="s" s="37">
        <v>651</v>
      </c>
      <c r="K737" t="s" s="40">
        <v>622</v>
      </c>
      <c r="L737" s="30"/>
    </row>
    <row r="738" ht="74.5" customHeight="1">
      <c r="A738" t="s" s="31">
        <v>2127</v>
      </c>
      <c r="B738" t="s" s="32">
        <v>131</v>
      </c>
      <c r="C738" t="s" s="32">
        <v>130</v>
      </c>
      <c r="D738" t="s" s="32">
        <v>156</v>
      </c>
      <c r="E738" t="s" s="32">
        <v>630</v>
      </c>
      <c r="F738" t="s" s="32">
        <v>630</v>
      </c>
      <c r="G738" t="s" s="32">
        <v>387</v>
      </c>
      <c r="H738" t="s" s="32">
        <v>2128</v>
      </c>
      <c r="I738" t="s" s="32">
        <v>2120</v>
      </c>
      <c r="J738" t="s" s="32">
        <v>660</v>
      </c>
      <c r="K738" t="s" s="35">
        <v>630</v>
      </c>
      <c r="L738" s="30"/>
    </row>
    <row r="739" ht="74.5" customHeight="1">
      <c r="A739" t="s" s="36">
        <v>2129</v>
      </c>
      <c r="B739" t="s" s="37">
        <v>131</v>
      </c>
      <c r="C739" t="s" s="37">
        <v>130</v>
      </c>
      <c r="D739" t="s" s="37">
        <v>156</v>
      </c>
      <c r="E739" t="s" s="37">
        <v>630</v>
      </c>
      <c r="F739" t="s" s="37">
        <v>630</v>
      </c>
      <c r="G739" t="s" s="37">
        <v>400</v>
      </c>
      <c r="H739" t="s" s="37">
        <v>2130</v>
      </c>
      <c r="I739" t="s" s="37">
        <v>2120</v>
      </c>
      <c r="J739" t="s" s="37">
        <v>660</v>
      </c>
      <c r="K739" t="s" s="40">
        <v>630</v>
      </c>
      <c r="L739" s="30"/>
    </row>
    <row r="740" ht="74.5" customHeight="1">
      <c r="A740" t="s" s="31">
        <v>2131</v>
      </c>
      <c r="B740" t="s" s="32">
        <v>131</v>
      </c>
      <c r="C740" t="s" s="32">
        <v>130</v>
      </c>
      <c r="D740" t="s" s="32">
        <v>156</v>
      </c>
      <c r="E740" t="s" s="32">
        <v>630</v>
      </c>
      <c r="F740" t="s" s="32">
        <v>630</v>
      </c>
      <c r="G740" t="s" s="32">
        <v>412</v>
      </c>
      <c r="H740" t="s" s="32">
        <v>2132</v>
      </c>
      <c r="I740" t="s" s="32">
        <v>2120</v>
      </c>
      <c r="J740" t="s" s="32">
        <v>660</v>
      </c>
      <c r="K740" t="s" s="35">
        <v>630</v>
      </c>
      <c r="L740" s="30"/>
    </row>
    <row r="741" ht="74.5" customHeight="1">
      <c r="A741" t="s" s="36">
        <v>2133</v>
      </c>
      <c r="B741" t="s" s="37">
        <v>131</v>
      </c>
      <c r="C741" t="s" s="37">
        <v>130</v>
      </c>
      <c r="D741" t="s" s="37">
        <v>156</v>
      </c>
      <c r="E741" t="s" s="37">
        <v>630</v>
      </c>
      <c r="F741" t="s" s="37">
        <v>630</v>
      </c>
      <c r="G741" t="s" s="37">
        <v>424</v>
      </c>
      <c r="H741" t="s" s="37">
        <v>2134</v>
      </c>
      <c r="I741" t="s" s="37">
        <v>2120</v>
      </c>
      <c r="J741" t="s" s="37">
        <v>660</v>
      </c>
      <c r="K741" t="s" s="40">
        <v>630</v>
      </c>
      <c r="L741" s="30"/>
    </row>
    <row r="742" ht="74.5" customHeight="1">
      <c r="A742" t="s" s="31">
        <v>2135</v>
      </c>
      <c r="B742" t="s" s="32">
        <v>131</v>
      </c>
      <c r="C742" t="s" s="32">
        <v>130</v>
      </c>
      <c r="D742" t="s" s="32">
        <v>156</v>
      </c>
      <c r="E742" t="s" s="32">
        <v>630</v>
      </c>
      <c r="F742" t="s" s="32">
        <v>622</v>
      </c>
      <c r="G742" t="s" s="32">
        <v>387</v>
      </c>
      <c r="H742" t="s" s="32">
        <v>2136</v>
      </c>
      <c r="I742" t="s" s="32">
        <v>2137</v>
      </c>
      <c r="J742" t="s" s="32">
        <v>660</v>
      </c>
      <c r="K742" t="s" s="35">
        <v>630</v>
      </c>
      <c r="L742" s="30"/>
    </row>
    <row r="743" ht="74.5" customHeight="1">
      <c r="A743" t="s" s="36">
        <v>2138</v>
      </c>
      <c r="B743" t="s" s="37">
        <v>131</v>
      </c>
      <c r="C743" t="s" s="37">
        <v>130</v>
      </c>
      <c r="D743" t="s" s="37">
        <v>156</v>
      </c>
      <c r="E743" t="s" s="37">
        <v>630</v>
      </c>
      <c r="F743" t="s" s="37">
        <v>622</v>
      </c>
      <c r="G743" t="s" s="37">
        <v>400</v>
      </c>
      <c r="H743" t="s" s="37">
        <v>2139</v>
      </c>
      <c r="I743" t="s" s="37">
        <v>2137</v>
      </c>
      <c r="J743" t="s" s="37">
        <v>660</v>
      </c>
      <c r="K743" t="s" s="40">
        <v>630</v>
      </c>
      <c r="L743" s="30"/>
    </row>
    <row r="744" ht="74.5" customHeight="1">
      <c r="A744" t="s" s="31">
        <v>2140</v>
      </c>
      <c r="B744" t="s" s="32">
        <v>131</v>
      </c>
      <c r="C744" t="s" s="32">
        <v>130</v>
      </c>
      <c r="D744" t="s" s="32">
        <v>156</v>
      </c>
      <c r="E744" t="s" s="32">
        <v>630</v>
      </c>
      <c r="F744" t="s" s="32">
        <v>622</v>
      </c>
      <c r="G744" t="s" s="32">
        <v>412</v>
      </c>
      <c r="H744" t="s" s="32">
        <v>2141</v>
      </c>
      <c r="I744" t="s" s="32">
        <v>2137</v>
      </c>
      <c r="J744" t="s" s="32">
        <v>660</v>
      </c>
      <c r="K744" t="s" s="35">
        <v>630</v>
      </c>
      <c r="L744" s="30"/>
    </row>
    <row r="745" ht="74.5" customHeight="1">
      <c r="A745" t="s" s="36">
        <v>2142</v>
      </c>
      <c r="B745" t="s" s="37">
        <v>131</v>
      </c>
      <c r="C745" t="s" s="37">
        <v>130</v>
      </c>
      <c r="D745" t="s" s="37">
        <v>156</v>
      </c>
      <c r="E745" t="s" s="37">
        <v>630</v>
      </c>
      <c r="F745" t="s" s="37">
        <v>622</v>
      </c>
      <c r="G745" t="s" s="37">
        <v>424</v>
      </c>
      <c r="H745" t="s" s="37">
        <v>2143</v>
      </c>
      <c r="I745" t="s" s="37">
        <v>2137</v>
      </c>
      <c r="J745" t="s" s="37">
        <v>660</v>
      </c>
      <c r="K745" t="s" s="40">
        <v>630</v>
      </c>
      <c r="L745" s="30"/>
    </row>
    <row r="746" ht="74.5" customHeight="1">
      <c r="A746" t="s" s="31">
        <v>2144</v>
      </c>
      <c r="B746" t="s" s="32">
        <v>131</v>
      </c>
      <c r="C746" t="s" s="32">
        <v>130</v>
      </c>
      <c r="D746" t="s" s="32">
        <v>156</v>
      </c>
      <c r="E746" t="s" s="32">
        <v>622</v>
      </c>
      <c r="F746" t="s" s="32">
        <v>618</v>
      </c>
      <c r="G746" t="s" s="32">
        <v>387</v>
      </c>
      <c r="H746" t="s" s="32">
        <v>2145</v>
      </c>
      <c r="I746" t="s" s="32">
        <v>2146</v>
      </c>
      <c r="J746" t="s" s="32">
        <v>651</v>
      </c>
      <c r="K746" t="s" s="35">
        <v>622</v>
      </c>
      <c r="L746" s="30"/>
    </row>
    <row r="747" ht="74.5" customHeight="1">
      <c r="A747" t="s" s="36">
        <v>2147</v>
      </c>
      <c r="B747" t="s" s="37">
        <v>131</v>
      </c>
      <c r="C747" t="s" s="37">
        <v>130</v>
      </c>
      <c r="D747" t="s" s="37">
        <v>156</v>
      </c>
      <c r="E747" t="s" s="37">
        <v>622</v>
      </c>
      <c r="F747" t="s" s="37">
        <v>618</v>
      </c>
      <c r="G747" t="s" s="37">
        <v>400</v>
      </c>
      <c r="H747" t="s" s="37">
        <v>2148</v>
      </c>
      <c r="I747" t="s" s="37">
        <v>2146</v>
      </c>
      <c r="J747" t="s" s="37">
        <v>651</v>
      </c>
      <c r="K747" t="s" s="40">
        <v>622</v>
      </c>
      <c r="L747" s="30"/>
    </row>
    <row r="748" ht="74.5" customHeight="1">
      <c r="A748" t="s" s="31">
        <v>2149</v>
      </c>
      <c r="B748" t="s" s="32">
        <v>131</v>
      </c>
      <c r="C748" t="s" s="32">
        <v>130</v>
      </c>
      <c r="D748" t="s" s="32">
        <v>156</v>
      </c>
      <c r="E748" t="s" s="32">
        <v>622</v>
      </c>
      <c r="F748" t="s" s="32">
        <v>618</v>
      </c>
      <c r="G748" t="s" s="32">
        <v>412</v>
      </c>
      <c r="H748" t="s" s="32">
        <v>2150</v>
      </c>
      <c r="I748" t="s" s="32">
        <v>2146</v>
      </c>
      <c r="J748" t="s" s="32">
        <v>651</v>
      </c>
      <c r="K748" t="s" s="35">
        <v>622</v>
      </c>
      <c r="L748" s="30"/>
    </row>
    <row r="749" ht="74.5" customHeight="1">
      <c r="A749" t="s" s="36">
        <v>2151</v>
      </c>
      <c r="B749" t="s" s="37">
        <v>131</v>
      </c>
      <c r="C749" t="s" s="37">
        <v>130</v>
      </c>
      <c r="D749" t="s" s="37">
        <v>156</v>
      </c>
      <c r="E749" t="s" s="37">
        <v>622</v>
      </c>
      <c r="F749" t="s" s="37">
        <v>618</v>
      </c>
      <c r="G749" t="s" s="37">
        <v>424</v>
      </c>
      <c r="H749" t="s" s="37">
        <v>2152</v>
      </c>
      <c r="I749" t="s" s="37">
        <v>2146</v>
      </c>
      <c r="J749" t="s" s="37">
        <v>651</v>
      </c>
      <c r="K749" t="s" s="40">
        <v>622</v>
      </c>
      <c r="L749" s="30"/>
    </row>
    <row r="750" ht="74.5" customHeight="1">
      <c r="A750" t="s" s="31">
        <v>2153</v>
      </c>
      <c r="B750" t="s" s="32">
        <v>131</v>
      </c>
      <c r="C750" t="s" s="32">
        <v>130</v>
      </c>
      <c r="D750" t="s" s="32">
        <v>156</v>
      </c>
      <c r="E750" t="s" s="32">
        <v>622</v>
      </c>
      <c r="F750" t="s" s="32">
        <v>630</v>
      </c>
      <c r="G750" t="s" s="32">
        <v>387</v>
      </c>
      <c r="H750" t="s" s="32">
        <v>2154</v>
      </c>
      <c r="I750" t="s" s="32">
        <v>2155</v>
      </c>
      <c r="J750" t="s" s="32">
        <v>660</v>
      </c>
      <c r="K750" t="s" s="35">
        <v>630</v>
      </c>
      <c r="L750" s="30"/>
    </row>
    <row r="751" ht="74.5" customHeight="1">
      <c r="A751" t="s" s="36">
        <v>2156</v>
      </c>
      <c r="B751" t="s" s="37">
        <v>131</v>
      </c>
      <c r="C751" t="s" s="37">
        <v>130</v>
      </c>
      <c r="D751" t="s" s="37">
        <v>156</v>
      </c>
      <c r="E751" t="s" s="37">
        <v>622</v>
      </c>
      <c r="F751" t="s" s="37">
        <v>630</v>
      </c>
      <c r="G751" t="s" s="37">
        <v>400</v>
      </c>
      <c r="H751" t="s" s="37">
        <v>2157</v>
      </c>
      <c r="I751" t="s" s="37">
        <v>2155</v>
      </c>
      <c r="J751" t="s" s="37">
        <v>660</v>
      </c>
      <c r="K751" t="s" s="40">
        <v>630</v>
      </c>
      <c r="L751" s="30"/>
    </row>
    <row r="752" ht="74.5" customHeight="1">
      <c r="A752" t="s" s="31">
        <v>2158</v>
      </c>
      <c r="B752" t="s" s="32">
        <v>131</v>
      </c>
      <c r="C752" t="s" s="32">
        <v>130</v>
      </c>
      <c r="D752" t="s" s="32">
        <v>156</v>
      </c>
      <c r="E752" t="s" s="32">
        <v>622</v>
      </c>
      <c r="F752" t="s" s="32">
        <v>630</v>
      </c>
      <c r="G752" t="s" s="32">
        <v>412</v>
      </c>
      <c r="H752" t="s" s="32">
        <v>2159</v>
      </c>
      <c r="I752" t="s" s="32">
        <v>2155</v>
      </c>
      <c r="J752" t="s" s="32">
        <v>660</v>
      </c>
      <c r="K752" t="s" s="35">
        <v>630</v>
      </c>
      <c r="L752" s="30"/>
    </row>
    <row r="753" ht="74.5" customHeight="1">
      <c r="A753" t="s" s="36">
        <v>2160</v>
      </c>
      <c r="B753" t="s" s="37">
        <v>131</v>
      </c>
      <c r="C753" t="s" s="37">
        <v>130</v>
      </c>
      <c r="D753" t="s" s="37">
        <v>156</v>
      </c>
      <c r="E753" t="s" s="37">
        <v>622</v>
      </c>
      <c r="F753" t="s" s="37">
        <v>630</v>
      </c>
      <c r="G753" t="s" s="37">
        <v>424</v>
      </c>
      <c r="H753" t="s" s="37">
        <v>2161</v>
      </c>
      <c r="I753" t="s" s="37">
        <v>2155</v>
      </c>
      <c r="J753" t="s" s="37">
        <v>660</v>
      </c>
      <c r="K753" t="s" s="40">
        <v>630</v>
      </c>
      <c r="L753" s="30"/>
    </row>
    <row r="754" ht="74.5" customHeight="1">
      <c r="A754" t="s" s="31">
        <v>2162</v>
      </c>
      <c r="B754" t="s" s="32">
        <v>131</v>
      </c>
      <c r="C754" t="s" s="32">
        <v>130</v>
      </c>
      <c r="D754" t="s" s="32">
        <v>156</v>
      </c>
      <c r="E754" t="s" s="32">
        <v>622</v>
      </c>
      <c r="F754" t="s" s="32">
        <v>622</v>
      </c>
      <c r="G754" t="s" s="32">
        <v>387</v>
      </c>
      <c r="H754" t="s" s="32">
        <v>2163</v>
      </c>
      <c r="I754" t="s" s="32">
        <v>2155</v>
      </c>
      <c r="J754" t="s" s="32">
        <v>660</v>
      </c>
      <c r="K754" t="s" s="35">
        <v>641</v>
      </c>
      <c r="L754" s="30"/>
    </row>
    <row r="755" ht="74.5" customHeight="1">
      <c r="A755" t="s" s="36">
        <v>2164</v>
      </c>
      <c r="B755" t="s" s="37">
        <v>131</v>
      </c>
      <c r="C755" t="s" s="37">
        <v>130</v>
      </c>
      <c r="D755" t="s" s="37">
        <v>156</v>
      </c>
      <c r="E755" t="s" s="37">
        <v>622</v>
      </c>
      <c r="F755" t="s" s="37">
        <v>622</v>
      </c>
      <c r="G755" t="s" s="37">
        <v>400</v>
      </c>
      <c r="H755" t="s" s="37">
        <v>2165</v>
      </c>
      <c r="I755" t="s" s="37">
        <v>2155</v>
      </c>
      <c r="J755" t="s" s="37">
        <v>660</v>
      </c>
      <c r="K755" t="s" s="40">
        <v>641</v>
      </c>
      <c r="L755" s="30"/>
    </row>
    <row r="756" ht="74.5" customHeight="1">
      <c r="A756" t="s" s="31">
        <v>2166</v>
      </c>
      <c r="B756" t="s" s="32">
        <v>131</v>
      </c>
      <c r="C756" t="s" s="32">
        <v>130</v>
      </c>
      <c r="D756" t="s" s="32">
        <v>156</v>
      </c>
      <c r="E756" t="s" s="32">
        <v>622</v>
      </c>
      <c r="F756" t="s" s="32">
        <v>622</v>
      </c>
      <c r="G756" t="s" s="32">
        <v>412</v>
      </c>
      <c r="H756" t="s" s="32">
        <v>2167</v>
      </c>
      <c r="I756" t="s" s="32">
        <v>2155</v>
      </c>
      <c r="J756" t="s" s="32">
        <v>660</v>
      </c>
      <c r="K756" t="s" s="35">
        <v>641</v>
      </c>
      <c r="L756" s="30"/>
    </row>
    <row r="757" ht="74.5" customHeight="1">
      <c r="A757" t="s" s="36">
        <v>2168</v>
      </c>
      <c r="B757" t="s" s="37">
        <v>131</v>
      </c>
      <c r="C757" t="s" s="37">
        <v>130</v>
      </c>
      <c r="D757" t="s" s="37">
        <v>156</v>
      </c>
      <c r="E757" t="s" s="37">
        <v>622</v>
      </c>
      <c r="F757" t="s" s="37">
        <v>622</v>
      </c>
      <c r="G757" t="s" s="37">
        <v>424</v>
      </c>
      <c r="H757" t="s" s="37">
        <v>2169</v>
      </c>
      <c r="I757" t="s" s="37">
        <v>2155</v>
      </c>
      <c r="J757" t="s" s="37">
        <v>660</v>
      </c>
      <c r="K757" t="s" s="40">
        <v>641</v>
      </c>
      <c r="L757" s="30"/>
    </row>
    <row r="758" ht="74.5" customHeight="1">
      <c r="A758" t="s" s="31">
        <v>2170</v>
      </c>
      <c r="B758" t="s" s="32">
        <v>131</v>
      </c>
      <c r="C758" t="s" s="32">
        <v>130</v>
      </c>
      <c r="D758" t="s" s="32">
        <v>169</v>
      </c>
      <c r="E758" t="s" s="32">
        <v>618</v>
      </c>
      <c r="F758" t="s" s="32">
        <v>618</v>
      </c>
      <c r="G758" t="s" s="32">
        <v>387</v>
      </c>
      <c r="H758" t="s" s="32">
        <v>2171</v>
      </c>
      <c r="I758" t="s" s="32">
        <v>2095</v>
      </c>
      <c r="J758" t="s" s="32">
        <v>621</v>
      </c>
      <c r="K758" t="s" s="35">
        <v>622</v>
      </c>
      <c r="L758" s="30"/>
    </row>
    <row r="759" ht="74.5" customHeight="1">
      <c r="A759" t="s" s="36">
        <v>2172</v>
      </c>
      <c r="B759" t="s" s="37">
        <v>131</v>
      </c>
      <c r="C759" t="s" s="37">
        <v>130</v>
      </c>
      <c r="D759" t="s" s="37">
        <v>169</v>
      </c>
      <c r="E759" t="s" s="37">
        <v>618</v>
      </c>
      <c r="F759" t="s" s="37">
        <v>618</v>
      </c>
      <c r="G759" t="s" s="37">
        <v>400</v>
      </c>
      <c r="H759" t="s" s="37">
        <v>2173</v>
      </c>
      <c r="I759" t="s" s="37">
        <v>2095</v>
      </c>
      <c r="J759" t="s" s="37">
        <v>621</v>
      </c>
      <c r="K759" t="s" s="40">
        <v>622</v>
      </c>
      <c r="L759" s="30"/>
    </row>
    <row r="760" ht="74.5" customHeight="1">
      <c r="A760" t="s" s="31">
        <v>2174</v>
      </c>
      <c r="B760" t="s" s="32">
        <v>131</v>
      </c>
      <c r="C760" t="s" s="32">
        <v>130</v>
      </c>
      <c r="D760" t="s" s="32">
        <v>169</v>
      </c>
      <c r="E760" t="s" s="32">
        <v>618</v>
      </c>
      <c r="F760" t="s" s="32">
        <v>618</v>
      </c>
      <c r="G760" t="s" s="32">
        <v>412</v>
      </c>
      <c r="H760" t="s" s="32">
        <v>2175</v>
      </c>
      <c r="I760" t="s" s="32">
        <v>2095</v>
      </c>
      <c r="J760" t="s" s="32">
        <v>621</v>
      </c>
      <c r="K760" t="s" s="35">
        <v>622</v>
      </c>
      <c r="L760" s="30"/>
    </row>
    <row r="761" ht="74.5" customHeight="1">
      <c r="A761" t="s" s="36">
        <v>2176</v>
      </c>
      <c r="B761" t="s" s="37">
        <v>131</v>
      </c>
      <c r="C761" t="s" s="37">
        <v>130</v>
      </c>
      <c r="D761" t="s" s="37">
        <v>169</v>
      </c>
      <c r="E761" t="s" s="37">
        <v>618</v>
      </c>
      <c r="F761" t="s" s="37">
        <v>618</v>
      </c>
      <c r="G761" t="s" s="37">
        <v>424</v>
      </c>
      <c r="H761" t="s" s="37">
        <v>2177</v>
      </c>
      <c r="I761" t="s" s="37">
        <v>2095</v>
      </c>
      <c r="J761" t="s" s="37">
        <v>621</v>
      </c>
      <c r="K761" t="s" s="40">
        <v>622</v>
      </c>
      <c r="L761" s="30"/>
    </row>
    <row r="762" ht="74.5" customHeight="1">
      <c r="A762" t="s" s="31">
        <v>2178</v>
      </c>
      <c r="B762" t="s" s="32">
        <v>131</v>
      </c>
      <c r="C762" t="s" s="32">
        <v>130</v>
      </c>
      <c r="D762" t="s" s="32">
        <v>169</v>
      </c>
      <c r="E762" t="s" s="32">
        <v>618</v>
      </c>
      <c r="F762" t="s" s="32">
        <v>630</v>
      </c>
      <c r="G762" t="s" s="32">
        <v>387</v>
      </c>
      <c r="H762" t="s" s="32">
        <v>2179</v>
      </c>
      <c r="I762" t="s" s="32">
        <v>2095</v>
      </c>
      <c r="J762" t="s" s="32">
        <v>632</v>
      </c>
      <c r="K762" t="s" s="35">
        <v>622</v>
      </c>
      <c r="L762" s="30"/>
    </row>
    <row r="763" ht="74.5" customHeight="1">
      <c r="A763" t="s" s="36">
        <v>2180</v>
      </c>
      <c r="B763" t="s" s="37">
        <v>131</v>
      </c>
      <c r="C763" t="s" s="37">
        <v>130</v>
      </c>
      <c r="D763" t="s" s="37">
        <v>169</v>
      </c>
      <c r="E763" t="s" s="37">
        <v>618</v>
      </c>
      <c r="F763" t="s" s="37">
        <v>630</v>
      </c>
      <c r="G763" t="s" s="37">
        <v>400</v>
      </c>
      <c r="H763" t="s" s="37">
        <v>2181</v>
      </c>
      <c r="I763" t="s" s="37">
        <v>2095</v>
      </c>
      <c r="J763" t="s" s="37">
        <v>632</v>
      </c>
      <c r="K763" t="s" s="40">
        <v>622</v>
      </c>
      <c r="L763" s="30"/>
    </row>
    <row r="764" ht="74.5" customHeight="1">
      <c r="A764" t="s" s="31">
        <v>2182</v>
      </c>
      <c r="B764" t="s" s="32">
        <v>131</v>
      </c>
      <c r="C764" t="s" s="32">
        <v>130</v>
      </c>
      <c r="D764" t="s" s="32">
        <v>169</v>
      </c>
      <c r="E764" t="s" s="32">
        <v>618</v>
      </c>
      <c r="F764" t="s" s="32">
        <v>630</v>
      </c>
      <c r="G764" t="s" s="32">
        <v>412</v>
      </c>
      <c r="H764" t="s" s="32">
        <v>2183</v>
      </c>
      <c r="I764" t="s" s="32">
        <v>2095</v>
      </c>
      <c r="J764" t="s" s="32">
        <v>632</v>
      </c>
      <c r="K764" t="s" s="35">
        <v>622</v>
      </c>
      <c r="L764" s="30"/>
    </row>
    <row r="765" ht="74.5" customHeight="1">
      <c r="A765" t="s" s="36">
        <v>2184</v>
      </c>
      <c r="B765" t="s" s="37">
        <v>131</v>
      </c>
      <c r="C765" t="s" s="37">
        <v>130</v>
      </c>
      <c r="D765" t="s" s="37">
        <v>169</v>
      </c>
      <c r="E765" t="s" s="37">
        <v>618</v>
      </c>
      <c r="F765" t="s" s="37">
        <v>630</v>
      </c>
      <c r="G765" t="s" s="37">
        <v>424</v>
      </c>
      <c r="H765" t="s" s="37">
        <v>2185</v>
      </c>
      <c r="I765" t="s" s="37">
        <v>2095</v>
      </c>
      <c r="J765" t="s" s="37">
        <v>632</v>
      </c>
      <c r="K765" t="s" s="40">
        <v>622</v>
      </c>
      <c r="L765" s="30"/>
    </row>
    <row r="766" ht="74.5" customHeight="1">
      <c r="A766" t="s" s="31">
        <v>2186</v>
      </c>
      <c r="B766" t="s" s="32">
        <v>131</v>
      </c>
      <c r="C766" t="s" s="32">
        <v>130</v>
      </c>
      <c r="D766" t="s" s="32">
        <v>169</v>
      </c>
      <c r="E766" t="s" s="32">
        <v>618</v>
      </c>
      <c r="F766" t="s" s="32">
        <v>622</v>
      </c>
      <c r="G766" t="s" s="32">
        <v>387</v>
      </c>
      <c r="H766" t="s" s="32">
        <v>2187</v>
      </c>
      <c r="I766" t="s" s="32">
        <v>2095</v>
      </c>
      <c r="J766" t="s" s="32">
        <v>632</v>
      </c>
      <c r="K766" t="s" s="35">
        <v>641</v>
      </c>
      <c r="L766" s="30"/>
    </row>
    <row r="767" ht="74.5" customHeight="1">
      <c r="A767" t="s" s="36">
        <v>2188</v>
      </c>
      <c r="B767" t="s" s="37">
        <v>131</v>
      </c>
      <c r="C767" t="s" s="37">
        <v>130</v>
      </c>
      <c r="D767" t="s" s="37">
        <v>169</v>
      </c>
      <c r="E767" t="s" s="37">
        <v>618</v>
      </c>
      <c r="F767" t="s" s="37">
        <v>622</v>
      </c>
      <c r="G767" t="s" s="37">
        <v>400</v>
      </c>
      <c r="H767" t="s" s="37">
        <v>2189</v>
      </c>
      <c r="I767" t="s" s="37">
        <v>2095</v>
      </c>
      <c r="J767" t="s" s="37">
        <v>632</v>
      </c>
      <c r="K767" t="s" s="40">
        <v>641</v>
      </c>
      <c r="L767" s="30"/>
    </row>
    <row r="768" ht="74.5" customHeight="1">
      <c r="A768" t="s" s="31">
        <v>2190</v>
      </c>
      <c r="B768" t="s" s="32">
        <v>131</v>
      </c>
      <c r="C768" t="s" s="32">
        <v>130</v>
      </c>
      <c r="D768" t="s" s="32">
        <v>169</v>
      </c>
      <c r="E768" t="s" s="32">
        <v>618</v>
      </c>
      <c r="F768" t="s" s="32">
        <v>622</v>
      </c>
      <c r="G768" t="s" s="32">
        <v>412</v>
      </c>
      <c r="H768" t="s" s="32">
        <v>2191</v>
      </c>
      <c r="I768" t="s" s="32">
        <v>2095</v>
      </c>
      <c r="J768" t="s" s="32">
        <v>632</v>
      </c>
      <c r="K768" t="s" s="35">
        <v>641</v>
      </c>
      <c r="L768" s="30"/>
    </row>
    <row r="769" ht="74.5" customHeight="1">
      <c r="A769" t="s" s="36">
        <v>2192</v>
      </c>
      <c r="B769" t="s" s="37">
        <v>131</v>
      </c>
      <c r="C769" t="s" s="37">
        <v>130</v>
      </c>
      <c r="D769" t="s" s="37">
        <v>169</v>
      </c>
      <c r="E769" t="s" s="37">
        <v>618</v>
      </c>
      <c r="F769" t="s" s="37">
        <v>622</v>
      </c>
      <c r="G769" t="s" s="37">
        <v>424</v>
      </c>
      <c r="H769" t="s" s="37">
        <v>2193</v>
      </c>
      <c r="I769" t="s" s="37">
        <v>2095</v>
      </c>
      <c r="J769" t="s" s="37">
        <v>632</v>
      </c>
      <c r="K769" t="s" s="40">
        <v>641</v>
      </c>
      <c r="L769" s="30"/>
    </row>
    <row r="770" ht="74.5" customHeight="1">
      <c r="A770" t="s" s="31">
        <v>2194</v>
      </c>
      <c r="B770" t="s" s="32">
        <v>131</v>
      </c>
      <c r="C770" t="s" s="32">
        <v>130</v>
      </c>
      <c r="D770" t="s" s="32">
        <v>169</v>
      </c>
      <c r="E770" t="s" s="32">
        <v>630</v>
      </c>
      <c r="F770" t="s" s="32">
        <v>618</v>
      </c>
      <c r="G770" t="s" s="32">
        <v>387</v>
      </c>
      <c r="H770" t="s" s="32">
        <v>2195</v>
      </c>
      <c r="I770" t="s" s="32">
        <v>2120</v>
      </c>
      <c r="J770" t="s" s="32">
        <v>651</v>
      </c>
      <c r="K770" t="s" s="35">
        <v>622</v>
      </c>
      <c r="L770" s="30"/>
    </row>
    <row r="771" ht="74.5" customHeight="1">
      <c r="A771" t="s" s="36">
        <v>2196</v>
      </c>
      <c r="B771" t="s" s="37">
        <v>131</v>
      </c>
      <c r="C771" t="s" s="37">
        <v>130</v>
      </c>
      <c r="D771" t="s" s="37">
        <v>169</v>
      </c>
      <c r="E771" t="s" s="37">
        <v>630</v>
      </c>
      <c r="F771" t="s" s="37">
        <v>618</v>
      </c>
      <c r="G771" t="s" s="37">
        <v>400</v>
      </c>
      <c r="H771" t="s" s="37">
        <v>2197</v>
      </c>
      <c r="I771" t="s" s="37">
        <v>2120</v>
      </c>
      <c r="J771" t="s" s="37">
        <v>651</v>
      </c>
      <c r="K771" t="s" s="40">
        <v>622</v>
      </c>
      <c r="L771" s="30"/>
    </row>
    <row r="772" ht="74.5" customHeight="1">
      <c r="A772" t="s" s="31">
        <v>2198</v>
      </c>
      <c r="B772" t="s" s="32">
        <v>131</v>
      </c>
      <c r="C772" t="s" s="32">
        <v>130</v>
      </c>
      <c r="D772" t="s" s="32">
        <v>169</v>
      </c>
      <c r="E772" t="s" s="32">
        <v>630</v>
      </c>
      <c r="F772" t="s" s="32">
        <v>618</v>
      </c>
      <c r="G772" t="s" s="32">
        <v>412</v>
      </c>
      <c r="H772" t="s" s="32">
        <v>2199</v>
      </c>
      <c r="I772" t="s" s="32">
        <v>2120</v>
      </c>
      <c r="J772" t="s" s="32">
        <v>651</v>
      </c>
      <c r="K772" t="s" s="35">
        <v>622</v>
      </c>
      <c r="L772" s="30"/>
    </row>
    <row r="773" ht="74.5" customHeight="1">
      <c r="A773" t="s" s="36">
        <v>2200</v>
      </c>
      <c r="B773" t="s" s="37">
        <v>131</v>
      </c>
      <c r="C773" t="s" s="37">
        <v>130</v>
      </c>
      <c r="D773" t="s" s="37">
        <v>169</v>
      </c>
      <c r="E773" t="s" s="37">
        <v>630</v>
      </c>
      <c r="F773" t="s" s="37">
        <v>618</v>
      </c>
      <c r="G773" t="s" s="37">
        <v>424</v>
      </c>
      <c r="H773" t="s" s="37">
        <v>2201</v>
      </c>
      <c r="I773" t="s" s="37">
        <v>2120</v>
      </c>
      <c r="J773" t="s" s="37">
        <v>651</v>
      </c>
      <c r="K773" t="s" s="40">
        <v>622</v>
      </c>
      <c r="L773" s="30"/>
    </row>
    <row r="774" ht="74.5" customHeight="1">
      <c r="A774" t="s" s="31">
        <v>2202</v>
      </c>
      <c r="B774" t="s" s="32">
        <v>131</v>
      </c>
      <c r="C774" t="s" s="32">
        <v>130</v>
      </c>
      <c r="D774" t="s" s="32">
        <v>169</v>
      </c>
      <c r="E774" t="s" s="32">
        <v>630</v>
      </c>
      <c r="F774" t="s" s="32">
        <v>630</v>
      </c>
      <c r="G774" t="s" s="32">
        <v>387</v>
      </c>
      <c r="H774" t="s" s="32">
        <v>2203</v>
      </c>
      <c r="I774" t="s" s="32">
        <v>2120</v>
      </c>
      <c r="J774" t="s" s="32">
        <v>660</v>
      </c>
      <c r="K774" t="s" s="35">
        <v>630</v>
      </c>
      <c r="L774" s="30"/>
    </row>
    <row r="775" ht="74.5" customHeight="1">
      <c r="A775" t="s" s="36">
        <v>2204</v>
      </c>
      <c r="B775" t="s" s="37">
        <v>131</v>
      </c>
      <c r="C775" t="s" s="37">
        <v>130</v>
      </c>
      <c r="D775" t="s" s="37">
        <v>169</v>
      </c>
      <c r="E775" t="s" s="37">
        <v>630</v>
      </c>
      <c r="F775" t="s" s="37">
        <v>630</v>
      </c>
      <c r="G775" t="s" s="37">
        <v>400</v>
      </c>
      <c r="H775" t="s" s="37">
        <v>2205</v>
      </c>
      <c r="I775" t="s" s="37">
        <v>2120</v>
      </c>
      <c r="J775" t="s" s="37">
        <v>660</v>
      </c>
      <c r="K775" t="s" s="40">
        <v>630</v>
      </c>
      <c r="L775" s="30"/>
    </row>
    <row r="776" ht="74.5" customHeight="1">
      <c r="A776" t="s" s="31">
        <v>2206</v>
      </c>
      <c r="B776" t="s" s="32">
        <v>131</v>
      </c>
      <c r="C776" t="s" s="32">
        <v>130</v>
      </c>
      <c r="D776" t="s" s="32">
        <v>169</v>
      </c>
      <c r="E776" t="s" s="32">
        <v>630</v>
      </c>
      <c r="F776" t="s" s="32">
        <v>630</v>
      </c>
      <c r="G776" t="s" s="32">
        <v>412</v>
      </c>
      <c r="H776" t="s" s="32">
        <v>2207</v>
      </c>
      <c r="I776" t="s" s="32">
        <v>2120</v>
      </c>
      <c r="J776" t="s" s="32">
        <v>660</v>
      </c>
      <c r="K776" t="s" s="35">
        <v>630</v>
      </c>
      <c r="L776" s="30"/>
    </row>
    <row r="777" ht="74.5" customHeight="1">
      <c r="A777" t="s" s="36">
        <v>2208</v>
      </c>
      <c r="B777" t="s" s="37">
        <v>131</v>
      </c>
      <c r="C777" t="s" s="37">
        <v>130</v>
      </c>
      <c r="D777" t="s" s="37">
        <v>169</v>
      </c>
      <c r="E777" t="s" s="37">
        <v>630</v>
      </c>
      <c r="F777" t="s" s="37">
        <v>630</v>
      </c>
      <c r="G777" t="s" s="37">
        <v>424</v>
      </c>
      <c r="H777" t="s" s="37">
        <v>2209</v>
      </c>
      <c r="I777" t="s" s="37">
        <v>2120</v>
      </c>
      <c r="J777" t="s" s="37">
        <v>660</v>
      </c>
      <c r="K777" t="s" s="40">
        <v>630</v>
      </c>
      <c r="L777" s="30"/>
    </row>
    <row r="778" ht="74.5" customHeight="1">
      <c r="A778" t="s" s="31">
        <v>2210</v>
      </c>
      <c r="B778" t="s" s="32">
        <v>131</v>
      </c>
      <c r="C778" t="s" s="32">
        <v>130</v>
      </c>
      <c r="D778" t="s" s="32">
        <v>169</v>
      </c>
      <c r="E778" t="s" s="32">
        <v>630</v>
      </c>
      <c r="F778" t="s" s="32">
        <v>622</v>
      </c>
      <c r="G778" t="s" s="32">
        <v>387</v>
      </c>
      <c r="H778" t="s" s="32">
        <v>2211</v>
      </c>
      <c r="I778" t="s" s="32">
        <v>2137</v>
      </c>
      <c r="J778" t="s" s="32">
        <v>660</v>
      </c>
      <c r="K778" t="s" s="35">
        <v>630</v>
      </c>
      <c r="L778" s="30"/>
    </row>
    <row r="779" ht="74.5" customHeight="1">
      <c r="A779" t="s" s="36">
        <v>2212</v>
      </c>
      <c r="B779" t="s" s="37">
        <v>131</v>
      </c>
      <c r="C779" t="s" s="37">
        <v>130</v>
      </c>
      <c r="D779" t="s" s="37">
        <v>169</v>
      </c>
      <c r="E779" t="s" s="37">
        <v>630</v>
      </c>
      <c r="F779" t="s" s="37">
        <v>622</v>
      </c>
      <c r="G779" t="s" s="37">
        <v>400</v>
      </c>
      <c r="H779" t="s" s="37">
        <v>2213</v>
      </c>
      <c r="I779" t="s" s="37">
        <v>2137</v>
      </c>
      <c r="J779" t="s" s="37">
        <v>660</v>
      </c>
      <c r="K779" t="s" s="40">
        <v>630</v>
      </c>
      <c r="L779" s="30"/>
    </row>
    <row r="780" ht="74.5" customHeight="1">
      <c r="A780" t="s" s="31">
        <v>2214</v>
      </c>
      <c r="B780" t="s" s="32">
        <v>131</v>
      </c>
      <c r="C780" t="s" s="32">
        <v>130</v>
      </c>
      <c r="D780" t="s" s="32">
        <v>169</v>
      </c>
      <c r="E780" t="s" s="32">
        <v>630</v>
      </c>
      <c r="F780" t="s" s="32">
        <v>622</v>
      </c>
      <c r="G780" t="s" s="32">
        <v>412</v>
      </c>
      <c r="H780" t="s" s="32">
        <v>2215</v>
      </c>
      <c r="I780" t="s" s="32">
        <v>2137</v>
      </c>
      <c r="J780" t="s" s="32">
        <v>660</v>
      </c>
      <c r="K780" t="s" s="35">
        <v>630</v>
      </c>
      <c r="L780" s="30"/>
    </row>
    <row r="781" ht="74.5" customHeight="1">
      <c r="A781" t="s" s="36">
        <v>2216</v>
      </c>
      <c r="B781" t="s" s="37">
        <v>131</v>
      </c>
      <c r="C781" t="s" s="37">
        <v>130</v>
      </c>
      <c r="D781" t="s" s="37">
        <v>169</v>
      </c>
      <c r="E781" t="s" s="37">
        <v>630</v>
      </c>
      <c r="F781" t="s" s="37">
        <v>622</v>
      </c>
      <c r="G781" t="s" s="37">
        <v>424</v>
      </c>
      <c r="H781" t="s" s="37">
        <v>2217</v>
      </c>
      <c r="I781" t="s" s="37">
        <v>2137</v>
      </c>
      <c r="J781" t="s" s="37">
        <v>660</v>
      </c>
      <c r="K781" t="s" s="40">
        <v>630</v>
      </c>
      <c r="L781" s="30"/>
    </row>
    <row r="782" ht="74.5" customHeight="1">
      <c r="A782" t="s" s="31">
        <v>2218</v>
      </c>
      <c r="B782" t="s" s="32">
        <v>131</v>
      </c>
      <c r="C782" t="s" s="32">
        <v>130</v>
      </c>
      <c r="D782" t="s" s="32">
        <v>169</v>
      </c>
      <c r="E782" t="s" s="32">
        <v>622</v>
      </c>
      <c r="F782" t="s" s="32">
        <v>618</v>
      </c>
      <c r="G782" t="s" s="32">
        <v>387</v>
      </c>
      <c r="H782" t="s" s="32">
        <v>2219</v>
      </c>
      <c r="I782" t="s" s="32">
        <v>2146</v>
      </c>
      <c r="J782" t="s" s="32">
        <v>651</v>
      </c>
      <c r="K782" t="s" s="35">
        <v>622</v>
      </c>
      <c r="L782" s="30"/>
    </row>
    <row r="783" ht="74.5" customHeight="1">
      <c r="A783" t="s" s="36">
        <v>2220</v>
      </c>
      <c r="B783" t="s" s="37">
        <v>131</v>
      </c>
      <c r="C783" t="s" s="37">
        <v>130</v>
      </c>
      <c r="D783" t="s" s="37">
        <v>169</v>
      </c>
      <c r="E783" t="s" s="37">
        <v>622</v>
      </c>
      <c r="F783" t="s" s="37">
        <v>618</v>
      </c>
      <c r="G783" t="s" s="37">
        <v>400</v>
      </c>
      <c r="H783" t="s" s="37">
        <v>2221</v>
      </c>
      <c r="I783" t="s" s="37">
        <v>2146</v>
      </c>
      <c r="J783" t="s" s="37">
        <v>651</v>
      </c>
      <c r="K783" t="s" s="40">
        <v>622</v>
      </c>
      <c r="L783" s="30"/>
    </row>
    <row r="784" ht="74.5" customHeight="1">
      <c r="A784" t="s" s="31">
        <v>2222</v>
      </c>
      <c r="B784" t="s" s="32">
        <v>131</v>
      </c>
      <c r="C784" t="s" s="32">
        <v>130</v>
      </c>
      <c r="D784" t="s" s="32">
        <v>169</v>
      </c>
      <c r="E784" t="s" s="32">
        <v>622</v>
      </c>
      <c r="F784" t="s" s="32">
        <v>618</v>
      </c>
      <c r="G784" t="s" s="32">
        <v>412</v>
      </c>
      <c r="H784" t="s" s="32">
        <v>2223</v>
      </c>
      <c r="I784" t="s" s="32">
        <v>2146</v>
      </c>
      <c r="J784" t="s" s="32">
        <v>651</v>
      </c>
      <c r="K784" t="s" s="35">
        <v>622</v>
      </c>
      <c r="L784" s="30"/>
    </row>
    <row r="785" ht="74.5" customHeight="1">
      <c r="A785" t="s" s="36">
        <v>2224</v>
      </c>
      <c r="B785" t="s" s="37">
        <v>131</v>
      </c>
      <c r="C785" t="s" s="37">
        <v>130</v>
      </c>
      <c r="D785" t="s" s="37">
        <v>169</v>
      </c>
      <c r="E785" t="s" s="37">
        <v>622</v>
      </c>
      <c r="F785" t="s" s="37">
        <v>618</v>
      </c>
      <c r="G785" t="s" s="37">
        <v>424</v>
      </c>
      <c r="H785" t="s" s="37">
        <v>2225</v>
      </c>
      <c r="I785" t="s" s="37">
        <v>2146</v>
      </c>
      <c r="J785" t="s" s="37">
        <v>651</v>
      </c>
      <c r="K785" t="s" s="40">
        <v>622</v>
      </c>
      <c r="L785" s="30"/>
    </row>
    <row r="786" ht="74.5" customHeight="1">
      <c r="A786" t="s" s="31">
        <v>2226</v>
      </c>
      <c r="B786" t="s" s="32">
        <v>131</v>
      </c>
      <c r="C786" t="s" s="32">
        <v>130</v>
      </c>
      <c r="D786" t="s" s="32">
        <v>169</v>
      </c>
      <c r="E786" t="s" s="32">
        <v>622</v>
      </c>
      <c r="F786" t="s" s="32">
        <v>630</v>
      </c>
      <c r="G786" t="s" s="32">
        <v>387</v>
      </c>
      <c r="H786" t="s" s="32">
        <v>2227</v>
      </c>
      <c r="I786" t="s" s="32">
        <v>2155</v>
      </c>
      <c r="J786" t="s" s="32">
        <v>660</v>
      </c>
      <c r="K786" t="s" s="35">
        <v>630</v>
      </c>
      <c r="L786" s="30"/>
    </row>
    <row r="787" ht="74.5" customHeight="1">
      <c r="A787" t="s" s="36">
        <v>2228</v>
      </c>
      <c r="B787" t="s" s="37">
        <v>131</v>
      </c>
      <c r="C787" t="s" s="37">
        <v>130</v>
      </c>
      <c r="D787" t="s" s="37">
        <v>169</v>
      </c>
      <c r="E787" t="s" s="37">
        <v>622</v>
      </c>
      <c r="F787" t="s" s="37">
        <v>630</v>
      </c>
      <c r="G787" t="s" s="37">
        <v>400</v>
      </c>
      <c r="H787" t="s" s="37">
        <v>2229</v>
      </c>
      <c r="I787" t="s" s="37">
        <v>2155</v>
      </c>
      <c r="J787" t="s" s="37">
        <v>660</v>
      </c>
      <c r="K787" t="s" s="40">
        <v>630</v>
      </c>
      <c r="L787" s="30"/>
    </row>
    <row r="788" ht="74.5" customHeight="1">
      <c r="A788" t="s" s="31">
        <v>2230</v>
      </c>
      <c r="B788" t="s" s="32">
        <v>131</v>
      </c>
      <c r="C788" t="s" s="32">
        <v>130</v>
      </c>
      <c r="D788" t="s" s="32">
        <v>169</v>
      </c>
      <c r="E788" t="s" s="32">
        <v>622</v>
      </c>
      <c r="F788" t="s" s="32">
        <v>630</v>
      </c>
      <c r="G788" t="s" s="32">
        <v>412</v>
      </c>
      <c r="H788" t="s" s="32">
        <v>2231</v>
      </c>
      <c r="I788" t="s" s="32">
        <v>2155</v>
      </c>
      <c r="J788" t="s" s="32">
        <v>660</v>
      </c>
      <c r="K788" t="s" s="35">
        <v>630</v>
      </c>
      <c r="L788" s="30"/>
    </row>
    <row r="789" ht="74.5" customHeight="1">
      <c r="A789" t="s" s="36">
        <v>2232</v>
      </c>
      <c r="B789" t="s" s="37">
        <v>131</v>
      </c>
      <c r="C789" t="s" s="37">
        <v>130</v>
      </c>
      <c r="D789" t="s" s="37">
        <v>169</v>
      </c>
      <c r="E789" t="s" s="37">
        <v>622</v>
      </c>
      <c r="F789" t="s" s="37">
        <v>630</v>
      </c>
      <c r="G789" t="s" s="37">
        <v>424</v>
      </c>
      <c r="H789" t="s" s="37">
        <v>2233</v>
      </c>
      <c r="I789" t="s" s="37">
        <v>2155</v>
      </c>
      <c r="J789" t="s" s="37">
        <v>660</v>
      </c>
      <c r="K789" t="s" s="40">
        <v>630</v>
      </c>
      <c r="L789" s="30"/>
    </row>
    <row r="790" ht="74.5" customHeight="1">
      <c r="A790" t="s" s="31">
        <v>2234</v>
      </c>
      <c r="B790" t="s" s="32">
        <v>131</v>
      </c>
      <c r="C790" t="s" s="32">
        <v>130</v>
      </c>
      <c r="D790" t="s" s="32">
        <v>169</v>
      </c>
      <c r="E790" t="s" s="32">
        <v>622</v>
      </c>
      <c r="F790" t="s" s="32">
        <v>622</v>
      </c>
      <c r="G790" t="s" s="32">
        <v>387</v>
      </c>
      <c r="H790" t="s" s="32">
        <v>2235</v>
      </c>
      <c r="I790" t="s" s="32">
        <v>2155</v>
      </c>
      <c r="J790" t="s" s="32">
        <v>660</v>
      </c>
      <c r="K790" t="s" s="35">
        <v>641</v>
      </c>
      <c r="L790" s="30"/>
    </row>
    <row r="791" ht="74.5" customHeight="1">
      <c r="A791" t="s" s="36">
        <v>2236</v>
      </c>
      <c r="B791" t="s" s="37">
        <v>131</v>
      </c>
      <c r="C791" t="s" s="37">
        <v>130</v>
      </c>
      <c r="D791" t="s" s="37">
        <v>169</v>
      </c>
      <c r="E791" t="s" s="37">
        <v>622</v>
      </c>
      <c r="F791" t="s" s="37">
        <v>622</v>
      </c>
      <c r="G791" t="s" s="37">
        <v>400</v>
      </c>
      <c r="H791" t="s" s="37">
        <v>2237</v>
      </c>
      <c r="I791" t="s" s="37">
        <v>2155</v>
      </c>
      <c r="J791" t="s" s="37">
        <v>660</v>
      </c>
      <c r="K791" t="s" s="40">
        <v>641</v>
      </c>
      <c r="L791" s="30"/>
    </row>
    <row r="792" ht="74.5" customHeight="1">
      <c r="A792" t="s" s="31">
        <v>2238</v>
      </c>
      <c r="B792" t="s" s="32">
        <v>131</v>
      </c>
      <c r="C792" t="s" s="32">
        <v>130</v>
      </c>
      <c r="D792" t="s" s="32">
        <v>169</v>
      </c>
      <c r="E792" t="s" s="32">
        <v>622</v>
      </c>
      <c r="F792" t="s" s="32">
        <v>622</v>
      </c>
      <c r="G792" t="s" s="32">
        <v>412</v>
      </c>
      <c r="H792" t="s" s="32">
        <v>2239</v>
      </c>
      <c r="I792" t="s" s="32">
        <v>2155</v>
      </c>
      <c r="J792" t="s" s="32">
        <v>660</v>
      </c>
      <c r="K792" t="s" s="35">
        <v>641</v>
      </c>
      <c r="L792" s="30"/>
    </row>
    <row r="793" ht="74.5" customHeight="1">
      <c r="A793" t="s" s="36">
        <v>2240</v>
      </c>
      <c r="B793" t="s" s="37">
        <v>131</v>
      </c>
      <c r="C793" t="s" s="37">
        <v>130</v>
      </c>
      <c r="D793" t="s" s="37">
        <v>169</v>
      </c>
      <c r="E793" t="s" s="37">
        <v>622</v>
      </c>
      <c r="F793" t="s" s="37">
        <v>622</v>
      </c>
      <c r="G793" t="s" s="37">
        <v>424</v>
      </c>
      <c r="H793" t="s" s="37">
        <v>2241</v>
      </c>
      <c r="I793" t="s" s="37">
        <v>2155</v>
      </c>
      <c r="J793" t="s" s="37">
        <v>660</v>
      </c>
      <c r="K793" t="s" s="40">
        <v>641</v>
      </c>
      <c r="L793" s="30"/>
    </row>
    <row r="794" ht="74.5" customHeight="1">
      <c r="A794" t="s" s="31">
        <v>2242</v>
      </c>
      <c r="B794" t="s" s="32">
        <v>131</v>
      </c>
      <c r="C794" t="s" s="32">
        <v>130</v>
      </c>
      <c r="D794" t="s" s="32">
        <v>181</v>
      </c>
      <c r="E794" t="s" s="32">
        <v>618</v>
      </c>
      <c r="F794" t="s" s="32">
        <v>618</v>
      </c>
      <c r="G794" t="s" s="32">
        <v>387</v>
      </c>
      <c r="H794" t="s" s="32">
        <v>2243</v>
      </c>
      <c r="I794" t="s" s="32">
        <v>2095</v>
      </c>
      <c r="J794" t="s" s="32">
        <v>621</v>
      </c>
      <c r="K794" t="s" s="35">
        <v>622</v>
      </c>
      <c r="L794" s="30"/>
    </row>
    <row r="795" ht="74.5" customHeight="1">
      <c r="A795" t="s" s="36">
        <v>2244</v>
      </c>
      <c r="B795" t="s" s="37">
        <v>131</v>
      </c>
      <c r="C795" t="s" s="37">
        <v>130</v>
      </c>
      <c r="D795" t="s" s="37">
        <v>181</v>
      </c>
      <c r="E795" t="s" s="37">
        <v>618</v>
      </c>
      <c r="F795" t="s" s="37">
        <v>618</v>
      </c>
      <c r="G795" t="s" s="37">
        <v>400</v>
      </c>
      <c r="H795" t="s" s="37">
        <v>2245</v>
      </c>
      <c r="I795" t="s" s="37">
        <v>2095</v>
      </c>
      <c r="J795" t="s" s="37">
        <v>621</v>
      </c>
      <c r="K795" t="s" s="40">
        <v>622</v>
      </c>
      <c r="L795" s="30"/>
    </row>
    <row r="796" ht="74.5" customHeight="1">
      <c r="A796" t="s" s="31">
        <v>2246</v>
      </c>
      <c r="B796" t="s" s="32">
        <v>131</v>
      </c>
      <c r="C796" t="s" s="32">
        <v>130</v>
      </c>
      <c r="D796" t="s" s="32">
        <v>181</v>
      </c>
      <c r="E796" t="s" s="32">
        <v>618</v>
      </c>
      <c r="F796" t="s" s="32">
        <v>618</v>
      </c>
      <c r="G796" t="s" s="32">
        <v>412</v>
      </c>
      <c r="H796" t="s" s="32">
        <v>2247</v>
      </c>
      <c r="I796" t="s" s="32">
        <v>2095</v>
      </c>
      <c r="J796" t="s" s="32">
        <v>621</v>
      </c>
      <c r="K796" t="s" s="35">
        <v>622</v>
      </c>
      <c r="L796" s="30"/>
    </row>
    <row r="797" ht="74.5" customHeight="1">
      <c r="A797" t="s" s="36">
        <v>2248</v>
      </c>
      <c r="B797" t="s" s="37">
        <v>131</v>
      </c>
      <c r="C797" t="s" s="37">
        <v>130</v>
      </c>
      <c r="D797" t="s" s="37">
        <v>181</v>
      </c>
      <c r="E797" t="s" s="37">
        <v>618</v>
      </c>
      <c r="F797" t="s" s="37">
        <v>618</v>
      </c>
      <c r="G797" t="s" s="37">
        <v>424</v>
      </c>
      <c r="H797" t="s" s="37">
        <v>2249</v>
      </c>
      <c r="I797" t="s" s="37">
        <v>2095</v>
      </c>
      <c r="J797" t="s" s="37">
        <v>621</v>
      </c>
      <c r="K797" t="s" s="40">
        <v>622</v>
      </c>
      <c r="L797" s="30"/>
    </row>
    <row r="798" ht="74.5" customHeight="1">
      <c r="A798" t="s" s="31">
        <v>2250</v>
      </c>
      <c r="B798" t="s" s="32">
        <v>131</v>
      </c>
      <c r="C798" t="s" s="32">
        <v>130</v>
      </c>
      <c r="D798" t="s" s="32">
        <v>181</v>
      </c>
      <c r="E798" t="s" s="32">
        <v>618</v>
      </c>
      <c r="F798" t="s" s="32">
        <v>630</v>
      </c>
      <c r="G798" t="s" s="32">
        <v>387</v>
      </c>
      <c r="H798" t="s" s="32">
        <v>2251</v>
      </c>
      <c r="I798" t="s" s="32">
        <v>2095</v>
      </c>
      <c r="J798" t="s" s="32">
        <v>632</v>
      </c>
      <c r="K798" t="s" s="35">
        <v>622</v>
      </c>
      <c r="L798" s="30"/>
    </row>
    <row r="799" ht="74.5" customHeight="1">
      <c r="A799" t="s" s="36">
        <v>2252</v>
      </c>
      <c r="B799" t="s" s="37">
        <v>131</v>
      </c>
      <c r="C799" t="s" s="37">
        <v>130</v>
      </c>
      <c r="D799" t="s" s="37">
        <v>181</v>
      </c>
      <c r="E799" t="s" s="37">
        <v>618</v>
      </c>
      <c r="F799" t="s" s="37">
        <v>630</v>
      </c>
      <c r="G799" t="s" s="37">
        <v>400</v>
      </c>
      <c r="H799" t="s" s="37">
        <v>2253</v>
      </c>
      <c r="I799" t="s" s="37">
        <v>2095</v>
      </c>
      <c r="J799" t="s" s="37">
        <v>632</v>
      </c>
      <c r="K799" t="s" s="40">
        <v>622</v>
      </c>
      <c r="L799" s="30"/>
    </row>
    <row r="800" ht="74.5" customHeight="1">
      <c r="A800" t="s" s="31">
        <v>2254</v>
      </c>
      <c r="B800" t="s" s="32">
        <v>131</v>
      </c>
      <c r="C800" t="s" s="32">
        <v>130</v>
      </c>
      <c r="D800" t="s" s="32">
        <v>181</v>
      </c>
      <c r="E800" t="s" s="32">
        <v>618</v>
      </c>
      <c r="F800" t="s" s="32">
        <v>630</v>
      </c>
      <c r="G800" t="s" s="32">
        <v>412</v>
      </c>
      <c r="H800" t="s" s="32">
        <v>2255</v>
      </c>
      <c r="I800" t="s" s="32">
        <v>2095</v>
      </c>
      <c r="J800" t="s" s="32">
        <v>632</v>
      </c>
      <c r="K800" t="s" s="35">
        <v>622</v>
      </c>
      <c r="L800" s="30"/>
    </row>
    <row r="801" ht="74.5" customHeight="1">
      <c r="A801" t="s" s="36">
        <v>2256</v>
      </c>
      <c r="B801" t="s" s="37">
        <v>131</v>
      </c>
      <c r="C801" t="s" s="37">
        <v>130</v>
      </c>
      <c r="D801" t="s" s="37">
        <v>181</v>
      </c>
      <c r="E801" t="s" s="37">
        <v>618</v>
      </c>
      <c r="F801" t="s" s="37">
        <v>630</v>
      </c>
      <c r="G801" t="s" s="37">
        <v>424</v>
      </c>
      <c r="H801" t="s" s="37">
        <v>2257</v>
      </c>
      <c r="I801" t="s" s="37">
        <v>2095</v>
      </c>
      <c r="J801" t="s" s="37">
        <v>632</v>
      </c>
      <c r="K801" t="s" s="40">
        <v>622</v>
      </c>
      <c r="L801" s="30"/>
    </row>
    <row r="802" ht="74.5" customHeight="1">
      <c r="A802" t="s" s="31">
        <v>2258</v>
      </c>
      <c r="B802" t="s" s="32">
        <v>131</v>
      </c>
      <c r="C802" t="s" s="32">
        <v>130</v>
      </c>
      <c r="D802" t="s" s="32">
        <v>181</v>
      </c>
      <c r="E802" t="s" s="32">
        <v>618</v>
      </c>
      <c r="F802" t="s" s="32">
        <v>622</v>
      </c>
      <c r="G802" t="s" s="32">
        <v>387</v>
      </c>
      <c r="H802" t="s" s="32">
        <v>2259</v>
      </c>
      <c r="I802" t="s" s="32">
        <v>2095</v>
      </c>
      <c r="J802" t="s" s="32">
        <v>632</v>
      </c>
      <c r="K802" t="s" s="35">
        <v>641</v>
      </c>
      <c r="L802" s="30"/>
    </row>
    <row r="803" ht="74.5" customHeight="1">
      <c r="A803" t="s" s="36">
        <v>2260</v>
      </c>
      <c r="B803" t="s" s="37">
        <v>131</v>
      </c>
      <c r="C803" t="s" s="37">
        <v>130</v>
      </c>
      <c r="D803" t="s" s="37">
        <v>181</v>
      </c>
      <c r="E803" t="s" s="37">
        <v>618</v>
      </c>
      <c r="F803" t="s" s="37">
        <v>622</v>
      </c>
      <c r="G803" t="s" s="37">
        <v>400</v>
      </c>
      <c r="H803" t="s" s="37">
        <v>2261</v>
      </c>
      <c r="I803" t="s" s="37">
        <v>2095</v>
      </c>
      <c r="J803" t="s" s="37">
        <v>632</v>
      </c>
      <c r="K803" t="s" s="40">
        <v>641</v>
      </c>
      <c r="L803" s="30"/>
    </row>
    <row r="804" ht="74.5" customHeight="1">
      <c r="A804" t="s" s="31">
        <v>2262</v>
      </c>
      <c r="B804" t="s" s="32">
        <v>131</v>
      </c>
      <c r="C804" t="s" s="32">
        <v>130</v>
      </c>
      <c r="D804" t="s" s="32">
        <v>181</v>
      </c>
      <c r="E804" t="s" s="32">
        <v>618</v>
      </c>
      <c r="F804" t="s" s="32">
        <v>622</v>
      </c>
      <c r="G804" t="s" s="32">
        <v>412</v>
      </c>
      <c r="H804" t="s" s="32">
        <v>2263</v>
      </c>
      <c r="I804" t="s" s="32">
        <v>2095</v>
      </c>
      <c r="J804" t="s" s="32">
        <v>632</v>
      </c>
      <c r="K804" t="s" s="35">
        <v>641</v>
      </c>
      <c r="L804" s="30"/>
    </row>
    <row r="805" ht="74.5" customHeight="1">
      <c r="A805" t="s" s="36">
        <v>2264</v>
      </c>
      <c r="B805" t="s" s="37">
        <v>131</v>
      </c>
      <c r="C805" t="s" s="37">
        <v>130</v>
      </c>
      <c r="D805" t="s" s="37">
        <v>181</v>
      </c>
      <c r="E805" t="s" s="37">
        <v>618</v>
      </c>
      <c r="F805" t="s" s="37">
        <v>622</v>
      </c>
      <c r="G805" t="s" s="37">
        <v>424</v>
      </c>
      <c r="H805" t="s" s="37">
        <v>2265</v>
      </c>
      <c r="I805" t="s" s="37">
        <v>2095</v>
      </c>
      <c r="J805" t="s" s="37">
        <v>632</v>
      </c>
      <c r="K805" t="s" s="40">
        <v>641</v>
      </c>
      <c r="L805" s="30"/>
    </row>
    <row r="806" ht="74.5" customHeight="1">
      <c r="A806" t="s" s="31">
        <v>2266</v>
      </c>
      <c r="B806" t="s" s="32">
        <v>131</v>
      </c>
      <c r="C806" t="s" s="32">
        <v>130</v>
      </c>
      <c r="D806" t="s" s="32">
        <v>181</v>
      </c>
      <c r="E806" t="s" s="32">
        <v>630</v>
      </c>
      <c r="F806" t="s" s="32">
        <v>618</v>
      </c>
      <c r="G806" t="s" s="32">
        <v>387</v>
      </c>
      <c r="H806" t="s" s="32">
        <v>2267</v>
      </c>
      <c r="I806" t="s" s="32">
        <v>2120</v>
      </c>
      <c r="J806" t="s" s="32">
        <v>651</v>
      </c>
      <c r="K806" t="s" s="35">
        <v>622</v>
      </c>
      <c r="L806" s="30"/>
    </row>
    <row r="807" ht="74.5" customHeight="1">
      <c r="A807" t="s" s="36">
        <v>2268</v>
      </c>
      <c r="B807" t="s" s="37">
        <v>131</v>
      </c>
      <c r="C807" t="s" s="37">
        <v>130</v>
      </c>
      <c r="D807" t="s" s="37">
        <v>181</v>
      </c>
      <c r="E807" t="s" s="37">
        <v>630</v>
      </c>
      <c r="F807" t="s" s="37">
        <v>618</v>
      </c>
      <c r="G807" t="s" s="37">
        <v>400</v>
      </c>
      <c r="H807" t="s" s="37">
        <v>2269</v>
      </c>
      <c r="I807" t="s" s="37">
        <v>2120</v>
      </c>
      <c r="J807" t="s" s="37">
        <v>651</v>
      </c>
      <c r="K807" t="s" s="40">
        <v>622</v>
      </c>
      <c r="L807" s="30"/>
    </row>
    <row r="808" ht="74.5" customHeight="1">
      <c r="A808" t="s" s="31">
        <v>2270</v>
      </c>
      <c r="B808" t="s" s="32">
        <v>131</v>
      </c>
      <c r="C808" t="s" s="32">
        <v>130</v>
      </c>
      <c r="D808" t="s" s="32">
        <v>181</v>
      </c>
      <c r="E808" t="s" s="32">
        <v>630</v>
      </c>
      <c r="F808" t="s" s="32">
        <v>618</v>
      </c>
      <c r="G808" t="s" s="32">
        <v>412</v>
      </c>
      <c r="H808" t="s" s="32">
        <v>2271</v>
      </c>
      <c r="I808" t="s" s="32">
        <v>2120</v>
      </c>
      <c r="J808" t="s" s="32">
        <v>651</v>
      </c>
      <c r="K808" t="s" s="35">
        <v>622</v>
      </c>
      <c r="L808" s="30"/>
    </row>
    <row r="809" ht="74.5" customHeight="1">
      <c r="A809" t="s" s="36">
        <v>2272</v>
      </c>
      <c r="B809" t="s" s="37">
        <v>131</v>
      </c>
      <c r="C809" t="s" s="37">
        <v>130</v>
      </c>
      <c r="D809" t="s" s="37">
        <v>181</v>
      </c>
      <c r="E809" t="s" s="37">
        <v>630</v>
      </c>
      <c r="F809" t="s" s="37">
        <v>618</v>
      </c>
      <c r="G809" t="s" s="37">
        <v>424</v>
      </c>
      <c r="H809" t="s" s="37">
        <v>2273</v>
      </c>
      <c r="I809" t="s" s="37">
        <v>2120</v>
      </c>
      <c r="J809" t="s" s="37">
        <v>651</v>
      </c>
      <c r="K809" t="s" s="40">
        <v>622</v>
      </c>
      <c r="L809" s="30"/>
    </row>
    <row r="810" ht="74.5" customHeight="1">
      <c r="A810" t="s" s="31">
        <v>2274</v>
      </c>
      <c r="B810" t="s" s="32">
        <v>131</v>
      </c>
      <c r="C810" t="s" s="32">
        <v>130</v>
      </c>
      <c r="D810" t="s" s="32">
        <v>181</v>
      </c>
      <c r="E810" t="s" s="32">
        <v>630</v>
      </c>
      <c r="F810" t="s" s="32">
        <v>630</v>
      </c>
      <c r="G810" t="s" s="32">
        <v>387</v>
      </c>
      <c r="H810" t="s" s="32">
        <v>2275</v>
      </c>
      <c r="I810" t="s" s="32">
        <v>2120</v>
      </c>
      <c r="J810" t="s" s="32">
        <v>660</v>
      </c>
      <c r="K810" t="s" s="35">
        <v>630</v>
      </c>
      <c r="L810" s="30"/>
    </row>
    <row r="811" ht="74.5" customHeight="1">
      <c r="A811" t="s" s="36">
        <v>2276</v>
      </c>
      <c r="B811" t="s" s="37">
        <v>131</v>
      </c>
      <c r="C811" t="s" s="37">
        <v>130</v>
      </c>
      <c r="D811" t="s" s="37">
        <v>181</v>
      </c>
      <c r="E811" t="s" s="37">
        <v>630</v>
      </c>
      <c r="F811" t="s" s="37">
        <v>630</v>
      </c>
      <c r="G811" t="s" s="37">
        <v>400</v>
      </c>
      <c r="H811" t="s" s="37">
        <v>2277</v>
      </c>
      <c r="I811" t="s" s="37">
        <v>2120</v>
      </c>
      <c r="J811" t="s" s="37">
        <v>660</v>
      </c>
      <c r="K811" t="s" s="40">
        <v>630</v>
      </c>
      <c r="L811" s="30"/>
    </row>
    <row r="812" ht="74.5" customHeight="1">
      <c r="A812" t="s" s="31">
        <v>2278</v>
      </c>
      <c r="B812" t="s" s="32">
        <v>131</v>
      </c>
      <c r="C812" t="s" s="32">
        <v>130</v>
      </c>
      <c r="D812" t="s" s="32">
        <v>181</v>
      </c>
      <c r="E812" t="s" s="32">
        <v>630</v>
      </c>
      <c r="F812" t="s" s="32">
        <v>630</v>
      </c>
      <c r="G812" t="s" s="32">
        <v>412</v>
      </c>
      <c r="H812" t="s" s="32">
        <v>2279</v>
      </c>
      <c r="I812" t="s" s="32">
        <v>2120</v>
      </c>
      <c r="J812" t="s" s="32">
        <v>660</v>
      </c>
      <c r="K812" t="s" s="35">
        <v>630</v>
      </c>
      <c r="L812" s="30"/>
    </row>
    <row r="813" ht="74.5" customHeight="1">
      <c r="A813" t="s" s="36">
        <v>2280</v>
      </c>
      <c r="B813" t="s" s="37">
        <v>131</v>
      </c>
      <c r="C813" t="s" s="37">
        <v>130</v>
      </c>
      <c r="D813" t="s" s="37">
        <v>181</v>
      </c>
      <c r="E813" t="s" s="37">
        <v>630</v>
      </c>
      <c r="F813" t="s" s="37">
        <v>630</v>
      </c>
      <c r="G813" t="s" s="37">
        <v>424</v>
      </c>
      <c r="H813" t="s" s="37">
        <v>2281</v>
      </c>
      <c r="I813" t="s" s="37">
        <v>2120</v>
      </c>
      <c r="J813" t="s" s="37">
        <v>660</v>
      </c>
      <c r="K813" t="s" s="40">
        <v>630</v>
      </c>
      <c r="L813" s="30"/>
    </row>
    <row r="814" ht="74.5" customHeight="1">
      <c r="A814" t="s" s="31">
        <v>2282</v>
      </c>
      <c r="B814" t="s" s="32">
        <v>131</v>
      </c>
      <c r="C814" t="s" s="32">
        <v>130</v>
      </c>
      <c r="D814" t="s" s="32">
        <v>181</v>
      </c>
      <c r="E814" t="s" s="32">
        <v>630</v>
      </c>
      <c r="F814" t="s" s="32">
        <v>622</v>
      </c>
      <c r="G814" t="s" s="32">
        <v>387</v>
      </c>
      <c r="H814" t="s" s="32">
        <v>2283</v>
      </c>
      <c r="I814" t="s" s="32">
        <v>2137</v>
      </c>
      <c r="J814" t="s" s="32">
        <v>660</v>
      </c>
      <c r="K814" t="s" s="35">
        <v>630</v>
      </c>
      <c r="L814" s="30"/>
    </row>
    <row r="815" ht="74.5" customHeight="1">
      <c r="A815" t="s" s="36">
        <v>2284</v>
      </c>
      <c r="B815" t="s" s="37">
        <v>131</v>
      </c>
      <c r="C815" t="s" s="37">
        <v>130</v>
      </c>
      <c r="D815" t="s" s="37">
        <v>181</v>
      </c>
      <c r="E815" t="s" s="37">
        <v>630</v>
      </c>
      <c r="F815" t="s" s="37">
        <v>622</v>
      </c>
      <c r="G815" t="s" s="37">
        <v>400</v>
      </c>
      <c r="H815" t="s" s="37">
        <v>2285</v>
      </c>
      <c r="I815" t="s" s="37">
        <v>2137</v>
      </c>
      <c r="J815" t="s" s="37">
        <v>660</v>
      </c>
      <c r="K815" t="s" s="40">
        <v>630</v>
      </c>
      <c r="L815" s="30"/>
    </row>
    <row r="816" ht="74.5" customHeight="1">
      <c r="A816" t="s" s="31">
        <v>2286</v>
      </c>
      <c r="B816" t="s" s="32">
        <v>131</v>
      </c>
      <c r="C816" t="s" s="32">
        <v>130</v>
      </c>
      <c r="D816" t="s" s="32">
        <v>181</v>
      </c>
      <c r="E816" t="s" s="32">
        <v>630</v>
      </c>
      <c r="F816" t="s" s="32">
        <v>622</v>
      </c>
      <c r="G816" t="s" s="32">
        <v>412</v>
      </c>
      <c r="H816" t="s" s="32">
        <v>2287</v>
      </c>
      <c r="I816" t="s" s="32">
        <v>2137</v>
      </c>
      <c r="J816" t="s" s="32">
        <v>660</v>
      </c>
      <c r="K816" t="s" s="35">
        <v>630</v>
      </c>
      <c r="L816" s="30"/>
    </row>
    <row r="817" ht="74.5" customHeight="1">
      <c r="A817" t="s" s="36">
        <v>2288</v>
      </c>
      <c r="B817" t="s" s="37">
        <v>131</v>
      </c>
      <c r="C817" t="s" s="37">
        <v>130</v>
      </c>
      <c r="D817" t="s" s="37">
        <v>181</v>
      </c>
      <c r="E817" t="s" s="37">
        <v>630</v>
      </c>
      <c r="F817" t="s" s="37">
        <v>622</v>
      </c>
      <c r="G817" t="s" s="37">
        <v>424</v>
      </c>
      <c r="H817" t="s" s="37">
        <v>2289</v>
      </c>
      <c r="I817" t="s" s="37">
        <v>2137</v>
      </c>
      <c r="J817" t="s" s="37">
        <v>660</v>
      </c>
      <c r="K817" t="s" s="40">
        <v>630</v>
      </c>
      <c r="L817" s="30"/>
    </row>
    <row r="818" ht="74.5" customHeight="1">
      <c r="A818" t="s" s="31">
        <v>2290</v>
      </c>
      <c r="B818" t="s" s="32">
        <v>131</v>
      </c>
      <c r="C818" t="s" s="32">
        <v>130</v>
      </c>
      <c r="D818" t="s" s="32">
        <v>181</v>
      </c>
      <c r="E818" t="s" s="32">
        <v>622</v>
      </c>
      <c r="F818" t="s" s="32">
        <v>618</v>
      </c>
      <c r="G818" t="s" s="32">
        <v>387</v>
      </c>
      <c r="H818" t="s" s="32">
        <v>2291</v>
      </c>
      <c r="I818" t="s" s="32">
        <v>2146</v>
      </c>
      <c r="J818" t="s" s="32">
        <v>651</v>
      </c>
      <c r="K818" t="s" s="35">
        <v>622</v>
      </c>
      <c r="L818" s="30"/>
    </row>
    <row r="819" ht="74.5" customHeight="1">
      <c r="A819" t="s" s="36">
        <v>2292</v>
      </c>
      <c r="B819" t="s" s="37">
        <v>131</v>
      </c>
      <c r="C819" t="s" s="37">
        <v>130</v>
      </c>
      <c r="D819" t="s" s="37">
        <v>181</v>
      </c>
      <c r="E819" t="s" s="37">
        <v>622</v>
      </c>
      <c r="F819" t="s" s="37">
        <v>618</v>
      </c>
      <c r="G819" t="s" s="37">
        <v>400</v>
      </c>
      <c r="H819" t="s" s="37">
        <v>2293</v>
      </c>
      <c r="I819" t="s" s="37">
        <v>2146</v>
      </c>
      <c r="J819" t="s" s="37">
        <v>651</v>
      </c>
      <c r="K819" t="s" s="40">
        <v>622</v>
      </c>
      <c r="L819" s="30"/>
    </row>
    <row r="820" ht="74.5" customHeight="1">
      <c r="A820" t="s" s="31">
        <v>2294</v>
      </c>
      <c r="B820" t="s" s="32">
        <v>131</v>
      </c>
      <c r="C820" t="s" s="32">
        <v>130</v>
      </c>
      <c r="D820" t="s" s="32">
        <v>181</v>
      </c>
      <c r="E820" t="s" s="32">
        <v>622</v>
      </c>
      <c r="F820" t="s" s="32">
        <v>618</v>
      </c>
      <c r="G820" t="s" s="32">
        <v>412</v>
      </c>
      <c r="H820" t="s" s="32">
        <v>2295</v>
      </c>
      <c r="I820" t="s" s="32">
        <v>2146</v>
      </c>
      <c r="J820" t="s" s="32">
        <v>651</v>
      </c>
      <c r="K820" t="s" s="35">
        <v>622</v>
      </c>
      <c r="L820" s="30"/>
    </row>
    <row r="821" ht="74.5" customHeight="1">
      <c r="A821" t="s" s="36">
        <v>2296</v>
      </c>
      <c r="B821" t="s" s="37">
        <v>131</v>
      </c>
      <c r="C821" t="s" s="37">
        <v>130</v>
      </c>
      <c r="D821" t="s" s="37">
        <v>181</v>
      </c>
      <c r="E821" t="s" s="37">
        <v>622</v>
      </c>
      <c r="F821" t="s" s="37">
        <v>618</v>
      </c>
      <c r="G821" t="s" s="37">
        <v>424</v>
      </c>
      <c r="H821" t="s" s="37">
        <v>2297</v>
      </c>
      <c r="I821" t="s" s="37">
        <v>2146</v>
      </c>
      <c r="J821" t="s" s="37">
        <v>651</v>
      </c>
      <c r="K821" t="s" s="40">
        <v>622</v>
      </c>
      <c r="L821" s="30"/>
    </row>
    <row r="822" ht="74.5" customHeight="1">
      <c r="A822" t="s" s="31">
        <v>2298</v>
      </c>
      <c r="B822" t="s" s="32">
        <v>131</v>
      </c>
      <c r="C822" t="s" s="32">
        <v>130</v>
      </c>
      <c r="D822" t="s" s="32">
        <v>181</v>
      </c>
      <c r="E822" t="s" s="32">
        <v>622</v>
      </c>
      <c r="F822" t="s" s="32">
        <v>630</v>
      </c>
      <c r="G822" t="s" s="32">
        <v>387</v>
      </c>
      <c r="H822" t="s" s="32">
        <v>2299</v>
      </c>
      <c r="I822" t="s" s="32">
        <v>2155</v>
      </c>
      <c r="J822" t="s" s="32">
        <v>660</v>
      </c>
      <c r="K822" t="s" s="35">
        <v>630</v>
      </c>
      <c r="L822" s="30"/>
    </row>
    <row r="823" ht="74.5" customHeight="1">
      <c r="A823" t="s" s="36">
        <v>2300</v>
      </c>
      <c r="B823" t="s" s="37">
        <v>131</v>
      </c>
      <c r="C823" t="s" s="37">
        <v>130</v>
      </c>
      <c r="D823" t="s" s="37">
        <v>181</v>
      </c>
      <c r="E823" t="s" s="37">
        <v>622</v>
      </c>
      <c r="F823" t="s" s="37">
        <v>630</v>
      </c>
      <c r="G823" t="s" s="37">
        <v>400</v>
      </c>
      <c r="H823" t="s" s="37">
        <v>2301</v>
      </c>
      <c r="I823" t="s" s="37">
        <v>2155</v>
      </c>
      <c r="J823" t="s" s="37">
        <v>660</v>
      </c>
      <c r="K823" t="s" s="40">
        <v>630</v>
      </c>
      <c r="L823" s="30"/>
    </row>
    <row r="824" ht="74.5" customHeight="1">
      <c r="A824" t="s" s="31">
        <v>2302</v>
      </c>
      <c r="B824" t="s" s="32">
        <v>131</v>
      </c>
      <c r="C824" t="s" s="32">
        <v>130</v>
      </c>
      <c r="D824" t="s" s="32">
        <v>181</v>
      </c>
      <c r="E824" t="s" s="32">
        <v>622</v>
      </c>
      <c r="F824" t="s" s="32">
        <v>630</v>
      </c>
      <c r="G824" t="s" s="32">
        <v>412</v>
      </c>
      <c r="H824" t="s" s="32">
        <v>2303</v>
      </c>
      <c r="I824" t="s" s="32">
        <v>2155</v>
      </c>
      <c r="J824" t="s" s="32">
        <v>660</v>
      </c>
      <c r="K824" t="s" s="35">
        <v>630</v>
      </c>
      <c r="L824" s="30"/>
    </row>
    <row r="825" ht="74.5" customHeight="1">
      <c r="A825" t="s" s="36">
        <v>2304</v>
      </c>
      <c r="B825" t="s" s="37">
        <v>131</v>
      </c>
      <c r="C825" t="s" s="37">
        <v>130</v>
      </c>
      <c r="D825" t="s" s="37">
        <v>181</v>
      </c>
      <c r="E825" t="s" s="37">
        <v>622</v>
      </c>
      <c r="F825" t="s" s="37">
        <v>630</v>
      </c>
      <c r="G825" t="s" s="37">
        <v>424</v>
      </c>
      <c r="H825" t="s" s="37">
        <v>2305</v>
      </c>
      <c r="I825" t="s" s="37">
        <v>2155</v>
      </c>
      <c r="J825" t="s" s="37">
        <v>660</v>
      </c>
      <c r="K825" t="s" s="40">
        <v>630</v>
      </c>
      <c r="L825" s="30"/>
    </row>
    <row r="826" ht="74.5" customHeight="1">
      <c r="A826" t="s" s="31">
        <v>2306</v>
      </c>
      <c r="B826" t="s" s="32">
        <v>131</v>
      </c>
      <c r="C826" t="s" s="32">
        <v>130</v>
      </c>
      <c r="D826" t="s" s="32">
        <v>181</v>
      </c>
      <c r="E826" t="s" s="32">
        <v>622</v>
      </c>
      <c r="F826" t="s" s="32">
        <v>622</v>
      </c>
      <c r="G826" t="s" s="32">
        <v>387</v>
      </c>
      <c r="H826" t="s" s="32">
        <v>2307</v>
      </c>
      <c r="I826" t="s" s="32">
        <v>2155</v>
      </c>
      <c r="J826" t="s" s="32">
        <v>660</v>
      </c>
      <c r="K826" t="s" s="35">
        <v>641</v>
      </c>
      <c r="L826" s="30"/>
    </row>
    <row r="827" ht="74.5" customHeight="1">
      <c r="A827" t="s" s="36">
        <v>2308</v>
      </c>
      <c r="B827" t="s" s="37">
        <v>131</v>
      </c>
      <c r="C827" t="s" s="37">
        <v>130</v>
      </c>
      <c r="D827" t="s" s="37">
        <v>181</v>
      </c>
      <c r="E827" t="s" s="37">
        <v>622</v>
      </c>
      <c r="F827" t="s" s="37">
        <v>622</v>
      </c>
      <c r="G827" t="s" s="37">
        <v>400</v>
      </c>
      <c r="H827" t="s" s="37">
        <v>2309</v>
      </c>
      <c r="I827" t="s" s="37">
        <v>2155</v>
      </c>
      <c r="J827" t="s" s="37">
        <v>660</v>
      </c>
      <c r="K827" t="s" s="40">
        <v>641</v>
      </c>
      <c r="L827" s="30"/>
    </row>
    <row r="828" ht="74.5" customHeight="1">
      <c r="A828" t="s" s="31">
        <v>2310</v>
      </c>
      <c r="B828" t="s" s="32">
        <v>131</v>
      </c>
      <c r="C828" t="s" s="32">
        <v>130</v>
      </c>
      <c r="D828" t="s" s="32">
        <v>181</v>
      </c>
      <c r="E828" t="s" s="32">
        <v>622</v>
      </c>
      <c r="F828" t="s" s="32">
        <v>622</v>
      </c>
      <c r="G828" t="s" s="32">
        <v>412</v>
      </c>
      <c r="H828" t="s" s="32">
        <v>2311</v>
      </c>
      <c r="I828" t="s" s="32">
        <v>2155</v>
      </c>
      <c r="J828" t="s" s="32">
        <v>660</v>
      </c>
      <c r="K828" t="s" s="35">
        <v>641</v>
      </c>
      <c r="L828" s="30"/>
    </row>
    <row r="829" ht="74.5" customHeight="1">
      <c r="A829" t="s" s="36">
        <v>2312</v>
      </c>
      <c r="B829" t="s" s="37">
        <v>131</v>
      </c>
      <c r="C829" t="s" s="37">
        <v>130</v>
      </c>
      <c r="D829" t="s" s="37">
        <v>181</v>
      </c>
      <c r="E829" t="s" s="37">
        <v>622</v>
      </c>
      <c r="F829" t="s" s="37">
        <v>622</v>
      </c>
      <c r="G829" t="s" s="37">
        <v>424</v>
      </c>
      <c r="H829" t="s" s="37">
        <v>2313</v>
      </c>
      <c r="I829" t="s" s="37">
        <v>2155</v>
      </c>
      <c r="J829" t="s" s="37">
        <v>660</v>
      </c>
      <c r="K829" t="s" s="40">
        <v>641</v>
      </c>
      <c r="L829" s="30"/>
    </row>
    <row r="830" ht="74.5" customHeight="1">
      <c r="A830" t="s" s="31">
        <v>2314</v>
      </c>
      <c r="B830" t="s" s="32">
        <v>131</v>
      </c>
      <c r="C830" t="s" s="32">
        <v>130</v>
      </c>
      <c r="D830" t="s" s="32">
        <v>193</v>
      </c>
      <c r="E830" t="s" s="32">
        <v>618</v>
      </c>
      <c r="F830" t="s" s="32">
        <v>618</v>
      </c>
      <c r="G830" t="s" s="32">
        <v>387</v>
      </c>
      <c r="H830" t="s" s="32">
        <v>2315</v>
      </c>
      <c r="I830" t="s" s="32">
        <v>2095</v>
      </c>
      <c r="J830" t="s" s="32">
        <v>621</v>
      </c>
      <c r="K830" t="s" s="35">
        <v>622</v>
      </c>
      <c r="L830" s="30"/>
    </row>
    <row r="831" ht="74.5" customHeight="1">
      <c r="A831" t="s" s="36">
        <v>2316</v>
      </c>
      <c r="B831" t="s" s="37">
        <v>131</v>
      </c>
      <c r="C831" t="s" s="37">
        <v>130</v>
      </c>
      <c r="D831" t="s" s="37">
        <v>193</v>
      </c>
      <c r="E831" t="s" s="37">
        <v>618</v>
      </c>
      <c r="F831" t="s" s="37">
        <v>618</v>
      </c>
      <c r="G831" t="s" s="37">
        <v>400</v>
      </c>
      <c r="H831" t="s" s="37">
        <v>2317</v>
      </c>
      <c r="I831" t="s" s="37">
        <v>2095</v>
      </c>
      <c r="J831" t="s" s="37">
        <v>621</v>
      </c>
      <c r="K831" t="s" s="40">
        <v>622</v>
      </c>
      <c r="L831" s="30"/>
    </row>
    <row r="832" ht="74.5" customHeight="1">
      <c r="A832" t="s" s="31">
        <v>2318</v>
      </c>
      <c r="B832" t="s" s="32">
        <v>131</v>
      </c>
      <c r="C832" t="s" s="32">
        <v>130</v>
      </c>
      <c r="D832" t="s" s="32">
        <v>193</v>
      </c>
      <c r="E832" t="s" s="32">
        <v>618</v>
      </c>
      <c r="F832" t="s" s="32">
        <v>618</v>
      </c>
      <c r="G832" t="s" s="32">
        <v>412</v>
      </c>
      <c r="H832" t="s" s="32">
        <v>2319</v>
      </c>
      <c r="I832" t="s" s="32">
        <v>2095</v>
      </c>
      <c r="J832" t="s" s="32">
        <v>621</v>
      </c>
      <c r="K832" t="s" s="35">
        <v>622</v>
      </c>
      <c r="L832" s="30"/>
    </row>
    <row r="833" ht="74.5" customHeight="1">
      <c r="A833" t="s" s="36">
        <v>2320</v>
      </c>
      <c r="B833" t="s" s="37">
        <v>131</v>
      </c>
      <c r="C833" t="s" s="37">
        <v>130</v>
      </c>
      <c r="D833" t="s" s="37">
        <v>193</v>
      </c>
      <c r="E833" t="s" s="37">
        <v>618</v>
      </c>
      <c r="F833" t="s" s="37">
        <v>618</v>
      </c>
      <c r="G833" t="s" s="37">
        <v>424</v>
      </c>
      <c r="H833" t="s" s="37">
        <v>2321</v>
      </c>
      <c r="I833" t="s" s="37">
        <v>2095</v>
      </c>
      <c r="J833" t="s" s="37">
        <v>621</v>
      </c>
      <c r="K833" t="s" s="40">
        <v>622</v>
      </c>
      <c r="L833" s="30"/>
    </row>
    <row r="834" ht="74.5" customHeight="1">
      <c r="A834" t="s" s="31">
        <v>2322</v>
      </c>
      <c r="B834" t="s" s="32">
        <v>131</v>
      </c>
      <c r="C834" t="s" s="32">
        <v>130</v>
      </c>
      <c r="D834" t="s" s="32">
        <v>193</v>
      </c>
      <c r="E834" t="s" s="32">
        <v>618</v>
      </c>
      <c r="F834" t="s" s="32">
        <v>630</v>
      </c>
      <c r="G834" t="s" s="32">
        <v>387</v>
      </c>
      <c r="H834" t="s" s="32">
        <v>2323</v>
      </c>
      <c r="I834" t="s" s="32">
        <v>2095</v>
      </c>
      <c r="J834" t="s" s="32">
        <v>632</v>
      </c>
      <c r="K834" t="s" s="35">
        <v>622</v>
      </c>
      <c r="L834" s="30"/>
    </row>
    <row r="835" ht="74.5" customHeight="1">
      <c r="A835" t="s" s="36">
        <v>2324</v>
      </c>
      <c r="B835" t="s" s="37">
        <v>131</v>
      </c>
      <c r="C835" t="s" s="37">
        <v>130</v>
      </c>
      <c r="D835" t="s" s="37">
        <v>193</v>
      </c>
      <c r="E835" t="s" s="37">
        <v>618</v>
      </c>
      <c r="F835" t="s" s="37">
        <v>630</v>
      </c>
      <c r="G835" t="s" s="37">
        <v>400</v>
      </c>
      <c r="H835" t="s" s="37">
        <v>2325</v>
      </c>
      <c r="I835" t="s" s="37">
        <v>2095</v>
      </c>
      <c r="J835" t="s" s="37">
        <v>632</v>
      </c>
      <c r="K835" t="s" s="40">
        <v>622</v>
      </c>
      <c r="L835" s="30"/>
    </row>
    <row r="836" ht="74.5" customHeight="1">
      <c r="A836" t="s" s="31">
        <v>2326</v>
      </c>
      <c r="B836" t="s" s="32">
        <v>131</v>
      </c>
      <c r="C836" t="s" s="32">
        <v>130</v>
      </c>
      <c r="D836" t="s" s="32">
        <v>193</v>
      </c>
      <c r="E836" t="s" s="32">
        <v>618</v>
      </c>
      <c r="F836" t="s" s="32">
        <v>630</v>
      </c>
      <c r="G836" t="s" s="32">
        <v>412</v>
      </c>
      <c r="H836" t="s" s="32">
        <v>2327</v>
      </c>
      <c r="I836" t="s" s="32">
        <v>2095</v>
      </c>
      <c r="J836" t="s" s="32">
        <v>632</v>
      </c>
      <c r="K836" t="s" s="35">
        <v>622</v>
      </c>
      <c r="L836" s="30"/>
    </row>
    <row r="837" ht="74.5" customHeight="1">
      <c r="A837" t="s" s="36">
        <v>2328</v>
      </c>
      <c r="B837" t="s" s="37">
        <v>131</v>
      </c>
      <c r="C837" t="s" s="37">
        <v>130</v>
      </c>
      <c r="D837" t="s" s="37">
        <v>193</v>
      </c>
      <c r="E837" t="s" s="37">
        <v>618</v>
      </c>
      <c r="F837" t="s" s="37">
        <v>630</v>
      </c>
      <c r="G837" t="s" s="37">
        <v>424</v>
      </c>
      <c r="H837" t="s" s="37">
        <v>2329</v>
      </c>
      <c r="I837" t="s" s="37">
        <v>2095</v>
      </c>
      <c r="J837" t="s" s="37">
        <v>632</v>
      </c>
      <c r="K837" t="s" s="40">
        <v>622</v>
      </c>
      <c r="L837" s="30"/>
    </row>
    <row r="838" ht="74.5" customHeight="1">
      <c r="A838" t="s" s="31">
        <v>2330</v>
      </c>
      <c r="B838" t="s" s="32">
        <v>131</v>
      </c>
      <c r="C838" t="s" s="32">
        <v>130</v>
      </c>
      <c r="D838" t="s" s="32">
        <v>193</v>
      </c>
      <c r="E838" t="s" s="32">
        <v>618</v>
      </c>
      <c r="F838" t="s" s="32">
        <v>622</v>
      </c>
      <c r="G838" t="s" s="32">
        <v>387</v>
      </c>
      <c r="H838" t="s" s="32">
        <v>2331</v>
      </c>
      <c r="I838" t="s" s="32">
        <v>2095</v>
      </c>
      <c r="J838" t="s" s="32">
        <v>632</v>
      </c>
      <c r="K838" t="s" s="35">
        <v>641</v>
      </c>
      <c r="L838" s="30"/>
    </row>
    <row r="839" ht="74.5" customHeight="1">
      <c r="A839" t="s" s="36">
        <v>2332</v>
      </c>
      <c r="B839" t="s" s="37">
        <v>131</v>
      </c>
      <c r="C839" t="s" s="37">
        <v>130</v>
      </c>
      <c r="D839" t="s" s="37">
        <v>193</v>
      </c>
      <c r="E839" t="s" s="37">
        <v>618</v>
      </c>
      <c r="F839" t="s" s="37">
        <v>622</v>
      </c>
      <c r="G839" t="s" s="37">
        <v>400</v>
      </c>
      <c r="H839" t="s" s="37">
        <v>2333</v>
      </c>
      <c r="I839" t="s" s="37">
        <v>2095</v>
      </c>
      <c r="J839" t="s" s="37">
        <v>632</v>
      </c>
      <c r="K839" t="s" s="40">
        <v>641</v>
      </c>
      <c r="L839" s="30"/>
    </row>
    <row r="840" ht="74.5" customHeight="1">
      <c r="A840" t="s" s="31">
        <v>2334</v>
      </c>
      <c r="B840" t="s" s="32">
        <v>131</v>
      </c>
      <c r="C840" t="s" s="32">
        <v>130</v>
      </c>
      <c r="D840" t="s" s="32">
        <v>193</v>
      </c>
      <c r="E840" t="s" s="32">
        <v>618</v>
      </c>
      <c r="F840" t="s" s="32">
        <v>622</v>
      </c>
      <c r="G840" t="s" s="32">
        <v>412</v>
      </c>
      <c r="H840" t="s" s="32">
        <v>2335</v>
      </c>
      <c r="I840" t="s" s="32">
        <v>2095</v>
      </c>
      <c r="J840" t="s" s="32">
        <v>632</v>
      </c>
      <c r="K840" t="s" s="35">
        <v>641</v>
      </c>
      <c r="L840" s="30"/>
    </row>
    <row r="841" ht="74.5" customHeight="1">
      <c r="A841" t="s" s="36">
        <v>2336</v>
      </c>
      <c r="B841" t="s" s="37">
        <v>131</v>
      </c>
      <c r="C841" t="s" s="37">
        <v>130</v>
      </c>
      <c r="D841" t="s" s="37">
        <v>193</v>
      </c>
      <c r="E841" t="s" s="37">
        <v>618</v>
      </c>
      <c r="F841" t="s" s="37">
        <v>622</v>
      </c>
      <c r="G841" t="s" s="37">
        <v>424</v>
      </c>
      <c r="H841" t="s" s="37">
        <v>2337</v>
      </c>
      <c r="I841" t="s" s="37">
        <v>2095</v>
      </c>
      <c r="J841" t="s" s="37">
        <v>632</v>
      </c>
      <c r="K841" t="s" s="40">
        <v>641</v>
      </c>
      <c r="L841" s="30"/>
    </row>
    <row r="842" ht="74.5" customHeight="1">
      <c r="A842" t="s" s="31">
        <v>2338</v>
      </c>
      <c r="B842" t="s" s="32">
        <v>131</v>
      </c>
      <c r="C842" t="s" s="32">
        <v>130</v>
      </c>
      <c r="D842" t="s" s="32">
        <v>193</v>
      </c>
      <c r="E842" t="s" s="32">
        <v>630</v>
      </c>
      <c r="F842" t="s" s="32">
        <v>618</v>
      </c>
      <c r="G842" t="s" s="32">
        <v>387</v>
      </c>
      <c r="H842" t="s" s="32">
        <v>2339</v>
      </c>
      <c r="I842" t="s" s="32">
        <v>2120</v>
      </c>
      <c r="J842" t="s" s="32">
        <v>651</v>
      </c>
      <c r="K842" t="s" s="35">
        <v>622</v>
      </c>
      <c r="L842" s="30"/>
    </row>
    <row r="843" ht="74.5" customHeight="1">
      <c r="A843" t="s" s="36">
        <v>2340</v>
      </c>
      <c r="B843" t="s" s="37">
        <v>131</v>
      </c>
      <c r="C843" t="s" s="37">
        <v>130</v>
      </c>
      <c r="D843" t="s" s="37">
        <v>193</v>
      </c>
      <c r="E843" t="s" s="37">
        <v>630</v>
      </c>
      <c r="F843" t="s" s="37">
        <v>618</v>
      </c>
      <c r="G843" t="s" s="37">
        <v>400</v>
      </c>
      <c r="H843" t="s" s="37">
        <v>2341</v>
      </c>
      <c r="I843" t="s" s="37">
        <v>2120</v>
      </c>
      <c r="J843" t="s" s="37">
        <v>651</v>
      </c>
      <c r="K843" t="s" s="40">
        <v>622</v>
      </c>
      <c r="L843" s="30"/>
    </row>
    <row r="844" ht="74.5" customHeight="1">
      <c r="A844" t="s" s="31">
        <v>2342</v>
      </c>
      <c r="B844" t="s" s="32">
        <v>131</v>
      </c>
      <c r="C844" t="s" s="32">
        <v>130</v>
      </c>
      <c r="D844" t="s" s="32">
        <v>193</v>
      </c>
      <c r="E844" t="s" s="32">
        <v>630</v>
      </c>
      <c r="F844" t="s" s="32">
        <v>618</v>
      </c>
      <c r="G844" t="s" s="32">
        <v>412</v>
      </c>
      <c r="H844" t="s" s="32">
        <v>2343</v>
      </c>
      <c r="I844" t="s" s="32">
        <v>2120</v>
      </c>
      <c r="J844" t="s" s="32">
        <v>651</v>
      </c>
      <c r="K844" t="s" s="35">
        <v>622</v>
      </c>
      <c r="L844" s="30"/>
    </row>
    <row r="845" ht="74.5" customHeight="1">
      <c r="A845" t="s" s="36">
        <v>2344</v>
      </c>
      <c r="B845" t="s" s="37">
        <v>131</v>
      </c>
      <c r="C845" t="s" s="37">
        <v>130</v>
      </c>
      <c r="D845" t="s" s="37">
        <v>193</v>
      </c>
      <c r="E845" t="s" s="37">
        <v>630</v>
      </c>
      <c r="F845" t="s" s="37">
        <v>618</v>
      </c>
      <c r="G845" t="s" s="37">
        <v>424</v>
      </c>
      <c r="H845" t="s" s="37">
        <v>2345</v>
      </c>
      <c r="I845" t="s" s="37">
        <v>2120</v>
      </c>
      <c r="J845" t="s" s="37">
        <v>651</v>
      </c>
      <c r="K845" t="s" s="40">
        <v>622</v>
      </c>
      <c r="L845" s="30"/>
    </row>
    <row r="846" ht="74.5" customHeight="1">
      <c r="A846" t="s" s="31">
        <v>2346</v>
      </c>
      <c r="B846" t="s" s="32">
        <v>131</v>
      </c>
      <c r="C846" t="s" s="32">
        <v>130</v>
      </c>
      <c r="D846" t="s" s="32">
        <v>193</v>
      </c>
      <c r="E846" t="s" s="32">
        <v>630</v>
      </c>
      <c r="F846" t="s" s="32">
        <v>630</v>
      </c>
      <c r="G846" t="s" s="32">
        <v>387</v>
      </c>
      <c r="H846" t="s" s="32">
        <v>2347</v>
      </c>
      <c r="I846" t="s" s="32">
        <v>2120</v>
      </c>
      <c r="J846" t="s" s="32">
        <v>660</v>
      </c>
      <c r="K846" t="s" s="35">
        <v>630</v>
      </c>
      <c r="L846" s="30"/>
    </row>
    <row r="847" ht="74.5" customHeight="1">
      <c r="A847" t="s" s="36">
        <v>2348</v>
      </c>
      <c r="B847" t="s" s="37">
        <v>131</v>
      </c>
      <c r="C847" t="s" s="37">
        <v>130</v>
      </c>
      <c r="D847" t="s" s="37">
        <v>193</v>
      </c>
      <c r="E847" t="s" s="37">
        <v>630</v>
      </c>
      <c r="F847" t="s" s="37">
        <v>630</v>
      </c>
      <c r="G847" t="s" s="37">
        <v>400</v>
      </c>
      <c r="H847" t="s" s="37">
        <v>2349</v>
      </c>
      <c r="I847" t="s" s="37">
        <v>2120</v>
      </c>
      <c r="J847" t="s" s="37">
        <v>660</v>
      </c>
      <c r="K847" t="s" s="40">
        <v>630</v>
      </c>
      <c r="L847" s="30"/>
    </row>
    <row r="848" ht="74.5" customHeight="1">
      <c r="A848" t="s" s="31">
        <v>2350</v>
      </c>
      <c r="B848" t="s" s="32">
        <v>131</v>
      </c>
      <c r="C848" t="s" s="32">
        <v>130</v>
      </c>
      <c r="D848" t="s" s="32">
        <v>193</v>
      </c>
      <c r="E848" t="s" s="32">
        <v>630</v>
      </c>
      <c r="F848" t="s" s="32">
        <v>630</v>
      </c>
      <c r="G848" t="s" s="32">
        <v>412</v>
      </c>
      <c r="H848" t="s" s="32">
        <v>2351</v>
      </c>
      <c r="I848" t="s" s="32">
        <v>2120</v>
      </c>
      <c r="J848" t="s" s="32">
        <v>660</v>
      </c>
      <c r="K848" t="s" s="35">
        <v>630</v>
      </c>
      <c r="L848" s="30"/>
    </row>
    <row r="849" ht="74.5" customHeight="1">
      <c r="A849" t="s" s="36">
        <v>2352</v>
      </c>
      <c r="B849" t="s" s="37">
        <v>131</v>
      </c>
      <c r="C849" t="s" s="37">
        <v>130</v>
      </c>
      <c r="D849" t="s" s="37">
        <v>193</v>
      </c>
      <c r="E849" t="s" s="37">
        <v>630</v>
      </c>
      <c r="F849" t="s" s="37">
        <v>630</v>
      </c>
      <c r="G849" t="s" s="37">
        <v>424</v>
      </c>
      <c r="H849" t="s" s="37">
        <v>2353</v>
      </c>
      <c r="I849" t="s" s="37">
        <v>2120</v>
      </c>
      <c r="J849" t="s" s="37">
        <v>660</v>
      </c>
      <c r="K849" t="s" s="40">
        <v>630</v>
      </c>
      <c r="L849" s="30"/>
    </row>
    <row r="850" ht="74.5" customHeight="1">
      <c r="A850" t="s" s="31">
        <v>2354</v>
      </c>
      <c r="B850" t="s" s="32">
        <v>131</v>
      </c>
      <c r="C850" t="s" s="32">
        <v>130</v>
      </c>
      <c r="D850" t="s" s="32">
        <v>193</v>
      </c>
      <c r="E850" t="s" s="32">
        <v>630</v>
      </c>
      <c r="F850" t="s" s="32">
        <v>622</v>
      </c>
      <c r="G850" t="s" s="32">
        <v>387</v>
      </c>
      <c r="H850" t="s" s="32">
        <v>2355</v>
      </c>
      <c r="I850" t="s" s="32">
        <v>2137</v>
      </c>
      <c r="J850" t="s" s="32">
        <v>660</v>
      </c>
      <c r="K850" t="s" s="35">
        <v>630</v>
      </c>
      <c r="L850" s="30"/>
    </row>
    <row r="851" ht="74.5" customHeight="1">
      <c r="A851" t="s" s="36">
        <v>2356</v>
      </c>
      <c r="B851" t="s" s="37">
        <v>131</v>
      </c>
      <c r="C851" t="s" s="37">
        <v>130</v>
      </c>
      <c r="D851" t="s" s="37">
        <v>193</v>
      </c>
      <c r="E851" t="s" s="37">
        <v>630</v>
      </c>
      <c r="F851" t="s" s="37">
        <v>622</v>
      </c>
      <c r="G851" t="s" s="37">
        <v>400</v>
      </c>
      <c r="H851" t="s" s="37">
        <v>2357</v>
      </c>
      <c r="I851" t="s" s="37">
        <v>2137</v>
      </c>
      <c r="J851" t="s" s="37">
        <v>660</v>
      </c>
      <c r="K851" t="s" s="40">
        <v>630</v>
      </c>
      <c r="L851" s="30"/>
    </row>
    <row r="852" ht="74.5" customHeight="1">
      <c r="A852" t="s" s="31">
        <v>2358</v>
      </c>
      <c r="B852" t="s" s="32">
        <v>131</v>
      </c>
      <c r="C852" t="s" s="32">
        <v>130</v>
      </c>
      <c r="D852" t="s" s="32">
        <v>193</v>
      </c>
      <c r="E852" t="s" s="32">
        <v>630</v>
      </c>
      <c r="F852" t="s" s="32">
        <v>622</v>
      </c>
      <c r="G852" t="s" s="32">
        <v>412</v>
      </c>
      <c r="H852" t="s" s="32">
        <v>2359</v>
      </c>
      <c r="I852" t="s" s="32">
        <v>2137</v>
      </c>
      <c r="J852" t="s" s="32">
        <v>660</v>
      </c>
      <c r="K852" t="s" s="35">
        <v>630</v>
      </c>
      <c r="L852" s="30"/>
    </row>
    <row r="853" ht="74.5" customHeight="1">
      <c r="A853" t="s" s="36">
        <v>2360</v>
      </c>
      <c r="B853" t="s" s="37">
        <v>131</v>
      </c>
      <c r="C853" t="s" s="37">
        <v>130</v>
      </c>
      <c r="D853" t="s" s="37">
        <v>193</v>
      </c>
      <c r="E853" t="s" s="37">
        <v>630</v>
      </c>
      <c r="F853" t="s" s="37">
        <v>622</v>
      </c>
      <c r="G853" t="s" s="37">
        <v>424</v>
      </c>
      <c r="H853" t="s" s="37">
        <v>2361</v>
      </c>
      <c r="I853" t="s" s="37">
        <v>2137</v>
      </c>
      <c r="J853" t="s" s="37">
        <v>660</v>
      </c>
      <c r="K853" t="s" s="40">
        <v>630</v>
      </c>
      <c r="L853" s="30"/>
    </row>
    <row r="854" ht="74.5" customHeight="1">
      <c r="A854" t="s" s="31">
        <v>2362</v>
      </c>
      <c r="B854" t="s" s="32">
        <v>131</v>
      </c>
      <c r="C854" t="s" s="32">
        <v>130</v>
      </c>
      <c r="D854" t="s" s="32">
        <v>193</v>
      </c>
      <c r="E854" t="s" s="32">
        <v>622</v>
      </c>
      <c r="F854" t="s" s="32">
        <v>618</v>
      </c>
      <c r="G854" t="s" s="32">
        <v>387</v>
      </c>
      <c r="H854" t="s" s="32">
        <v>2363</v>
      </c>
      <c r="I854" t="s" s="32">
        <v>2146</v>
      </c>
      <c r="J854" t="s" s="32">
        <v>651</v>
      </c>
      <c r="K854" t="s" s="35">
        <v>622</v>
      </c>
      <c r="L854" s="30"/>
    </row>
    <row r="855" ht="74.5" customHeight="1">
      <c r="A855" t="s" s="36">
        <v>2364</v>
      </c>
      <c r="B855" t="s" s="37">
        <v>131</v>
      </c>
      <c r="C855" t="s" s="37">
        <v>130</v>
      </c>
      <c r="D855" t="s" s="37">
        <v>193</v>
      </c>
      <c r="E855" t="s" s="37">
        <v>622</v>
      </c>
      <c r="F855" t="s" s="37">
        <v>618</v>
      </c>
      <c r="G855" t="s" s="37">
        <v>400</v>
      </c>
      <c r="H855" t="s" s="37">
        <v>2365</v>
      </c>
      <c r="I855" t="s" s="37">
        <v>2146</v>
      </c>
      <c r="J855" t="s" s="37">
        <v>651</v>
      </c>
      <c r="K855" t="s" s="40">
        <v>622</v>
      </c>
      <c r="L855" s="30"/>
    </row>
    <row r="856" ht="74.5" customHeight="1">
      <c r="A856" t="s" s="31">
        <v>2366</v>
      </c>
      <c r="B856" t="s" s="32">
        <v>131</v>
      </c>
      <c r="C856" t="s" s="32">
        <v>130</v>
      </c>
      <c r="D856" t="s" s="32">
        <v>193</v>
      </c>
      <c r="E856" t="s" s="32">
        <v>622</v>
      </c>
      <c r="F856" t="s" s="32">
        <v>618</v>
      </c>
      <c r="G856" t="s" s="32">
        <v>412</v>
      </c>
      <c r="H856" t="s" s="32">
        <v>2367</v>
      </c>
      <c r="I856" t="s" s="32">
        <v>2146</v>
      </c>
      <c r="J856" t="s" s="32">
        <v>651</v>
      </c>
      <c r="K856" t="s" s="35">
        <v>622</v>
      </c>
      <c r="L856" s="30"/>
    </row>
    <row r="857" ht="74.5" customHeight="1">
      <c r="A857" t="s" s="36">
        <v>2368</v>
      </c>
      <c r="B857" t="s" s="37">
        <v>131</v>
      </c>
      <c r="C857" t="s" s="37">
        <v>130</v>
      </c>
      <c r="D857" t="s" s="37">
        <v>193</v>
      </c>
      <c r="E857" t="s" s="37">
        <v>622</v>
      </c>
      <c r="F857" t="s" s="37">
        <v>618</v>
      </c>
      <c r="G857" t="s" s="37">
        <v>424</v>
      </c>
      <c r="H857" t="s" s="37">
        <v>2369</v>
      </c>
      <c r="I857" t="s" s="37">
        <v>2146</v>
      </c>
      <c r="J857" t="s" s="37">
        <v>651</v>
      </c>
      <c r="K857" t="s" s="40">
        <v>622</v>
      </c>
      <c r="L857" s="30"/>
    </row>
    <row r="858" ht="74.5" customHeight="1">
      <c r="A858" t="s" s="31">
        <v>2370</v>
      </c>
      <c r="B858" t="s" s="32">
        <v>131</v>
      </c>
      <c r="C858" t="s" s="32">
        <v>130</v>
      </c>
      <c r="D858" t="s" s="32">
        <v>193</v>
      </c>
      <c r="E858" t="s" s="32">
        <v>622</v>
      </c>
      <c r="F858" t="s" s="32">
        <v>630</v>
      </c>
      <c r="G858" t="s" s="32">
        <v>387</v>
      </c>
      <c r="H858" t="s" s="32">
        <v>2371</v>
      </c>
      <c r="I858" t="s" s="32">
        <v>2155</v>
      </c>
      <c r="J858" t="s" s="32">
        <v>660</v>
      </c>
      <c r="K858" t="s" s="35">
        <v>630</v>
      </c>
      <c r="L858" s="30"/>
    </row>
    <row r="859" ht="74.5" customHeight="1">
      <c r="A859" t="s" s="36">
        <v>2372</v>
      </c>
      <c r="B859" t="s" s="37">
        <v>131</v>
      </c>
      <c r="C859" t="s" s="37">
        <v>130</v>
      </c>
      <c r="D859" t="s" s="37">
        <v>193</v>
      </c>
      <c r="E859" t="s" s="37">
        <v>622</v>
      </c>
      <c r="F859" t="s" s="37">
        <v>630</v>
      </c>
      <c r="G859" t="s" s="37">
        <v>400</v>
      </c>
      <c r="H859" t="s" s="37">
        <v>2373</v>
      </c>
      <c r="I859" t="s" s="37">
        <v>2155</v>
      </c>
      <c r="J859" t="s" s="37">
        <v>660</v>
      </c>
      <c r="K859" t="s" s="40">
        <v>630</v>
      </c>
      <c r="L859" s="30"/>
    </row>
    <row r="860" ht="74.5" customHeight="1">
      <c r="A860" t="s" s="31">
        <v>2374</v>
      </c>
      <c r="B860" t="s" s="32">
        <v>131</v>
      </c>
      <c r="C860" t="s" s="32">
        <v>130</v>
      </c>
      <c r="D860" t="s" s="32">
        <v>193</v>
      </c>
      <c r="E860" t="s" s="32">
        <v>622</v>
      </c>
      <c r="F860" t="s" s="32">
        <v>630</v>
      </c>
      <c r="G860" t="s" s="32">
        <v>412</v>
      </c>
      <c r="H860" t="s" s="32">
        <v>2375</v>
      </c>
      <c r="I860" t="s" s="32">
        <v>2155</v>
      </c>
      <c r="J860" t="s" s="32">
        <v>660</v>
      </c>
      <c r="K860" t="s" s="35">
        <v>630</v>
      </c>
      <c r="L860" s="30"/>
    </row>
    <row r="861" ht="74.5" customHeight="1">
      <c r="A861" t="s" s="36">
        <v>2376</v>
      </c>
      <c r="B861" t="s" s="37">
        <v>131</v>
      </c>
      <c r="C861" t="s" s="37">
        <v>130</v>
      </c>
      <c r="D861" t="s" s="37">
        <v>193</v>
      </c>
      <c r="E861" t="s" s="37">
        <v>622</v>
      </c>
      <c r="F861" t="s" s="37">
        <v>630</v>
      </c>
      <c r="G861" t="s" s="37">
        <v>424</v>
      </c>
      <c r="H861" t="s" s="37">
        <v>2377</v>
      </c>
      <c r="I861" t="s" s="37">
        <v>2155</v>
      </c>
      <c r="J861" t="s" s="37">
        <v>660</v>
      </c>
      <c r="K861" t="s" s="40">
        <v>630</v>
      </c>
      <c r="L861" s="30"/>
    </row>
    <row r="862" ht="74.5" customHeight="1">
      <c r="A862" t="s" s="31">
        <v>2378</v>
      </c>
      <c r="B862" t="s" s="32">
        <v>131</v>
      </c>
      <c r="C862" t="s" s="32">
        <v>130</v>
      </c>
      <c r="D862" t="s" s="32">
        <v>193</v>
      </c>
      <c r="E862" t="s" s="32">
        <v>622</v>
      </c>
      <c r="F862" t="s" s="32">
        <v>622</v>
      </c>
      <c r="G862" t="s" s="32">
        <v>387</v>
      </c>
      <c r="H862" t="s" s="32">
        <v>2379</v>
      </c>
      <c r="I862" t="s" s="32">
        <v>2155</v>
      </c>
      <c r="J862" t="s" s="32">
        <v>660</v>
      </c>
      <c r="K862" t="s" s="35">
        <v>641</v>
      </c>
      <c r="L862" s="30"/>
    </row>
    <row r="863" ht="74.5" customHeight="1">
      <c r="A863" t="s" s="36">
        <v>2380</v>
      </c>
      <c r="B863" t="s" s="37">
        <v>131</v>
      </c>
      <c r="C863" t="s" s="37">
        <v>130</v>
      </c>
      <c r="D863" t="s" s="37">
        <v>193</v>
      </c>
      <c r="E863" t="s" s="37">
        <v>622</v>
      </c>
      <c r="F863" t="s" s="37">
        <v>622</v>
      </c>
      <c r="G863" t="s" s="37">
        <v>400</v>
      </c>
      <c r="H863" t="s" s="37">
        <v>2381</v>
      </c>
      <c r="I863" t="s" s="37">
        <v>2155</v>
      </c>
      <c r="J863" t="s" s="37">
        <v>660</v>
      </c>
      <c r="K863" t="s" s="40">
        <v>641</v>
      </c>
      <c r="L863" s="30"/>
    </row>
    <row r="864" ht="74.5" customHeight="1">
      <c r="A864" t="s" s="31">
        <v>2382</v>
      </c>
      <c r="B864" t="s" s="32">
        <v>131</v>
      </c>
      <c r="C864" t="s" s="32">
        <v>130</v>
      </c>
      <c r="D864" t="s" s="32">
        <v>193</v>
      </c>
      <c r="E864" t="s" s="32">
        <v>622</v>
      </c>
      <c r="F864" t="s" s="32">
        <v>622</v>
      </c>
      <c r="G864" t="s" s="32">
        <v>412</v>
      </c>
      <c r="H864" t="s" s="32">
        <v>2383</v>
      </c>
      <c r="I864" t="s" s="32">
        <v>2155</v>
      </c>
      <c r="J864" t="s" s="32">
        <v>660</v>
      </c>
      <c r="K864" t="s" s="35">
        <v>641</v>
      </c>
      <c r="L864" s="30"/>
    </row>
    <row r="865" ht="74.5" customHeight="1">
      <c r="A865" t="s" s="36">
        <v>2384</v>
      </c>
      <c r="B865" t="s" s="37">
        <v>131</v>
      </c>
      <c r="C865" t="s" s="37">
        <v>130</v>
      </c>
      <c r="D865" t="s" s="37">
        <v>193</v>
      </c>
      <c r="E865" t="s" s="37">
        <v>622</v>
      </c>
      <c r="F865" t="s" s="37">
        <v>622</v>
      </c>
      <c r="G865" t="s" s="37">
        <v>424</v>
      </c>
      <c r="H865" t="s" s="37">
        <v>2385</v>
      </c>
      <c r="I865" t="s" s="37">
        <v>2155</v>
      </c>
      <c r="J865" t="s" s="37">
        <v>660</v>
      </c>
      <c r="K865" t="s" s="40">
        <v>641</v>
      </c>
      <c r="L865" s="30"/>
    </row>
    <row r="866" ht="74.5" customHeight="1">
      <c r="A866" t="s" s="31">
        <v>2386</v>
      </c>
      <c r="B866" t="s" s="32">
        <v>131</v>
      </c>
      <c r="C866" t="s" s="32">
        <v>130</v>
      </c>
      <c r="D866" t="s" s="32">
        <v>205</v>
      </c>
      <c r="E866" t="s" s="32">
        <v>618</v>
      </c>
      <c r="F866" t="s" s="32">
        <v>618</v>
      </c>
      <c r="G866" t="s" s="32">
        <v>387</v>
      </c>
      <c r="H866" t="s" s="32">
        <v>2387</v>
      </c>
      <c r="I866" t="s" s="32">
        <v>2095</v>
      </c>
      <c r="J866" t="s" s="32">
        <v>920</v>
      </c>
      <c r="K866" t="s" s="35">
        <v>622</v>
      </c>
      <c r="L866" s="30"/>
    </row>
    <row r="867" ht="74.5" customHeight="1">
      <c r="A867" t="s" s="36">
        <v>2388</v>
      </c>
      <c r="B867" t="s" s="37">
        <v>131</v>
      </c>
      <c r="C867" t="s" s="37">
        <v>130</v>
      </c>
      <c r="D867" t="s" s="37">
        <v>205</v>
      </c>
      <c r="E867" t="s" s="37">
        <v>618</v>
      </c>
      <c r="F867" t="s" s="37">
        <v>618</v>
      </c>
      <c r="G867" t="s" s="37">
        <v>400</v>
      </c>
      <c r="H867" t="s" s="37">
        <v>2389</v>
      </c>
      <c r="I867" t="s" s="37">
        <v>2095</v>
      </c>
      <c r="J867" t="s" s="37">
        <v>920</v>
      </c>
      <c r="K867" t="s" s="40">
        <v>622</v>
      </c>
      <c r="L867" s="30"/>
    </row>
    <row r="868" ht="74.5" customHeight="1">
      <c r="A868" t="s" s="31">
        <v>2390</v>
      </c>
      <c r="B868" t="s" s="32">
        <v>131</v>
      </c>
      <c r="C868" t="s" s="32">
        <v>130</v>
      </c>
      <c r="D868" t="s" s="32">
        <v>205</v>
      </c>
      <c r="E868" t="s" s="32">
        <v>618</v>
      </c>
      <c r="F868" t="s" s="32">
        <v>618</v>
      </c>
      <c r="G868" t="s" s="32">
        <v>412</v>
      </c>
      <c r="H868" t="s" s="32">
        <v>2391</v>
      </c>
      <c r="I868" t="s" s="32">
        <v>2095</v>
      </c>
      <c r="J868" t="s" s="32">
        <v>920</v>
      </c>
      <c r="K868" t="s" s="35">
        <v>622</v>
      </c>
      <c r="L868" s="30"/>
    </row>
    <row r="869" ht="74.5" customHeight="1">
      <c r="A869" t="s" s="36">
        <v>2392</v>
      </c>
      <c r="B869" t="s" s="37">
        <v>131</v>
      </c>
      <c r="C869" t="s" s="37">
        <v>130</v>
      </c>
      <c r="D869" t="s" s="37">
        <v>205</v>
      </c>
      <c r="E869" t="s" s="37">
        <v>618</v>
      </c>
      <c r="F869" t="s" s="37">
        <v>618</v>
      </c>
      <c r="G869" t="s" s="37">
        <v>424</v>
      </c>
      <c r="H869" t="s" s="37">
        <v>2393</v>
      </c>
      <c r="I869" t="s" s="37">
        <v>2095</v>
      </c>
      <c r="J869" t="s" s="37">
        <v>920</v>
      </c>
      <c r="K869" t="s" s="40">
        <v>622</v>
      </c>
      <c r="L869" s="30"/>
    </row>
    <row r="870" ht="74.5" customHeight="1">
      <c r="A870" t="s" s="31">
        <v>2394</v>
      </c>
      <c r="B870" t="s" s="32">
        <v>131</v>
      </c>
      <c r="C870" t="s" s="32">
        <v>130</v>
      </c>
      <c r="D870" t="s" s="32">
        <v>205</v>
      </c>
      <c r="E870" t="s" s="32">
        <v>618</v>
      </c>
      <c r="F870" t="s" s="32">
        <v>630</v>
      </c>
      <c r="G870" t="s" s="32">
        <v>387</v>
      </c>
      <c r="H870" t="s" s="32">
        <v>2395</v>
      </c>
      <c r="I870" t="s" s="32">
        <v>2095</v>
      </c>
      <c r="J870" t="s" s="32">
        <v>929</v>
      </c>
      <c r="K870" t="s" s="35">
        <v>622</v>
      </c>
      <c r="L870" s="30"/>
    </row>
    <row r="871" ht="74.5" customHeight="1">
      <c r="A871" t="s" s="36">
        <v>2396</v>
      </c>
      <c r="B871" t="s" s="37">
        <v>131</v>
      </c>
      <c r="C871" t="s" s="37">
        <v>130</v>
      </c>
      <c r="D871" t="s" s="37">
        <v>205</v>
      </c>
      <c r="E871" t="s" s="37">
        <v>618</v>
      </c>
      <c r="F871" t="s" s="37">
        <v>630</v>
      </c>
      <c r="G871" t="s" s="37">
        <v>400</v>
      </c>
      <c r="H871" t="s" s="37">
        <v>2397</v>
      </c>
      <c r="I871" t="s" s="37">
        <v>2095</v>
      </c>
      <c r="J871" t="s" s="37">
        <v>929</v>
      </c>
      <c r="K871" t="s" s="40">
        <v>622</v>
      </c>
      <c r="L871" s="30"/>
    </row>
    <row r="872" ht="74.5" customHeight="1">
      <c r="A872" t="s" s="31">
        <v>2398</v>
      </c>
      <c r="B872" t="s" s="32">
        <v>131</v>
      </c>
      <c r="C872" t="s" s="32">
        <v>130</v>
      </c>
      <c r="D872" t="s" s="32">
        <v>205</v>
      </c>
      <c r="E872" t="s" s="32">
        <v>618</v>
      </c>
      <c r="F872" t="s" s="32">
        <v>630</v>
      </c>
      <c r="G872" t="s" s="32">
        <v>412</v>
      </c>
      <c r="H872" t="s" s="32">
        <v>2399</v>
      </c>
      <c r="I872" t="s" s="32">
        <v>2095</v>
      </c>
      <c r="J872" t="s" s="32">
        <v>929</v>
      </c>
      <c r="K872" t="s" s="35">
        <v>622</v>
      </c>
      <c r="L872" s="30"/>
    </row>
    <row r="873" ht="74.5" customHeight="1">
      <c r="A873" t="s" s="36">
        <v>2400</v>
      </c>
      <c r="B873" t="s" s="37">
        <v>131</v>
      </c>
      <c r="C873" t="s" s="37">
        <v>130</v>
      </c>
      <c r="D873" t="s" s="37">
        <v>205</v>
      </c>
      <c r="E873" t="s" s="37">
        <v>618</v>
      </c>
      <c r="F873" t="s" s="37">
        <v>630</v>
      </c>
      <c r="G873" t="s" s="37">
        <v>424</v>
      </c>
      <c r="H873" t="s" s="37">
        <v>2401</v>
      </c>
      <c r="I873" t="s" s="37">
        <v>2095</v>
      </c>
      <c r="J873" t="s" s="37">
        <v>929</v>
      </c>
      <c r="K873" t="s" s="40">
        <v>622</v>
      </c>
      <c r="L873" s="30"/>
    </row>
    <row r="874" ht="74.5" customHeight="1">
      <c r="A874" t="s" s="31">
        <v>2402</v>
      </c>
      <c r="B874" t="s" s="32">
        <v>131</v>
      </c>
      <c r="C874" t="s" s="32">
        <v>130</v>
      </c>
      <c r="D874" t="s" s="32">
        <v>205</v>
      </c>
      <c r="E874" t="s" s="32">
        <v>618</v>
      </c>
      <c r="F874" t="s" s="32">
        <v>622</v>
      </c>
      <c r="G874" t="s" s="32">
        <v>387</v>
      </c>
      <c r="H874" t="s" s="32">
        <v>2403</v>
      </c>
      <c r="I874" t="s" s="32">
        <v>2095</v>
      </c>
      <c r="J874" t="s" s="32">
        <v>929</v>
      </c>
      <c r="K874" t="s" s="35">
        <v>641</v>
      </c>
      <c r="L874" s="30"/>
    </row>
    <row r="875" ht="74.5" customHeight="1">
      <c r="A875" t="s" s="36">
        <v>2404</v>
      </c>
      <c r="B875" t="s" s="37">
        <v>131</v>
      </c>
      <c r="C875" t="s" s="37">
        <v>130</v>
      </c>
      <c r="D875" t="s" s="37">
        <v>205</v>
      </c>
      <c r="E875" t="s" s="37">
        <v>618</v>
      </c>
      <c r="F875" t="s" s="37">
        <v>622</v>
      </c>
      <c r="G875" t="s" s="37">
        <v>400</v>
      </c>
      <c r="H875" t="s" s="37">
        <v>2405</v>
      </c>
      <c r="I875" t="s" s="37">
        <v>2095</v>
      </c>
      <c r="J875" t="s" s="37">
        <v>929</v>
      </c>
      <c r="K875" t="s" s="40">
        <v>641</v>
      </c>
      <c r="L875" s="30"/>
    </row>
    <row r="876" ht="74.5" customHeight="1">
      <c r="A876" t="s" s="31">
        <v>2406</v>
      </c>
      <c r="B876" t="s" s="32">
        <v>131</v>
      </c>
      <c r="C876" t="s" s="32">
        <v>130</v>
      </c>
      <c r="D876" t="s" s="32">
        <v>205</v>
      </c>
      <c r="E876" t="s" s="32">
        <v>618</v>
      </c>
      <c r="F876" t="s" s="32">
        <v>622</v>
      </c>
      <c r="G876" t="s" s="32">
        <v>412</v>
      </c>
      <c r="H876" t="s" s="32">
        <v>2407</v>
      </c>
      <c r="I876" t="s" s="32">
        <v>2095</v>
      </c>
      <c r="J876" t="s" s="32">
        <v>929</v>
      </c>
      <c r="K876" t="s" s="35">
        <v>641</v>
      </c>
      <c r="L876" s="30"/>
    </row>
    <row r="877" ht="74.5" customHeight="1">
      <c r="A877" t="s" s="36">
        <v>2408</v>
      </c>
      <c r="B877" t="s" s="37">
        <v>131</v>
      </c>
      <c r="C877" t="s" s="37">
        <v>130</v>
      </c>
      <c r="D877" t="s" s="37">
        <v>205</v>
      </c>
      <c r="E877" t="s" s="37">
        <v>618</v>
      </c>
      <c r="F877" t="s" s="37">
        <v>622</v>
      </c>
      <c r="G877" t="s" s="37">
        <v>424</v>
      </c>
      <c r="H877" t="s" s="37">
        <v>2409</v>
      </c>
      <c r="I877" t="s" s="37">
        <v>2095</v>
      </c>
      <c r="J877" t="s" s="37">
        <v>929</v>
      </c>
      <c r="K877" t="s" s="40">
        <v>641</v>
      </c>
      <c r="L877" s="30"/>
    </row>
    <row r="878" ht="74.5" customHeight="1">
      <c r="A878" t="s" s="31">
        <v>2410</v>
      </c>
      <c r="B878" t="s" s="32">
        <v>131</v>
      </c>
      <c r="C878" t="s" s="32">
        <v>130</v>
      </c>
      <c r="D878" t="s" s="32">
        <v>205</v>
      </c>
      <c r="E878" t="s" s="32">
        <v>630</v>
      </c>
      <c r="F878" t="s" s="32">
        <v>618</v>
      </c>
      <c r="G878" t="s" s="32">
        <v>387</v>
      </c>
      <c r="H878" t="s" s="32">
        <v>2411</v>
      </c>
      <c r="I878" t="s" s="32">
        <v>2120</v>
      </c>
      <c r="J878" t="s" s="32">
        <v>946</v>
      </c>
      <c r="K878" t="s" s="35">
        <v>622</v>
      </c>
      <c r="L878" s="30"/>
    </row>
    <row r="879" ht="74.5" customHeight="1">
      <c r="A879" t="s" s="36">
        <v>2412</v>
      </c>
      <c r="B879" t="s" s="37">
        <v>131</v>
      </c>
      <c r="C879" t="s" s="37">
        <v>130</v>
      </c>
      <c r="D879" t="s" s="37">
        <v>205</v>
      </c>
      <c r="E879" t="s" s="37">
        <v>630</v>
      </c>
      <c r="F879" t="s" s="37">
        <v>618</v>
      </c>
      <c r="G879" t="s" s="37">
        <v>400</v>
      </c>
      <c r="H879" t="s" s="37">
        <v>2413</v>
      </c>
      <c r="I879" t="s" s="37">
        <v>2120</v>
      </c>
      <c r="J879" t="s" s="37">
        <v>946</v>
      </c>
      <c r="K879" t="s" s="40">
        <v>622</v>
      </c>
      <c r="L879" s="30"/>
    </row>
    <row r="880" ht="74.5" customHeight="1">
      <c r="A880" t="s" s="31">
        <v>2414</v>
      </c>
      <c r="B880" t="s" s="32">
        <v>131</v>
      </c>
      <c r="C880" t="s" s="32">
        <v>130</v>
      </c>
      <c r="D880" t="s" s="32">
        <v>205</v>
      </c>
      <c r="E880" t="s" s="32">
        <v>630</v>
      </c>
      <c r="F880" t="s" s="32">
        <v>618</v>
      </c>
      <c r="G880" t="s" s="32">
        <v>412</v>
      </c>
      <c r="H880" t="s" s="32">
        <v>2415</v>
      </c>
      <c r="I880" t="s" s="32">
        <v>2120</v>
      </c>
      <c r="J880" t="s" s="32">
        <v>946</v>
      </c>
      <c r="K880" t="s" s="35">
        <v>622</v>
      </c>
      <c r="L880" s="30"/>
    </row>
    <row r="881" ht="74.5" customHeight="1">
      <c r="A881" t="s" s="36">
        <v>2416</v>
      </c>
      <c r="B881" t="s" s="37">
        <v>131</v>
      </c>
      <c r="C881" t="s" s="37">
        <v>130</v>
      </c>
      <c r="D881" t="s" s="37">
        <v>205</v>
      </c>
      <c r="E881" t="s" s="37">
        <v>630</v>
      </c>
      <c r="F881" t="s" s="37">
        <v>618</v>
      </c>
      <c r="G881" t="s" s="37">
        <v>424</v>
      </c>
      <c r="H881" t="s" s="37">
        <v>2417</v>
      </c>
      <c r="I881" t="s" s="37">
        <v>2120</v>
      </c>
      <c r="J881" t="s" s="37">
        <v>946</v>
      </c>
      <c r="K881" t="s" s="40">
        <v>622</v>
      </c>
      <c r="L881" s="30"/>
    </row>
    <row r="882" ht="74.5" customHeight="1">
      <c r="A882" t="s" s="31">
        <v>2418</v>
      </c>
      <c r="B882" t="s" s="32">
        <v>131</v>
      </c>
      <c r="C882" t="s" s="32">
        <v>130</v>
      </c>
      <c r="D882" t="s" s="32">
        <v>205</v>
      </c>
      <c r="E882" t="s" s="32">
        <v>630</v>
      </c>
      <c r="F882" t="s" s="32">
        <v>630</v>
      </c>
      <c r="G882" t="s" s="32">
        <v>387</v>
      </c>
      <c r="H882" t="s" s="32">
        <v>2419</v>
      </c>
      <c r="I882" t="s" s="32">
        <v>2120</v>
      </c>
      <c r="J882" t="s" s="32">
        <v>955</v>
      </c>
      <c r="K882" t="s" s="35">
        <v>630</v>
      </c>
      <c r="L882" s="30"/>
    </row>
    <row r="883" ht="74.5" customHeight="1">
      <c r="A883" t="s" s="36">
        <v>2420</v>
      </c>
      <c r="B883" t="s" s="37">
        <v>131</v>
      </c>
      <c r="C883" t="s" s="37">
        <v>130</v>
      </c>
      <c r="D883" t="s" s="37">
        <v>205</v>
      </c>
      <c r="E883" t="s" s="37">
        <v>630</v>
      </c>
      <c r="F883" t="s" s="37">
        <v>630</v>
      </c>
      <c r="G883" t="s" s="37">
        <v>400</v>
      </c>
      <c r="H883" t="s" s="37">
        <v>2421</v>
      </c>
      <c r="I883" t="s" s="37">
        <v>2120</v>
      </c>
      <c r="J883" t="s" s="37">
        <v>955</v>
      </c>
      <c r="K883" t="s" s="40">
        <v>630</v>
      </c>
      <c r="L883" s="30"/>
    </row>
    <row r="884" ht="74.5" customHeight="1">
      <c r="A884" t="s" s="31">
        <v>2422</v>
      </c>
      <c r="B884" t="s" s="32">
        <v>131</v>
      </c>
      <c r="C884" t="s" s="32">
        <v>130</v>
      </c>
      <c r="D884" t="s" s="32">
        <v>205</v>
      </c>
      <c r="E884" t="s" s="32">
        <v>630</v>
      </c>
      <c r="F884" t="s" s="32">
        <v>630</v>
      </c>
      <c r="G884" t="s" s="32">
        <v>412</v>
      </c>
      <c r="H884" t="s" s="32">
        <v>2423</v>
      </c>
      <c r="I884" t="s" s="32">
        <v>2120</v>
      </c>
      <c r="J884" t="s" s="32">
        <v>955</v>
      </c>
      <c r="K884" t="s" s="35">
        <v>630</v>
      </c>
      <c r="L884" s="30"/>
    </row>
    <row r="885" ht="74.5" customHeight="1">
      <c r="A885" t="s" s="36">
        <v>2424</v>
      </c>
      <c r="B885" t="s" s="37">
        <v>131</v>
      </c>
      <c r="C885" t="s" s="37">
        <v>130</v>
      </c>
      <c r="D885" t="s" s="37">
        <v>205</v>
      </c>
      <c r="E885" t="s" s="37">
        <v>630</v>
      </c>
      <c r="F885" t="s" s="37">
        <v>630</v>
      </c>
      <c r="G885" t="s" s="37">
        <v>424</v>
      </c>
      <c r="H885" t="s" s="37">
        <v>2425</v>
      </c>
      <c r="I885" t="s" s="37">
        <v>2120</v>
      </c>
      <c r="J885" t="s" s="37">
        <v>955</v>
      </c>
      <c r="K885" t="s" s="40">
        <v>630</v>
      </c>
      <c r="L885" s="30"/>
    </row>
    <row r="886" ht="74.5" customHeight="1">
      <c r="A886" t="s" s="31">
        <v>2426</v>
      </c>
      <c r="B886" t="s" s="32">
        <v>131</v>
      </c>
      <c r="C886" t="s" s="32">
        <v>130</v>
      </c>
      <c r="D886" t="s" s="32">
        <v>205</v>
      </c>
      <c r="E886" t="s" s="32">
        <v>630</v>
      </c>
      <c r="F886" t="s" s="32">
        <v>622</v>
      </c>
      <c r="G886" t="s" s="32">
        <v>387</v>
      </c>
      <c r="H886" t="s" s="32">
        <v>2427</v>
      </c>
      <c r="I886" t="s" s="32">
        <v>2137</v>
      </c>
      <c r="J886" t="s" s="32">
        <v>955</v>
      </c>
      <c r="K886" t="s" s="35">
        <v>630</v>
      </c>
      <c r="L886" s="30"/>
    </row>
    <row r="887" ht="74.5" customHeight="1">
      <c r="A887" t="s" s="36">
        <v>2428</v>
      </c>
      <c r="B887" t="s" s="37">
        <v>131</v>
      </c>
      <c r="C887" t="s" s="37">
        <v>130</v>
      </c>
      <c r="D887" t="s" s="37">
        <v>205</v>
      </c>
      <c r="E887" t="s" s="37">
        <v>630</v>
      </c>
      <c r="F887" t="s" s="37">
        <v>622</v>
      </c>
      <c r="G887" t="s" s="37">
        <v>400</v>
      </c>
      <c r="H887" t="s" s="37">
        <v>2429</v>
      </c>
      <c r="I887" t="s" s="37">
        <v>2137</v>
      </c>
      <c r="J887" t="s" s="37">
        <v>955</v>
      </c>
      <c r="K887" t="s" s="40">
        <v>630</v>
      </c>
      <c r="L887" s="30"/>
    </row>
    <row r="888" ht="74.5" customHeight="1">
      <c r="A888" t="s" s="31">
        <v>2430</v>
      </c>
      <c r="B888" t="s" s="32">
        <v>131</v>
      </c>
      <c r="C888" t="s" s="32">
        <v>130</v>
      </c>
      <c r="D888" t="s" s="32">
        <v>205</v>
      </c>
      <c r="E888" t="s" s="32">
        <v>630</v>
      </c>
      <c r="F888" t="s" s="32">
        <v>622</v>
      </c>
      <c r="G888" t="s" s="32">
        <v>412</v>
      </c>
      <c r="H888" t="s" s="32">
        <v>2431</v>
      </c>
      <c r="I888" t="s" s="32">
        <v>2137</v>
      </c>
      <c r="J888" t="s" s="32">
        <v>955</v>
      </c>
      <c r="K888" t="s" s="35">
        <v>630</v>
      </c>
      <c r="L888" s="30"/>
    </row>
    <row r="889" ht="74.5" customHeight="1">
      <c r="A889" t="s" s="36">
        <v>2432</v>
      </c>
      <c r="B889" t="s" s="37">
        <v>131</v>
      </c>
      <c r="C889" t="s" s="37">
        <v>130</v>
      </c>
      <c r="D889" t="s" s="37">
        <v>205</v>
      </c>
      <c r="E889" t="s" s="37">
        <v>630</v>
      </c>
      <c r="F889" t="s" s="37">
        <v>622</v>
      </c>
      <c r="G889" t="s" s="37">
        <v>424</v>
      </c>
      <c r="H889" t="s" s="37">
        <v>2433</v>
      </c>
      <c r="I889" t="s" s="37">
        <v>2137</v>
      </c>
      <c r="J889" t="s" s="37">
        <v>955</v>
      </c>
      <c r="K889" t="s" s="40">
        <v>630</v>
      </c>
      <c r="L889" s="30"/>
    </row>
    <row r="890" ht="74.5" customHeight="1">
      <c r="A890" t="s" s="31">
        <v>2434</v>
      </c>
      <c r="B890" t="s" s="32">
        <v>131</v>
      </c>
      <c r="C890" t="s" s="32">
        <v>130</v>
      </c>
      <c r="D890" t="s" s="32">
        <v>205</v>
      </c>
      <c r="E890" t="s" s="32">
        <v>622</v>
      </c>
      <c r="F890" t="s" s="32">
        <v>618</v>
      </c>
      <c r="G890" t="s" s="32">
        <v>387</v>
      </c>
      <c r="H890" t="s" s="32">
        <v>2435</v>
      </c>
      <c r="I890" t="s" s="32">
        <v>2146</v>
      </c>
      <c r="J890" t="s" s="32">
        <v>946</v>
      </c>
      <c r="K890" t="s" s="35">
        <v>622</v>
      </c>
      <c r="L890" s="30"/>
    </row>
    <row r="891" ht="74.5" customHeight="1">
      <c r="A891" t="s" s="36">
        <v>2436</v>
      </c>
      <c r="B891" t="s" s="37">
        <v>131</v>
      </c>
      <c r="C891" t="s" s="37">
        <v>130</v>
      </c>
      <c r="D891" t="s" s="37">
        <v>205</v>
      </c>
      <c r="E891" t="s" s="37">
        <v>622</v>
      </c>
      <c r="F891" t="s" s="37">
        <v>618</v>
      </c>
      <c r="G891" t="s" s="37">
        <v>400</v>
      </c>
      <c r="H891" t="s" s="37">
        <v>2437</v>
      </c>
      <c r="I891" t="s" s="37">
        <v>2146</v>
      </c>
      <c r="J891" t="s" s="37">
        <v>946</v>
      </c>
      <c r="K891" t="s" s="40">
        <v>622</v>
      </c>
      <c r="L891" s="30"/>
    </row>
    <row r="892" ht="74.5" customHeight="1">
      <c r="A892" t="s" s="31">
        <v>2438</v>
      </c>
      <c r="B892" t="s" s="32">
        <v>131</v>
      </c>
      <c r="C892" t="s" s="32">
        <v>130</v>
      </c>
      <c r="D892" t="s" s="32">
        <v>205</v>
      </c>
      <c r="E892" t="s" s="32">
        <v>622</v>
      </c>
      <c r="F892" t="s" s="32">
        <v>618</v>
      </c>
      <c r="G892" t="s" s="32">
        <v>412</v>
      </c>
      <c r="H892" t="s" s="32">
        <v>2439</v>
      </c>
      <c r="I892" t="s" s="32">
        <v>2146</v>
      </c>
      <c r="J892" t="s" s="32">
        <v>946</v>
      </c>
      <c r="K892" t="s" s="35">
        <v>622</v>
      </c>
      <c r="L892" s="30"/>
    </row>
    <row r="893" ht="74.5" customHeight="1">
      <c r="A893" t="s" s="36">
        <v>2440</v>
      </c>
      <c r="B893" t="s" s="37">
        <v>131</v>
      </c>
      <c r="C893" t="s" s="37">
        <v>130</v>
      </c>
      <c r="D893" t="s" s="37">
        <v>205</v>
      </c>
      <c r="E893" t="s" s="37">
        <v>622</v>
      </c>
      <c r="F893" t="s" s="37">
        <v>618</v>
      </c>
      <c r="G893" t="s" s="37">
        <v>424</v>
      </c>
      <c r="H893" t="s" s="37">
        <v>2441</v>
      </c>
      <c r="I893" t="s" s="37">
        <v>2146</v>
      </c>
      <c r="J893" t="s" s="37">
        <v>946</v>
      </c>
      <c r="K893" t="s" s="40">
        <v>622</v>
      </c>
      <c r="L893" s="30"/>
    </row>
    <row r="894" ht="74.5" customHeight="1">
      <c r="A894" t="s" s="31">
        <v>2442</v>
      </c>
      <c r="B894" t="s" s="32">
        <v>131</v>
      </c>
      <c r="C894" t="s" s="32">
        <v>130</v>
      </c>
      <c r="D894" t="s" s="32">
        <v>205</v>
      </c>
      <c r="E894" t="s" s="32">
        <v>622</v>
      </c>
      <c r="F894" t="s" s="32">
        <v>630</v>
      </c>
      <c r="G894" t="s" s="32">
        <v>387</v>
      </c>
      <c r="H894" t="s" s="32">
        <v>2443</v>
      </c>
      <c r="I894" t="s" s="32">
        <v>2155</v>
      </c>
      <c r="J894" t="s" s="32">
        <v>955</v>
      </c>
      <c r="K894" t="s" s="35">
        <v>630</v>
      </c>
      <c r="L894" s="30"/>
    </row>
    <row r="895" ht="74.5" customHeight="1">
      <c r="A895" t="s" s="36">
        <v>2444</v>
      </c>
      <c r="B895" t="s" s="37">
        <v>131</v>
      </c>
      <c r="C895" t="s" s="37">
        <v>130</v>
      </c>
      <c r="D895" t="s" s="37">
        <v>205</v>
      </c>
      <c r="E895" t="s" s="37">
        <v>622</v>
      </c>
      <c r="F895" t="s" s="37">
        <v>630</v>
      </c>
      <c r="G895" t="s" s="37">
        <v>400</v>
      </c>
      <c r="H895" t="s" s="37">
        <v>2445</v>
      </c>
      <c r="I895" t="s" s="37">
        <v>2155</v>
      </c>
      <c r="J895" t="s" s="37">
        <v>955</v>
      </c>
      <c r="K895" t="s" s="40">
        <v>630</v>
      </c>
      <c r="L895" s="30"/>
    </row>
    <row r="896" ht="74.5" customHeight="1">
      <c r="A896" t="s" s="31">
        <v>2446</v>
      </c>
      <c r="B896" t="s" s="32">
        <v>131</v>
      </c>
      <c r="C896" t="s" s="32">
        <v>130</v>
      </c>
      <c r="D896" t="s" s="32">
        <v>205</v>
      </c>
      <c r="E896" t="s" s="32">
        <v>622</v>
      </c>
      <c r="F896" t="s" s="32">
        <v>630</v>
      </c>
      <c r="G896" t="s" s="32">
        <v>412</v>
      </c>
      <c r="H896" t="s" s="32">
        <v>2447</v>
      </c>
      <c r="I896" t="s" s="32">
        <v>2155</v>
      </c>
      <c r="J896" t="s" s="32">
        <v>955</v>
      </c>
      <c r="K896" t="s" s="35">
        <v>630</v>
      </c>
      <c r="L896" s="30"/>
    </row>
    <row r="897" ht="74.5" customHeight="1">
      <c r="A897" t="s" s="36">
        <v>2448</v>
      </c>
      <c r="B897" t="s" s="37">
        <v>131</v>
      </c>
      <c r="C897" t="s" s="37">
        <v>130</v>
      </c>
      <c r="D897" t="s" s="37">
        <v>205</v>
      </c>
      <c r="E897" t="s" s="37">
        <v>622</v>
      </c>
      <c r="F897" t="s" s="37">
        <v>630</v>
      </c>
      <c r="G897" t="s" s="37">
        <v>424</v>
      </c>
      <c r="H897" t="s" s="37">
        <v>2449</v>
      </c>
      <c r="I897" t="s" s="37">
        <v>2155</v>
      </c>
      <c r="J897" t="s" s="37">
        <v>955</v>
      </c>
      <c r="K897" t="s" s="40">
        <v>630</v>
      </c>
      <c r="L897" s="30"/>
    </row>
    <row r="898" ht="74.5" customHeight="1">
      <c r="A898" t="s" s="31">
        <v>2450</v>
      </c>
      <c r="B898" t="s" s="32">
        <v>131</v>
      </c>
      <c r="C898" t="s" s="32">
        <v>130</v>
      </c>
      <c r="D898" t="s" s="32">
        <v>205</v>
      </c>
      <c r="E898" t="s" s="32">
        <v>622</v>
      </c>
      <c r="F898" t="s" s="32">
        <v>622</v>
      </c>
      <c r="G898" t="s" s="32">
        <v>387</v>
      </c>
      <c r="H898" t="s" s="32">
        <v>2451</v>
      </c>
      <c r="I898" t="s" s="32">
        <v>2155</v>
      </c>
      <c r="J898" t="s" s="32">
        <v>955</v>
      </c>
      <c r="K898" t="s" s="35">
        <v>641</v>
      </c>
      <c r="L898" s="30"/>
    </row>
    <row r="899" ht="74.5" customHeight="1">
      <c r="A899" t="s" s="36">
        <v>2452</v>
      </c>
      <c r="B899" t="s" s="37">
        <v>131</v>
      </c>
      <c r="C899" t="s" s="37">
        <v>130</v>
      </c>
      <c r="D899" t="s" s="37">
        <v>205</v>
      </c>
      <c r="E899" t="s" s="37">
        <v>622</v>
      </c>
      <c r="F899" t="s" s="37">
        <v>622</v>
      </c>
      <c r="G899" t="s" s="37">
        <v>400</v>
      </c>
      <c r="H899" t="s" s="37">
        <v>2453</v>
      </c>
      <c r="I899" t="s" s="37">
        <v>2155</v>
      </c>
      <c r="J899" t="s" s="37">
        <v>955</v>
      </c>
      <c r="K899" t="s" s="40">
        <v>641</v>
      </c>
      <c r="L899" s="30"/>
    </row>
    <row r="900" ht="74.5" customHeight="1">
      <c r="A900" t="s" s="31">
        <v>2454</v>
      </c>
      <c r="B900" t="s" s="32">
        <v>131</v>
      </c>
      <c r="C900" t="s" s="32">
        <v>130</v>
      </c>
      <c r="D900" t="s" s="32">
        <v>205</v>
      </c>
      <c r="E900" t="s" s="32">
        <v>622</v>
      </c>
      <c r="F900" t="s" s="32">
        <v>622</v>
      </c>
      <c r="G900" t="s" s="32">
        <v>412</v>
      </c>
      <c r="H900" t="s" s="32">
        <v>2455</v>
      </c>
      <c r="I900" t="s" s="32">
        <v>2155</v>
      </c>
      <c r="J900" t="s" s="32">
        <v>955</v>
      </c>
      <c r="K900" t="s" s="35">
        <v>641</v>
      </c>
      <c r="L900" s="30"/>
    </row>
    <row r="901" ht="74.5" customHeight="1">
      <c r="A901" t="s" s="36">
        <v>2456</v>
      </c>
      <c r="B901" t="s" s="37">
        <v>131</v>
      </c>
      <c r="C901" t="s" s="37">
        <v>130</v>
      </c>
      <c r="D901" t="s" s="37">
        <v>205</v>
      </c>
      <c r="E901" t="s" s="37">
        <v>622</v>
      </c>
      <c r="F901" t="s" s="37">
        <v>622</v>
      </c>
      <c r="G901" t="s" s="37">
        <v>424</v>
      </c>
      <c r="H901" t="s" s="37">
        <v>2457</v>
      </c>
      <c r="I901" t="s" s="37">
        <v>2155</v>
      </c>
      <c r="J901" t="s" s="37">
        <v>955</v>
      </c>
      <c r="K901" t="s" s="40">
        <v>641</v>
      </c>
      <c r="L901" s="30"/>
    </row>
    <row r="902" ht="74.5" customHeight="1">
      <c r="A902" t="s" s="31">
        <v>2458</v>
      </c>
      <c r="B902" t="s" s="32">
        <v>144</v>
      </c>
      <c r="C902" t="s" s="32">
        <v>143</v>
      </c>
      <c r="D902" t="s" s="32">
        <v>156</v>
      </c>
      <c r="E902" t="s" s="32">
        <v>618</v>
      </c>
      <c r="F902" t="s" s="32">
        <v>618</v>
      </c>
      <c r="G902" t="s" s="32">
        <v>387</v>
      </c>
      <c r="H902" t="s" s="32">
        <v>2459</v>
      </c>
      <c r="I902" t="s" s="32">
        <v>2460</v>
      </c>
      <c r="J902" t="s" s="32">
        <v>621</v>
      </c>
      <c r="K902" t="s" s="35">
        <v>622</v>
      </c>
      <c r="L902" s="30"/>
    </row>
    <row r="903" ht="74.5" customHeight="1">
      <c r="A903" t="s" s="36">
        <v>2461</v>
      </c>
      <c r="B903" t="s" s="37">
        <v>144</v>
      </c>
      <c r="C903" t="s" s="37">
        <v>143</v>
      </c>
      <c r="D903" t="s" s="37">
        <v>156</v>
      </c>
      <c r="E903" t="s" s="37">
        <v>618</v>
      </c>
      <c r="F903" t="s" s="37">
        <v>618</v>
      </c>
      <c r="G903" t="s" s="37">
        <v>400</v>
      </c>
      <c r="H903" t="s" s="37">
        <v>2462</v>
      </c>
      <c r="I903" t="s" s="37">
        <v>2460</v>
      </c>
      <c r="J903" t="s" s="37">
        <v>621</v>
      </c>
      <c r="K903" t="s" s="40">
        <v>622</v>
      </c>
      <c r="L903" s="30"/>
    </row>
    <row r="904" ht="74.5" customHeight="1">
      <c r="A904" t="s" s="31">
        <v>2463</v>
      </c>
      <c r="B904" t="s" s="32">
        <v>144</v>
      </c>
      <c r="C904" t="s" s="32">
        <v>143</v>
      </c>
      <c r="D904" t="s" s="32">
        <v>156</v>
      </c>
      <c r="E904" t="s" s="32">
        <v>618</v>
      </c>
      <c r="F904" t="s" s="32">
        <v>618</v>
      </c>
      <c r="G904" t="s" s="32">
        <v>412</v>
      </c>
      <c r="H904" t="s" s="32">
        <v>2464</v>
      </c>
      <c r="I904" t="s" s="32">
        <v>2460</v>
      </c>
      <c r="J904" t="s" s="32">
        <v>621</v>
      </c>
      <c r="K904" t="s" s="35">
        <v>622</v>
      </c>
      <c r="L904" s="30"/>
    </row>
    <row r="905" ht="74.5" customHeight="1">
      <c r="A905" t="s" s="36">
        <v>2465</v>
      </c>
      <c r="B905" t="s" s="37">
        <v>144</v>
      </c>
      <c r="C905" t="s" s="37">
        <v>143</v>
      </c>
      <c r="D905" t="s" s="37">
        <v>156</v>
      </c>
      <c r="E905" t="s" s="37">
        <v>618</v>
      </c>
      <c r="F905" t="s" s="37">
        <v>618</v>
      </c>
      <c r="G905" t="s" s="37">
        <v>424</v>
      </c>
      <c r="H905" t="s" s="37">
        <v>2466</v>
      </c>
      <c r="I905" t="s" s="37">
        <v>2460</v>
      </c>
      <c r="J905" t="s" s="37">
        <v>621</v>
      </c>
      <c r="K905" t="s" s="40">
        <v>622</v>
      </c>
      <c r="L905" s="30"/>
    </row>
    <row r="906" ht="74.5" customHeight="1">
      <c r="A906" t="s" s="31">
        <v>2467</v>
      </c>
      <c r="B906" t="s" s="32">
        <v>144</v>
      </c>
      <c r="C906" t="s" s="32">
        <v>143</v>
      </c>
      <c r="D906" t="s" s="32">
        <v>156</v>
      </c>
      <c r="E906" t="s" s="32">
        <v>618</v>
      </c>
      <c r="F906" t="s" s="32">
        <v>630</v>
      </c>
      <c r="G906" t="s" s="32">
        <v>387</v>
      </c>
      <c r="H906" t="s" s="32">
        <v>2468</v>
      </c>
      <c r="I906" t="s" s="32">
        <v>2460</v>
      </c>
      <c r="J906" t="s" s="32">
        <v>632</v>
      </c>
      <c r="K906" t="s" s="35">
        <v>622</v>
      </c>
      <c r="L906" s="30"/>
    </row>
    <row r="907" ht="74.5" customHeight="1">
      <c r="A907" t="s" s="36">
        <v>2469</v>
      </c>
      <c r="B907" t="s" s="37">
        <v>144</v>
      </c>
      <c r="C907" t="s" s="37">
        <v>143</v>
      </c>
      <c r="D907" t="s" s="37">
        <v>156</v>
      </c>
      <c r="E907" t="s" s="37">
        <v>618</v>
      </c>
      <c r="F907" t="s" s="37">
        <v>630</v>
      </c>
      <c r="G907" t="s" s="37">
        <v>400</v>
      </c>
      <c r="H907" t="s" s="37">
        <v>2470</v>
      </c>
      <c r="I907" t="s" s="37">
        <v>2460</v>
      </c>
      <c r="J907" t="s" s="37">
        <v>632</v>
      </c>
      <c r="K907" t="s" s="40">
        <v>622</v>
      </c>
      <c r="L907" s="30"/>
    </row>
    <row r="908" ht="74.5" customHeight="1">
      <c r="A908" t="s" s="31">
        <v>2471</v>
      </c>
      <c r="B908" t="s" s="32">
        <v>144</v>
      </c>
      <c r="C908" t="s" s="32">
        <v>143</v>
      </c>
      <c r="D908" t="s" s="32">
        <v>156</v>
      </c>
      <c r="E908" t="s" s="32">
        <v>618</v>
      </c>
      <c r="F908" t="s" s="32">
        <v>630</v>
      </c>
      <c r="G908" t="s" s="32">
        <v>412</v>
      </c>
      <c r="H908" t="s" s="32">
        <v>2472</v>
      </c>
      <c r="I908" t="s" s="32">
        <v>2460</v>
      </c>
      <c r="J908" t="s" s="32">
        <v>632</v>
      </c>
      <c r="K908" t="s" s="35">
        <v>622</v>
      </c>
      <c r="L908" s="30"/>
    </row>
    <row r="909" ht="74.5" customHeight="1">
      <c r="A909" t="s" s="36">
        <v>2473</v>
      </c>
      <c r="B909" t="s" s="37">
        <v>144</v>
      </c>
      <c r="C909" t="s" s="37">
        <v>143</v>
      </c>
      <c r="D909" t="s" s="37">
        <v>156</v>
      </c>
      <c r="E909" t="s" s="37">
        <v>618</v>
      </c>
      <c r="F909" t="s" s="37">
        <v>630</v>
      </c>
      <c r="G909" t="s" s="37">
        <v>424</v>
      </c>
      <c r="H909" t="s" s="37">
        <v>2474</v>
      </c>
      <c r="I909" t="s" s="37">
        <v>2460</v>
      </c>
      <c r="J909" t="s" s="37">
        <v>632</v>
      </c>
      <c r="K909" t="s" s="40">
        <v>622</v>
      </c>
      <c r="L909" s="30"/>
    </row>
    <row r="910" ht="74.5" customHeight="1">
      <c r="A910" t="s" s="31">
        <v>2475</v>
      </c>
      <c r="B910" t="s" s="32">
        <v>144</v>
      </c>
      <c r="C910" t="s" s="32">
        <v>143</v>
      </c>
      <c r="D910" t="s" s="32">
        <v>156</v>
      </c>
      <c r="E910" t="s" s="32">
        <v>618</v>
      </c>
      <c r="F910" t="s" s="32">
        <v>622</v>
      </c>
      <c r="G910" t="s" s="32">
        <v>387</v>
      </c>
      <c r="H910" t="s" s="32">
        <v>2476</v>
      </c>
      <c r="I910" t="s" s="32">
        <v>2460</v>
      </c>
      <c r="J910" t="s" s="32">
        <v>632</v>
      </c>
      <c r="K910" t="s" s="35">
        <v>641</v>
      </c>
      <c r="L910" s="30"/>
    </row>
    <row r="911" ht="74.5" customHeight="1">
      <c r="A911" t="s" s="36">
        <v>2477</v>
      </c>
      <c r="B911" t="s" s="37">
        <v>144</v>
      </c>
      <c r="C911" t="s" s="37">
        <v>143</v>
      </c>
      <c r="D911" t="s" s="37">
        <v>156</v>
      </c>
      <c r="E911" t="s" s="37">
        <v>618</v>
      </c>
      <c r="F911" t="s" s="37">
        <v>622</v>
      </c>
      <c r="G911" t="s" s="37">
        <v>400</v>
      </c>
      <c r="H911" t="s" s="37">
        <v>2478</v>
      </c>
      <c r="I911" t="s" s="37">
        <v>2460</v>
      </c>
      <c r="J911" t="s" s="37">
        <v>632</v>
      </c>
      <c r="K911" t="s" s="40">
        <v>641</v>
      </c>
      <c r="L911" s="30"/>
    </row>
    <row r="912" ht="74.5" customHeight="1">
      <c r="A912" t="s" s="31">
        <v>2479</v>
      </c>
      <c r="B912" t="s" s="32">
        <v>144</v>
      </c>
      <c r="C912" t="s" s="32">
        <v>143</v>
      </c>
      <c r="D912" t="s" s="32">
        <v>156</v>
      </c>
      <c r="E912" t="s" s="32">
        <v>618</v>
      </c>
      <c r="F912" t="s" s="32">
        <v>622</v>
      </c>
      <c r="G912" t="s" s="32">
        <v>412</v>
      </c>
      <c r="H912" t="s" s="32">
        <v>2480</v>
      </c>
      <c r="I912" t="s" s="32">
        <v>2460</v>
      </c>
      <c r="J912" t="s" s="32">
        <v>632</v>
      </c>
      <c r="K912" t="s" s="35">
        <v>641</v>
      </c>
      <c r="L912" s="30"/>
    </row>
    <row r="913" ht="74.5" customHeight="1">
      <c r="A913" t="s" s="36">
        <v>2481</v>
      </c>
      <c r="B913" t="s" s="37">
        <v>144</v>
      </c>
      <c r="C913" t="s" s="37">
        <v>143</v>
      </c>
      <c r="D913" t="s" s="37">
        <v>156</v>
      </c>
      <c r="E913" t="s" s="37">
        <v>618</v>
      </c>
      <c r="F913" t="s" s="37">
        <v>622</v>
      </c>
      <c r="G913" t="s" s="37">
        <v>424</v>
      </c>
      <c r="H913" t="s" s="37">
        <v>2482</v>
      </c>
      <c r="I913" t="s" s="37">
        <v>2460</v>
      </c>
      <c r="J913" t="s" s="37">
        <v>632</v>
      </c>
      <c r="K913" t="s" s="40">
        <v>641</v>
      </c>
      <c r="L913" s="30"/>
    </row>
    <row r="914" ht="74.5" customHeight="1">
      <c r="A914" t="s" s="31">
        <v>2483</v>
      </c>
      <c r="B914" t="s" s="32">
        <v>144</v>
      </c>
      <c r="C914" t="s" s="32">
        <v>143</v>
      </c>
      <c r="D914" t="s" s="32">
        <v>156</v>
      </c>
      <c r="E914" t="s" s="32">
        <v>630</v>
      </c>
      <c r="F914" t="s" s="32">
        <v>618</v>
      </c>
      <c r="G914" t="s" s="32">
        <v>387</v>
      </c>
      <c r="H914" t="s" s="32">
        <v>2484</v>
      </c>
      <c r="I914" t="s" s="32">
        <v>2485</v>
      </c>
      <c r="J914" t="s" s="32">
        <v>651</v>
      </c>
      <c r="K914" t="s" s="35">
        <v>622</v>
      </c>
      <c r="L914" s="30"/>
    </row>
    <row r="915" ht="74.5" customHeight="1">
      <c r="A915" t="s" s="36">
        <v>2486</v>
      </c>
      <c r="B915" t="s" s="37">
        <v>144</v>
      </c>
      <c r="C915" t="s" s="37">
        <v>143</v>
      </c>
      <c r="D915" t="s" s="37">
        <v>156</v>
      </c>
      <c r="E915" t="s" s="37">
        <v>630</v>
      </c>
      <c r="F915" t="s" s="37">
        <v>618</v>
      </c>
      <c r="G915" t="s" s="37">
        <v>400</v>
      </c>
      <c r="H915" t="s" s="37">
        <v>2487</v>
      </c>
      <c r="I915" t="s" s="37">
        <v>2485</v>
      </c>
      <c r="J915" t="s" s="37">
        <v>651</v>
      </c>
      <c r="K915" t="s" s="40">
        <v>622</v>
      </c>
      <c r="L915" s="30"/>
    </row>
    <row r="916" ht="74.5" customHeight="1">
      <c r="A916" t="s" s="31">
        <v>2488</v>
      </c>
      <c r="B916" t="s" s="32">
        <v>144</v>
      </c>
      <c r="C916" t="s" s="32">
        <v>143</v>
      </c>
      <c r="D916" t="s" s="32">
        <v>156</v>
      </c>
      <c r="E916" t="s" s="32">
        <v>630</v>
      </c>
      <c r="F916" t="s" s="32">
        <v>618</v>
      </c>
      <c r="G916" t="s" s="32">
        <v>412</v>
      </c>
      <c r="H916" t="s" s="32">
        <v>2489</v>
      </c>
      <c r="I916" t="s" s="32">
        <v>2485</v>
      </c>
      <c r="J916" t="s" s="32">
        <v>651</v>
      </c>
      <c r="K916" t="s" s="35">
        <v>622</v>
      </c>
      <c r="L916" s="30"/>
    </row>
    <row r="917" ht="74.5" customHeight="1">
      <c r="A917" t="s" s="36">
        <v>2490</v>
      </c>
      <c r="B917" t="s" s="37">
        <v>144</v>
      </c>
      <c r="C917" t="s" s="37">
        <v>143</v>
      </c>
      <c r="D917" t="s" s="37">
        <v>156</v>
      </c>
      <c r="E917" t="s" s="37">
        <v>630</v>
      </c>
      <c r="F917" t="s" s="37">
        <v>618</v>
      </c>
      <c r="G917" t="s" s="37">
        <v>424</v>
      </c>
      <c r="H917" t="s" s="37">
        <v>2491</v>
      </c>
      <c r="I917" t="s" s="37">
        <v>2485</v>
      </c>
      <c r="J917" t="s" s="37">
        <v>651</v>
      </c>
      <c r="K917" t="s" s="40">
        <v>622</v>
      </c>
      <c r="L917" s="30"/>
    </row>
    <row r="918" ht="74.5" customHeight="1">
      <c r="A918" t="s" s="31">
        <v>2492</v>
      </c>
      <c r="B918" t="s" s="32">
        <v>144</v>
      </c>
      <c r="C918" t="s" s="32">
        <v>143</v>
      </c>
      <c r="D918" t="s" s="32">
        <v>156</v>
      </c>
      <c r="E918" t="s" s="32">
        <v>630</v>
      </c>
      <c r="F918" t="s" s="32">
        <v>630</v>
      </c>
      <c r="G918" t="s" s="32">
        <v>387</v>
      </c>
      <c r="H918" t="s" s="32">
        <v>2493</v>
      </c>
      <c r="I918" t="s" s="32">
        <v>2485</v>
      </c>
      <c r="J918" t="s" s="32">
        <v>660</v>
      </c>
      <c r="K918" t="s" s="35">
        <v>630</v>
      </c>
      <c r="L918" s="30"/>
    </row>
    <row r="919" ht="74.5" customHeight="1">
      <c r="A919" t="s" s="36">
        <v>2494</v>
      </c>
      <c r="B919" t="s" s="37">
        <v>144</v>
      </c>
      <c r="C919" t="s" s="37">
        <v>143</v>
      </c>
      <c r="D919" t="s" s="37">
        <v>156</v>
      </c>
      <c r="E919" t="s" s="37">
        <v>630</v>
      </c>
      <c r="F919" t="s" s="37">
        <v>630</v>
      </c>
      <c r="G919" t="s" s="37">
        <v>400</v>
      </c>
      <c r="H919" t="s" s="37">
        <v>2495</v>
      </c>
      <c r="I919" t="s" s="37">
        <v>2485</v>
      </c>
      <c r="J919" t="s" s="37">
        <v>660</v>
      </c>
      <c r="K919" t="s" s="40">
        <v>630</v>
      </c>
      <c r="L919" s="30"/>
    </row>
    <row r="920" ht="74.5" customHeight="1">
      <c r="A920" t="s" s="31">
        <v>2496</v>
      </c>
      <c r="B920" t="s" s="32">
        <v>144</v>
      </c>
      <c r="C920" t="s" s="32">
        <v>143</v>
      </c>
      <c r="D920" t="s" s="32">
        <v>156</v>
      </c>
      <c r="E920" t="s" s="32">
        <v>630</v>
      </c>
      <c r="F920" t="s" s="32">
        <v>630</v>
      </c>
      <c r="G920" t="s" s="32">
        <v>412</v>
      </c>
      <c r="H920" t="s" s="32">
        <v>2497</v>
      </c>
      <c r="I920" t="s" s="32">
        <v>2485</v>
      </c>
      <c r="J920" t="s" s="32">
        <v>660</v>
      </c>
      <c r="K920" t="s" s="35">
        <v>630</v>
      </c>
      <c r="L920" s="30"/>
    </row>
    <row r="921" ht="74.5" customHeight="1">
      <c r="A921" t="s" s="36">
        <v>2498</v>
      </c>
      <c r="B921" t="s" s="37">
        <v>144</v>
      </c>
      <c r="C921" t="s" s="37">
        <v>143</v>
      </c>
      <c r="D921" t="s" s="37">
        <v>156</v>
      </c>
      <c r="E921" t="s" s="37">
        <v>630</v>
      </c>
      <c r="F921" t="s" s="37">
        <v>630</v>
      </c>
      <c r="G921" t="s" s="37">
        <v>424</v>
      </c>
      <c r="H921" t="s" s="37">
        <v>2499</v>
      </c>
      <c r="I921" t="s" s="37">
        <v>2485</v>
      </c>
      <c r="J921" t="s" s="37">
        <v>660</v>
      </c>
      <c r="K921" t="s" s="40">
        <v>630</v>
      </c>
      <c r="L921" s="30"/>
    </row>
    <row r="922" ht="74.5" customHeight="1">
      <c r="A922" t="s" s="31">
        <v>2500</v>
      </c>
      <c r="B922" t="s" s="32">
        <v>144</v>
      </c>
      <c r="C922" t="s" s="32">
        <v>143</v>
      </c>
      <c r="D922" t="s" s="32">
        <v>156</v>
      </c>
      <c r="E922" t="s" s="32">
        <v>630</v>
      </c>
      <c r="F922" t="s" s="32">
        <v>622</v>
      </c>
      <c r="G922" t="s" s="32">
        <v>387</v>
      </c>
      <c r="H922" t="s" s="32">
        <v>2501</v>
      </c>
      <c r="I922" t="s" s="32">
        <v>2502</v>
      </c>
      <c r="J922" t="s" s="32">
        <v>660</v>
      </c>
      <c r="K922" t="s" s="35">
        <v>630</v>
      </c>
      <c r="L922" s="30"/>
    </row>
    <row r="923" ht="74.5" customHeight="1">
      <c r="A923" t="s" s="36">
        <v>2503</v>
      </c>
      <c r="B923" t="s" s="37">
        <v>144</v>
      </c>
      <c r="C923" t="s" s="37">
        <v>143</v>
      </c>
      <c r="D923" t="s" s="37">
        <v>156</v>
      </c>
      <c r="E923" t="s" s="37">
        <v>630</v>
      </c>
      <c r="F923" t="s" s="37">
        <v>622</v>
      </c>
      <c r="G923" t="s" s="37">
        <v>400</v>
      </c>
      <c r="H923" t="s" s="37">
        <v>2504</v>
      </c>
      <c r="I923" t="s" s="37">
        <v>2502</v>
      </c>
      <c r="J923" t="s" s="37">
        <v>660</v>
      </c>
      <c r="K923" t="s" s="40">
        <v>630</v>
      </c>
      <c r="L923" s="30"/>
    </row>
    <row r="924" ht="74.5" customHeight="1">
      <c r="A924" t="s" s="31">
        <v>2505</v>
      </c>
      <c r="B924" t="s" s="32">
        <v>144</v>
      </c>
      <c r="C924" t="s" s="32">
        <v>143</v>
      </c>
      <c r="D924" t="s" s="32">
        <v>156</v>
      </c>
      <c r="E924" t="s" s="32">
        <v>630</v>
      </c>
      <c r="F924" t="s" s="32">
        <v>622</v>
      </c>
      <c r="G924" t="s" s="32">
        <v>412</v>
      </c>
      <c r="H924" t="s" s="32">
        <v>2506</v>
      </c>
      <c r="I924" t="s" s="32">
        <v>2502</v>
      </c>
      <c r="J924" t="s" s="32">
        <v>660</v>
      </c>
      <c r="K924" t="s" s="35">
        <v>630</v>
      </c>
      <c r="L924" s="30"/>
    </row>
    <row r="925" ht="74.5" customHeight="1">
      <c r="A925" t="s" s="36">
        <v>2507</v>
      </c>
      <c r="B925" t="s" s="37">
        <v>144</v>
      </c>
      <c r="C925" t="s" s="37">
        <v>143</v>
      </c>
      <c r="D925" t="s" s="37">
        <v>156</v>
      </c>
      <c r="E925" t="s" s="37">
        <v>630</v>
      </c>
      <c r="F925" t="s" s="37">
        <v>622</v>
      </c>
      <c r="G925" t="s" s="37">
        <v>424</v>
      </c>
      <c r="H925" t="s" s="37">
        <v>2508</v>
      </c>
      <c r="I925" t="s" s="37">
        <v>2502</v>
      </c>
      <c r="J925" t="s" s="37">
        <v>660</v>
      </c>
      <c r="K925" t="s" s="40">
        <v>630</v>
      </c>
      <c r="L925" s="30"/>
    </row>
    <row r="926" ht="74.5" customHeight="1">
      <c r="A926" t="s" s="31">
        <v>2509</v>
      </c>
      <c r="B926" t="s" s="32">
        <v>144</v>
      </c>
      <c r="C926" t="s" s="32">
        <v>143</v>
      </c>
      <c r="D926" t="s" s="32">
        <v>156</v>
      </c>
      <c r="E926" t="s" s="32">
        <v>622</v>
      </c>
      <c r="F926" t="s" s="32">
        <v>618</v>
      </c>
      <c r="G926" t="s" s="32">
        <v>387</v>
      </c>
      <c r="H926" t="s" s="32">
        <v>2510</v>
      </c>
      <c r="I926" t="s" s="32">
        <v>2511</v>
      </c>
      <c r="J926" t="s" s="32">
        <v>651</v>
      </c>
      <c r="K926" t="s" s="35">
        <v>622</v>
      </c>
      <c r="L926" s="30"/>
    </row>
    <row r="927" ht="74.5" customHeight="1">
      <c r="A927" t="s" s="36">
        <v>2512</v>
      </c>
      <c r="B927" t="s" s="37">
        <v>144</v>
      </c>
      <c r="C927" t="s" s="37">
        <v>143</v>
      </c>
      <c r="D927" t="s" s="37">
        <v>156</v>
      </c>
      <c r="E927" t="s" s="37">
        <v>622</v>
      </c>
      <c r="F927" t="s" s="37">
        <v>618</v>
      </c>
      <c r="G927" t="s" s="37">
        <v>400</v>
      </c>
      <c r="H927" t="s" s="37">
        <v>2513</v>
      </c>
      <c r="I927" t="s" s="37">
        <v>2511</v>
      </c>
      <c r="J927" t="s" s="37">
        <v>651</v>
      </c>
      <c r="K927" t="s" s="40">
        <v>622</v>
      </c>
      <c r="L927" s="30"/>
    </row>
    <row r="928" ht="74.5" customHeight="1">
      <c r="A928" t="s" s="31">
        <v>2514</v>
      </c>
      <c r="B928" t="s" s="32">
        <v>144</v>
      </c>
      <c r="C928" t="s" s="32">
        <v>143</v>
      </c>
      <c r="D928" t="s" s="32">
        <v>156</v>
      </c>
      <c r="E928" t="s" s="32">
        <v>622</v>
      </c>
      <c r="F928" t="s" s="32">
        <v>618</v>
      </c>
      <c r="G928" t="s" s="32">
        <v>412</v>
      </c>
      <c r="H928" t="s" s="32">
        <v>2515</v>
      </c>
      <c r="I928" t="s" s="32">
        <v>2511</v>
      </c>
      <c r="J928" t="s" s="32">
        <v>651</v>
      </c>
      <c r="K928" t="s" s="35">
        <v>622</v>
      </c>
      <c r="L928" s="30"/>
    </row>
    <row r="929" ht="74.5" customHeight="1">
      <c r="A929" t="s" s="36">
        <v>2516</v>
      </c>
      <c r="B929" t="s" s="37">
        <v>144</v>
      </c>
      <c r="C929" t="s" s="37">
        <v>143</v>
      </c>
      <c r="D929" t="s" s="37">
        <v>156</v>
      </c>
      <c r="E929" t="s" s="37">
        <v>622</v>
      </c>
      <c r="F929" t="s" s="37">
        <v>618</v>
      </c>
      <c r="G929" t="s" s="37">
        <v>424</v>
      </c>
      <c r="H929" t="s" s="37">
        <v>2517</v>
      </c>
      <c r="I929" t="s" s="37">
        <v>2511</v>
      </c>
      <c r="J929" t="s" s="37">
        <v>651</v>
      </c>
      <c r="K929" t="s" s="40">
        <v>622</v>
      </c>
      <c r="L929" s="30"/>
    </row>
    <row r="930" ht="74.5" customHeight="1">
      <c r="A930" t="s" s="31">
        <v>2518</v>
      </c>
      <c r="B930" t="s" s="32">
        <v>144</v>
      </c>
      <c r="C930" t="s" s="32">
        <v>143</v>
      </c>
      <c r="D930" t="s" s="32">
        <v>156</v>
      </c>
      <c r="E930" t="s" s="32">
        <v>622</v>
      </c>
      <c r="F930" t="s" s="32">
        <v>630</v>
      </c>
      <c r="G930" t="s" s="32">
        <v>387</v>
      </c>
      <c r="H930" t="s" s="32">
        <v>2519</v>
      </c>
      <c r="I930" t="s" s="32">
        <v>2520</v>
      </c>
      <c r="J930" t="s" s="32">
        <v>660</v>
      </c>
      <c r="K930" t="s" s="35">
        <v>630</v>
      </c>
      <c r="L930" s="30"/>
    </row>
    <row r="931" ht="74.5" customHeight="1">
      <c r="A931" t="s" s="36">
        <v>2521</v>
      </c>
      <c r="B931" t="s" s="37">
        <v>144</v>
      </c>
      <c r="C931" t="s" s="37">
        <v>143</v>
      </c>
      <c r="D931" t="s" s="37">
        <v>156</v>
      </c>
      <c r="E931" t="s" s="37">
        <v>622</v>
      </c>
      <c r="F931" t="s" s="37">
        <v>630</v>
      </c>
      <c r="G931" t="s" s="37">
        <v>400</v>
      </c>
      <c r="H931" t="s" s="37">
        <v>2522</v>
      </c>
      <c r="I931" t="s" s="37">
        <v>2520</v>
      </c>
      <c r="J931" t="s" s="37">
        <v>660</v>
      </c>
      <c r="K931" t="s" s="40">
        <v>630</v>
      </c>
      <c r="L931" s="30"/>
    </row>
    <row r="932" ht="74.5" customHeight="1">
      <c r="A932" t="s" s="31">
        <v>2523</v>
      </c>
      <c r="B932" t="s" s="32">
        <v>144</v>
      </c>
      <c r="C932" t="s" s="32">
        <v>143</v>
      </c>
      <c r="D932" t="s" s="32">
        <v>156</v>
      </c>
      <c r="E932" t="s" s="32">
        <v>622</v>
      </c>
      <c r="F932" t="s" s="32">
        <v>630</v>
      </c>
      <c r="G932" t="s" s="32">
        <v>412</v>
      </c>
      <c r="H932" t="s" s="32">
        <v>2524</v>
      </c>
      <c r="I932" t="s" s="32">
        <v>2520</v>
      </c>
      <c r="J932" t="s" s="32">
        <v>660</v>
      </c>
      <c r="K932" t="s" s="35">
        <v>630</v>
      </c>
      <c r="L932" s="30"/>
    </row>
    <row r="933" ht="74.5" customHeight="1">
      <c r="A933" t="s" s="36">
        <v>2525</v>
      </c>
      <c r="B933" t="s" s="37">
        <v>144</v>
      </c>
      <c r="C933" t="s" s="37">
        <v>143</v>
      </c>
      <c r="D933" t="s" s="37">
        <v>156</v>
      </c>
      <c r="E933" t="s" s="37">
        <v>622</v>
      </c>
      <c r="F933" t="s" s="37">
        <v>630</v>
      </c>
      <c r="G933" t="s" s="37">
        <v>424</v>
      </c>
      <c r="H933" t="s" s="37">
        <v>2526</v>
      </c>
      <c r="I933" t="s" s="37">
        <v>2520</v>
      </c>
      <c r="J933" t="s" s="37">
        <v>660</v>
      </c>
      <c r="K933" t="s" s="40">
        <v>630</v>
      </c>
      <c r="L933" s="30"/>
    </row>
    <row r="934" ht="74.5" customHeight="1">
      <c r="A934" t="s" s="31">
        <v>2527</v>
      </c>
      <c r="B934" t="s" s="32">
        <v>144</v>
      </c>
      <c r="C934" t="s" s="32">
        <v>143</v>
      </c>
      <c r="D934" t="s" s="32">
        <v>156</v>
      </c>
      <c r="E934" t="s" s="32">
        <v>622</v>
      </c>
      <c r="F934" t="s" s="32">
        <v>622</v>
      </c>
      <c r="G934" t="s" s="32">
        <v>387</v>
      </c>
      <c r="H934" t="s" s="32">
        <v>2528</v>
      </c>
      <c r="I934" t="s" s="32">
        <v>2520</v>
      </c>
      <c r="J934" t="s" s="32">
        <v>660</v>
      </c>
      <c r="K934" t="s" s="35">
        <v>641</v>
      </c>
      <c r="L934" s="30"/>
    </row>
    <row r="935" ht="74.5" customHeight="1">
      <c r="A935" t="s" s="36">
        <v>2529</v>
      </c>
      <c r="B935" t="s" s="37">
        <v>144</v>
      </c>
      <c r="C935" t="s" s="37">
        <v>143</v>
      </c>
      <c r="D935" t="s" s="37">
        <v>156</v>
      </c>
      <c r="E935" t="s" s="37">
        <v>622</v>
      </c>
      <c r="F935" t="s" s="37">
        <v>622</v>
      </c>
      <c r="G935" t="s" s="37">
        <v>400</v>
      </c>
      <c r="H935" t="s" s="37">
        <v>2530</v>
      </c>
      <c r="I935" t="s" s="37">
        <v>2520</v>
      </c>
      <c r="J935" t="s" s="37">
        <v>660</v>
      </c>
      <c r="K935" t="s" s="40">
        <v>641</v>
      </c>
      <c r="L935" s="30"/>
    </row>
    <row r="936" ht="74.5" customHeight="1">
      <c r="A936" t="s" s="31">
        <v>2531</v>
      </c>
      <c r="B936" t="s" s="32">
        <v>144</v>
      </c>
      <c r="C936" t="s" s="32">
        <v>143</v>
      </c>
      <c r="D936" t="s" s="32">
        <v>156</v>
      </c>
      <c r="E936" t="s" s="32">
        <v>622</v>
      </c>
      <c r="F936" t="s" s="32">
        <v>622</v>
      </c>
      <c r="G936" t="s" s="32">
        <v>412</v>
      </c>
      <c r="H936" t="s" s="32">
        <v>2532</v>
      </c>
      <c r="I936" t="s" s="32">
        <v>2520</v>
      </c>
      <c r="J936" t="s" s="32">
        <v>660</v>
      </c>
      <c r="K936" t="s" s="35">
        <v>641</v>
      </c>
      <c r="L936" s="30"/>
    </row>
    <row r="937" ht="74.5" customHeight="1">
      <c r="A937" t="s" s="36">
        <v>2533</v>
      </c>
      <c r="B937" t="s" s="37">
        <v>144</v>
      </c>
      <c r="C937" t="s" s="37">
        <v>143</v>
      </c>
      <c r="D937" t="s" s="37">
        <v>156</v>
      </c>
      <c r="E937" t="s" s="37">
        <v>622</v>
      </c>
      <c r="F937" t="s" s="37">
        <v>622</v>
      </c>
      <c r="G937" t="s" s="37">
        <v>424</v>
      </c>
      <c r="H937" t="s" s="37">
        <v>2534</v>
      </c>
      <c r="I937" t="s" s="37">
        <v>2520</v>
      </c>
      <c r="J937" t="s" s="37">
        <v>660</v>
      </c>
      <c r="K937" t="s" s="40">
        <v>641</v>
      </c>
      <c r="L937" s="30"/>
    </row>
    <row r="938" ht="74.5" customHeight="1">
      <c r="A938" t="s" s="31">
        <v>2535</v>
      </c>
      <c r="B938" t="s" s="32">
        <v>144</v>
      </c>
      <c r="C938" t="s" s="32">
        <v>143</v>
      </c>
      <c r="D938" t="s" s="32">
        <v>169</v>
      </c>
      <c r="E938" t="s" s="32">
        <v>618</v>
      </c>
      <c r="F938" t="s" s="32">
        <v>618</v>
      </c>
      <c r="G938" t="s" s="32">
        <v>387</v>
      </c>
      <c r="H938" t="s" s="32">
        <v>2536</v>
      </c>
      <c r="I938" t="s" s="32">
        <v>2460</v>
      </c>
      <c r="J938" t="s" s="32">
        <v>621</v>
      </c>
      <c r="K938" t="s" s="35">
        <v>622</v>
      </c>
      <c r="L938" s="30"/>
    </row>
    <row r="939" ht="74.5" customHeight="1">
      <c r="A939" t="s" s="36">
        <v>2537</v>
      </c>
      <c r="B939" t="s" s="37">
        <v>144</v>
      </c>
      <c r="C939" t="s" s="37">
        <v>143</v>
      </c>
      <c r="D939" t="s" s="37">
        <v>169</v>
      </c>
      <c r="E939" t="s" s="37">
        <v>618</v>
      </c>
      <c r="F939" t="s" s="37">
        <v>618</v>
      </c>
      <c r="G939" t="s" s="37">
        <v>400</v>
      </c>
      <c r="H939" t="s" s="37">
        <v>2538</v>
      </c>
      <c r="I939" t="s" s="37">
        <v>2460</v>
      </c>
      <c r="J939" t="s" s="37">
        <v>621</v>
      </c>
      <c r="K939" t="s" s="40">
        <v>622</v>
      </c>
      <c r="L939" s="30"/>
    </row>
    <row r="940" ht="74.5" customHeight="1">
      <c r="A940" t="s" s="31">
        <v>2539</v>
      </c>
      <c r="B940" t="s" s="32">
        <v>144</v>
      </c>
      <c r="C940" t="s" s="32">
        <v>143</v>
      </c>
      <c r="D940" t="s" s="32">
        <v>169</v>
      </c>
      <c r="E940" t="s" s="32">
        <v>618</v>
      </c>
      <c r="F940" t="s" s="32">
        <v>618</v>
      </c>
      <c r="G940" t="s" s="32">
        <v>412</v>
      </c>
      <c r="H940" t="s" s="32">
        <v>2540</v>
      </c>
      <c r="I940" t="s" s="32">
        <v>2460</v>
      </c>
      <c r="J940" t="s" s="32">
        <v>621</v>
      </c>
      <c r="K940" t="s" s="35">
        <v>622</v>
      </c>
      <c r="L940" s="30"/>
    </row>
    <row r="941" ht="74.5" customHeight="1">
      <c r="A941" t="s" s="36">
        <v>2541</v>
      </c>
      <c r="B941" t="s" s="37">
        <v>144</v>
      </c>
      <c r="C941" t="s" s="37">
        <v>143</v>
      </c>
      <c r="D941" t="s" s="37">
        <v>169</v>
      </c>
      <c r="E941" t="s" s="37">
        <v>618</v>
      </c>
      <c r="F941" t="s" s="37">
        <v>618</v>
      </c>
      <c r="G941" t="s" s="37">
        <v>424</v>
      </c>
      <c r="H941" t="s" s="37">
        <v>2542</v>
      </c>
      <c r="I941" t="s" s="37">
        <v>2460</v>
      </c>
      <c r="J941" t="s" s="37">
        <v>621</v>
      </c>
      <c r="K941" t="s" s="40">
        <v>622</v>
      </c>
      <c r="L941" s="30"/>
    </row>
    <row r="942" ht="74.5" customHeight="1">
      <c r="A942" t="s" s="31">
        <v>2543</v>
      </c>
      <c r="B942" t="s" s="32">
        <v>144</v>
      </c>
      <c r="C942" t="s" s="32">
        <v>143</v>
      </c>
      <c r="D942" t="s" s="32">
        <v>169</v>
      </c>
      <c r="E942" t="s" s="32">
        <v>618</v>
      </c>
      <c r="F942" t="s" s="32">
        <v>630</v>
      </c>
      <c r="G942" t="s" s="32">
        <v>387</v>
      </c>
      <c r="H942" t="s" s="32">
        <v>2544</v>
      </c>
      <c r="I942" t="s" s="32">
        <v>2460</v>
      </c>
      <c r="J942" t="s" s="32">
        <v>632</v>
      </c>
      <c r="K942" t="s" s="35">
        <v>622</v>
      </c>
      <c r="L942" s="30"/>
    </row>
    <row r="943" ht="74.5" customHeight="1">
      <c r="A943" t="s" s="36">
        <v>2545</v>
      </c>
      <c r="B943" t="s" s="37">
        <v>144</v>
      </c>
      <c r="C943" t="s" s="37">
        <v>143</v>
      </c>
      <c r="D943" t="s" s="37">
        <v>169</v>
      </c>
      <c r="E943" t="s" s="37">
        <v>618</v>
      </c>
      <c r="F943" t="s" s="37">
        <v>630</v>
      </c>
      <c r="G943" t="s" s="37">
        <v>400</v>
      </c>
      <c r="H943" t="s" s="37">
        <v>2546</v>
      </c>
      <c r="I943" t="s" s="37">
        <v>2460</v>
      </c>
      <c r="J943" t="s" s="37">
        <v>632</v>
      </c>
      <c r="K943" t="s" s="40">
        <v>622</v>
      </c>
      <c r="L943" s="30"/>
    </row>
    <row r="944" ht="74.5" customHeight="1">
      <c r="A944" t="s" s="31">
        <v>2547</v>
      </c>
      <c r="B944" t="s" s="32">
        <v>144</v>
      </c>
      <c r="C944" t="s" s="32">
        <v>143</v>
      </c>
      <c r="D944" t="s" s="32">
        <v>169</v>
      </c>
      <c r="E944" t="s" s="32">
        <v>618</v>
      </c>
      <c r="F944" t="s" s="32">
        <v>630</v>
      </c>
      <c r="G944" t="s" s="32">
        <v>412</v>
      </c>
      <c r="H944" t="s" s="32">
        <v>2548</v>
      </c>
      <c r="I944" t="s" s="32">
        <v>2460</v>
      </c>
      <c r="J944" t="s" s="32">
        <v>632</v>
      </c>
      <c r="K944" t="s" s="35">
        <v>622</v>
      </c>
      <c r="L944" s="30"/>
    </row>
    <row r="945" ht="74.5" customHeight="1">
      <c r="A945" t="s" s="36">
        <v>2549</v>
      </c>
      <c r="B945" t="s" s="37">
        <v>144</v>
      </c>
      <c r="C945" t="s" s="37">
        <v>143</v>
      </c>
      <c r="D945" t="s" s="37">
        <v>169</v>
      </c>
      <c r="E945" t="s" s="37">
        <v>618</v>
      </c>
      <c r="F945" t="s" s="37">
        <v>630</v>
      </c>
      <c r="G945" t="s" s="37">
        <v>424</v>
      </c>
      <c r="H945" t="s" s="37">
        <v>2550</v>
      </c>
      <c r="I945" t="s" s="37">
        <v>2460</v>
      </c>
      <c r="J945" t="s" s="37">
        <v>632</v>
      </c>
      <c r="K945" t="s" s="40">
        <v>622</v>
      </c>
      <c r="L945" s="30"/>
    </row>
    <row r="946" ht="74.5" customHeight="1">
      <c r="A946" t="s" s="31">
        <v>2551</v>
      </c>
      <c r="B946" t="s" s="32">
        <v>144</v>
      </c>
      <c r="C946" t="s" s="32">
        <v>143</v>
      </c>
      <c r="D946" t="s" s="32">
        <v>169</v>
      </c>
      <c r="E946" t="s" s="32">
        <v>618</v>
      </c>
      <c r="F946" t="s" s="32">
        <v>622</v>
      </c>
      <c r="G946" t="s" s="32">
        <v>387</v>
      </c>
      <c r="H946" t="s" s="32">
        <v>2552</v>
      </c>
      <c r="I946" t="s" s="32">
        <v>2460</v>
      </c>
      <c r="J946" t="s" s="32">
        <v>632</v>
      </c>
      <c r="K946" t="s" s="35">
        <v>641</v>
      </c>
      <c r="L946" s="30"/>
    </row>
    <row r="947" ht="74.5" customHeight="1">
      <c r="A947" t="s" s="36">
        <v>2553</v>
      </c>
      <c r="B947" t="s" s="37">
        <v>144</v>
      </c>
      <c r="C947" t="s" s="37">
        <v>143</v>
      </c>
      <c r="D947" t="s" s="37">
        <v>169</v>
      </c>
      <c r="E947" t="s" s="37">
        <v>618</v>
      </c>
      <c r="F947" t="s" s="37">
        <v>622</v>
      </c>
      <c r="G947" t="s" s="37">
        <v>400</v>
      </c>
      <c r="H947" t="s" s="37">
        <v>2554</v>
      </c>
      <c r="I947" t="s" s="37">
        <v>2460</v>
      </c>
      <c r="J947" t="s" s="37">
        <v>632</v>
      </c>
      <c r="K947" t="s" s="40">
        <v>641</v>
      </c>
      <c r="L947" s="30"/>
    </row>
    <row r="948" ht="74.5" customHeight="1">
      <c r="A948" t="s" s="31">
        <v>2555</v>
      </c>
      <c r="B948" t="s" s="32">
        <v>144</v>
      </c>
      <c r="C948" t="s" s="32">
        <v>143</v>
      </c>
      <c r="D948" t="s" s="32">
        <v>169</v>
      </c>
      <c r="E948" t="s" s="32">
        <v>618</v>
      </c>
      <c r="F948" t="s" s="32">
        <v>622</v>
      </c>
      <c r="G948" t="s" s="32">
        <v>412</v>
      </c>
      <c r="H948" t="s" s="32">
        <v>2556</v>
      </c>
      <c r="I948" t="s" s="32">
        <v>2460</v>
      </c>
      <c r="J948" t="s" s="32">
        <v>632</v>
      </c>
      <c r="K948" t="s" s="35">
        <v>641</v>
      </c>
      <c r="L948" s="30"/>
    </row>
    <row r="949" ht="74.5" customHeight="1">
      <c r="A949" t="s" s="36">
        <v>2557</v>
      </c>
      <c r="B949" t="s" s="37">
        <v>144</v>
      </c>
      <c r="C949" t="s" s="37">
        <v>143</v>
      </c>
      <c r="D949" t="s" s="37">
        <v>169</v>
      </c>
      <c r="E949" t="s" s="37">
        <v>618</v>
      </c>
      <c r="F949" t="s" s="37">
        <v>622</v>
      </c>
      <c r="G949" t="s" s="37">
        <v>424</v>
      </c>
      <c r="H949" t="s" s="37">
        <v>2558</v>
      </c>
      <c r="I949" t="s" s="37">
        <v>2460</v>
      </c>
      <c r="J949" t="s" s="37">
        <v>632</v>
      </c>
      <c r="K949" t="s" s="40">
        <v>641</v>
      </c>
      <c r="L949" s="30"/>
    </row>
    <row r="950" ht="74.5" customHeight="1">
      <c r="A950" t="s" s="31">
        <v>2559</v>
      </c>
      <c r="B950" t="s" s="32">
        <v>144</v>
      </c>
      <c r="C950" t="s" s="32">
        <v>143</v>
      </c>
      <c r="D950" t="s" s="32">
        <v>169</v>
      </c>
      <c r="E950" t="s" s="32">
        <v>630</v>
      </c>
      <c r="F950" t="s" s="32">
        <v>618</v>
      </c>
      <c r="G950" t="s" s="32">
        <v>387</v>
      </c>
      <c r="H950" t="s" s="32">
        <v>2560</v>
      </c>
      <c r="I950" t="s" s="32">
        <v>2485</v>
      </c>
      <c r="J950" t="s" s="32">
        <v>651</v>
      </c>
      <c r="K950" t="s" s="35">
        <v>622</v>
      </c>
      <c r="L950" s="30"/>
    </row>
    <row r="951" ht="74.5" customHeight="1">
      <c r="A951" t="s" s="36">
        <v>2561</v>
      </c>
      <c r="B951" t="s" s="37">
        <v>144</v>
      </c>
      <c r="C951" t="s" s="37">
        <v>143</v>
      </c>
      <c r="D951" t="s" s="37">
        <v>169</v>
      </c>
      <c r="E951" t="s" s="37">
        <v>630</v>
      </c>
      <c r="F951" t="s" s="37">
        <v>618</v>
      </c>
      <c r="G951" t="s" s="37">
        <v>400</v>
      </c>
      <c r="H951" t="s" s="37">
        <v>2562</v>
      </c>
      <c r="I951" t="s" s="37">
        <v>2485</v>
      </c>
      <c r="J951" t="s" s="37">
        <v>651</v>
      </c>
      <c r="K951" t="s" s="40">
        <v>622</v>
      </c>
      <c r="L951" s="30"/>
    </row>
    <row r="952" ht="74.5" customHeight="1">
      <c r="A952" t="s" s="31">
        <v>2563</v>
      </c>
      <c r="B952" t="s" s="32">
        <v>144</v>
      </c>
      <c r="C952" t="s" s="32">
        <v>143</v>
      </c>
      <c r="D952" t="s" s="32">
        <v>169</v>
      </c>
      <c r="E952" t="s" s="32">
        <v>630</v>
      </c>
      <c r="F952" t="s" s="32">
        <v>618</v>
      </c>
      <c r="G952" t="s" s="32">
        <v>412</v>
      </c>
      <c r="H952" t="s" s="32">
        <v>2564</v>
      </c>
      <c r="I952" t="s" s="32">
        <v>2485</v>
      </c>
      <c r="J952" t="s" s="32">
        <v>651</v>
      </c>
      <c r="K952" t="s" s="35">
        <v>622</v>
      </c>
      <c r="L952" s="30"/>
    </row>
    <row r="953" ht="74.5" customHeight="1">
      <c r="A953" t="s" s="36">
        <v>2565</v>
      </c>
      <c r="B953" t="s" s="37">
        <v>144</v>
      </c>
      <c r="C953" t="s" s="37">
        <v>143</v>
      </c>
      <c r="D953" t="s" s="37">
        <v>169</v>
      </c>
      <c r="E953" t="s" s="37">
        <v>630</v>
      </c>
      <c r="F953" t="s" s="37">
        <v>618</v>
      </c>
      <c r="G953" t="s" s="37">
        <v>424</v>
      </c>
      <c r="H953" t="s" s="37">
        <v>2566</v>
      </c>
      <c r="I953" t="s" s="37">
        <v>2485</v>
      </c>
      <c r="J953" t="s" s="37">
        <v>651</v>
      </c>
      <c r="K953" t="s" s="40">
        <v>622</v>
      </c>
      <c r="L953" s="30"/>
    </row>
    <row r="954" ht="74.5" customHeight="1">
      <c r="A954" t="s" s="31">
        <v>2567</v>
      </c>
      <c r="B954" t="s" s="32">
        <v>144</v>
      </c>
      <c r="C954" t="s" s="32">
        <v>143</v>
      </c>
      <c r="D954" t="s" s="32">
        <v>169</v>
      </c>
      <c r="E954" t="s" s="32">
        <v>630</v>
      </c>
      <c r="F954" t="s" s="32">
        <v>630</v>
      </c>
      <c r="G954" t="s" s="32">
        <v>387</v>
      </c>
      <c r="H954" t="s" s="32">
        <v>2568</v>
      </c>
      <c r="I954" t="s" s="32">
        <v>2485</v>
      </c>
      <c r="J954" t="s" s="32">
        <v>660</v>
      </c>
      <c r="K954" t="s" s="35">
        <v>630</v>
      </c>
      <c r="L954" s="30"/>
    </row>
    <row r="955" ht="74.5" customHeight="1">
      <c r="A955" t="s" s="36">
        <v>2569</v>
      </c>
      <c r="B955" t="s" s="37">
        <v>144</v>
      </c>
      <c r="C955" t="s" s="37">
        <v>143</v>
      </c>
      <c r="D955" t="s" s="37">
        <v>169</v>
      </c>
      <c r="E955" t="s" s="37">
        <v>630</v>
      </c>
      <c r="F955" t="s" s="37">
        <v>630</v>
      </c>
      <c r="G955" t="s" s="37">
        <v>400</v>
      </c>
      <c r="H955" t="s" s="37">
        <v>2570</v>
      </c>
      <c r="I955" t="s" s="37">
        <v>2485</v>
      </c>
      <c r="J955" t="s" s="37">
        <v>660</v>
      </c>
      <c r="K955" t="s" s="40">
        <v>630</v>
      </c>
      <c r="L955" s="30"/>
    </row>
    <row r="956" ht="74.5" customHeight="1">
      <c r="A956" t="s" s="31">
        <v>2571</v>
      </c>
      <c r="B956" t="s" s="32">
        <v>144</v>
      </c>
      <c r="C956" t="s" s="32">
        <v>143</v>
      </c>
      <c r="D956" t="s" s="32">
        <v>169</v>
      </c>
      <c r="E956" t="s" s="32">
        <v>630</v>
      </c>
      <c r="F956" t="s" s="32">
        <v>630</v>
      </c>
      <c r="G956" t="s" s="32">
        <v>412</v>
      </c>
      <c r="H956" t="s" s="32">
        <v>2572</v>
      </c>
      <c r="I956" t="s" s="32">
        <v>2485</v>
      </c>
      <c r="J956" t="s" s="32">
        <v>660</v>
      </c>
      <c r="K956" t="s" s="35">
        <v>630</v>
      </c>
      <c r="L956" s="30"/>
    </row>
    <row r="957" ht="74.5" customHeight="1">
      <c r="A957" t="s" s="36">
        <v>2573</v>
      </c>
      <c r="B957" t="s" s="37">
        <v>144</v>
      </c>
      <c r="C957" t="s" s="37">
        <v>143</v>
      </c>
      <c r="D957" t="s" s="37">
        <v>169</v>
      </c>
      <c r="E957" t="s" s="37">
        <v>630</v>
      </c>
      <c r="F957" t="s" s="37">
        <v>630</v>
      </c>
      <c r="G957" t="s" s="37">
        <v>424</v>
      </c>
      <c r="H957" t="s" s="37">
        <v>2574</v>
      </c>
      <c r="I957" t="s" s="37">
        <v>2485</v>
      </c>
      <c r="J957" t="s" s="37">
        <v>660</v>
      </c>
      <c r="K957" t="s" s="40">
        <v>630</v>
      </c>
      <c r="L957" s="30"/>
    </row>
    <row r="958" ht="74.5" customHeight="1">
      <c r="A958" t="s" s="31">
        <v>2575</v>
      </c>
      <c r="B958" t="s" s="32">
        <v>144</v>
      </c>
      <c r="C958" t="s" s="32">
        <v>143</v>
      </c>
      <c r="D958" t="s" s="32">
        <v>169</v>
      </c>
      <c r="E958" t="s" s="32">
        <v>630</v>
      </c>
      <c r="F958" t="s" s="32">
        <v>622</v>
      </c>
      <c r="G958" t="s" s="32">
        <v>387</v>
      </c>
      <c r="H958" t="s" s="32">
        <v>2576</v>
      </c>
      <c r="I958" t="s" s="32">
        <v>2502</v>
      </c>
      <c r="J958" t="s" s="32">
        <v>660</v>
      </c>
      <c r="K958" t="s" s="35">
        <v>630</v>
      </c>
      <c r="L958" s="30"/>
    </row>
    <row r="959" ht="74.5" customHeight="1">
      <c r="A959" t="s" s="36">
        <v>2577</v>
      </c>
      <c r="B959" t="s" s="37">
        <v>144</v>
      </c>
      <c r="C959" t="s" s="37">
        <v>143</v>
      </c>
      <c r="D959" t="s" s="37">
        <v>169</v>
      </c>
      <c r="E959" t="s" s="37">
        <v>630</v>
      </c>
      <c r="F959" t="s" s="37">
        <v>622</v>
      </c>
      <c r="G959" t="s" s="37">
        <v>400</v>
      </c>
      <c r="H959" t="s" s="37">
        <v>2578</v>
      </c>
      <c r="I959" t="s" s="37">
        <v>2502</v>
      </c>
      <c r="J959" t="s" s="37">
        <v>660</v>
      </c>
      <c r="K959" t="s" s="40">
        <v>630</v>
      </c>
      <c r="L959" s="30"/>
    </row>
    <row r="960" ht="74.5" customHeight="1">
      <c r="A960" t="s" s="31">
        <v>2579</v>
      </c>
      <c r="B960" t="s" s="32">
        <v>144</v>
      </c>
      <c r="C960" t="s" s="32">
        <v>143</v>
      </c>
      <c r="D960" t="s" s="32">
        <v>169</v>
      </c>
      <c r="E960" t="s" s="32">
        <v>630</v>
      </c>
      <c r="F960" t="s" s="32">
        <v>622</v>
      </c>
      <c r="G960" t="s" s="32">
        <v>412</v>
      </c>
      <c r="H960" t="s" s="32">
        <v>2580</v>
      </c>
      <c r="I960" t="s" s="32">
        <v>2502</v>
      </c>
      <c r="J960" t="s" s="32">
        <v>660</v>
      </c>
      <c r="K960" t="s" s="35">
        <v>630</v>
      </c>
      <c r="L960" s="30"/>
    </row>
    <row r="961" ht="74.5" customHeight="1">
      <c r="A961" t="s" s="36">
        <v>2581</v>
      </c>
      <c r="B961" t="s" s="37">
        <v>144</v>
      </c>
      <c r="C961" t="s" s="37">
        <v>143</v>
      </c>
      <c r="D961" t="s" s="37">
        <v>169</v>
      </c>
      <c r="E961" t="s" s="37">
        <v>630</v>
      </c>
      <c r="F961" t="s" s="37">
        <v>622</v>
      </c>
      <c r="G961" t="s" s="37">
        <v>424</v>
      </c>
      <c r="H961" t="s" s="37">
        <v>2582</v>
      </c>
      <c r="I961" t="s" s="37">
        <v>2502</v>
      </c>
      <c r="J961" t="s" s="37">
        <v>660</v>
      </c>
      <c r="K961" t="s" s="40">
        <v>630</v>
      </c>
      <c r="L961" s="30"/>
    </row>
    <row r="962" ht="74.5" customHeight="1">
      <c r="A962" t="s" s="31">
        <v>2583</v>
      </c>
      <c r="B962" t="s" s="32">
        <v>144</v>
      </c>
      <c r="C962" t="s" s="32">
        <v>143</v>
      </c>
      <c r="D962" t="s" s="32">
        <v>169</v>
      </c>
      <c r="E962" t="s" s="32">
        <v>622</v>
      </c>
      <c r="F962" t="s" s="32">
        <v>618</v>
      </c>
      <c r="G962" t="s" s="32">
        <v>387</v>
      </c>
      <c r="H962" t="s" s="32">
        <v>2584</v>
      </c>
      <c r="I962" t="s" s="32">
        <v>2511</v>
      </c>
      <c r="J962" t="s" s="32">
        <v>651</v>
      </c>
      <c r="K962" t="s" s="35">
        <v>622</v>
      </c>
      <c r="L962" s="30"/>
    </row>
    <row r="963" ht="74.5" customHeight="1">
      <c r="A963" t="s" s="36">
        <v>2585</v>
      </c>
      <c r="B963" t="s" s="37">
        <v>144</v>
      </c>
      <c r="C963" t="s" s="37">
        <v>143</v>
      </c>
      <c r="D963" t="s" s="37">
        <v>169</v>
      </c>
      <c r="E963" t="s" s="37">
        <v>622</v>
      </c>
      <c r="F963" t="s" s="37">
        <v>618</v>
      </c>
      <c r="G963" t="s" s="37">
        <v>400</v>
      </c>
      <c r="H963" t="s" s="37">
        <v>2586</v>
      </c>
      <c r="I963" t="s" s="37">
        <v>2511</v>
      </c>
      <c r="J963" t="s" s="37">
        <v>651</v>
      </c>
      <c r="K963" t="s" s="40">
        <v>622</v>
      </c>
      <c r="L963" s="30"/>
    </row>
    <row r="964" ht="74.5" customHeight="1">
      <c r="A964" t="s" s="31">
        <v>2587</v>
      </c>
      <c r="B964" t="s" s="32">
        <v>144</v>
      </c>
      <c r="C964" t="s" s="32">
        <v>143</v>
      </c>
      <c r="D964" t="s" s="32">
        <v>169</v>
      </c>
      <c r="E964" t="s" s="32">
        <v>622</v>
      </c>
      <c r="F964" t="s" s="32">
        <v>618</v>
      </c>
      <c r="G964" t="s" s="32">
        <v>412</v>
      </c>
      <c r="H964" t="s" s="32">
        <v>2588</v>
      </c>
      <c r="I964" t="s" s="32">
        <v>2511</v>
      </c>
      <c r="J964" t="s" s="32">
        <v>651</v>
      </c>
      <c r="K964" t="s" s="35">
        <v>622</v>
      </c>
      <c r="L964" s="30"/>
    </row>
    <row r="965" ht="74.5" customHeight="1">
      <c r="A965" t="s" s="36">
        <v>2589</v>
      </c>
      <c r="B965" t="s" s="37">
        <v>144</v>
      </c>
      <c r="C965" t="s" s="37">
        <v>143</v>
      </c>
      <c r="D965" t="s" s="37">
        <v>169</v>
      </c>
      <c r="E965" t="s" s="37">
        <v>622</v>
      </c>
      <c r="F965" t="s" s="37">
        <v>618</v>
      </c>
      <c r="G965" t="s" s="37">
        <v>424</v>
      </c>
      <c r="H965" t="s" s="37">
        <v>2590</v>
      </c>
      <c r="I965" t="s" s="37">
        <v>2511</v>
      </c>
      <c r="J965" t="s" s="37">
        <v>651</v>
      </c>
      <c r="K965" t="s" s="40">
        <v>622</v>
      </c>
      <c r="L965" s="30"/>
    </row>
    <row r="966" ht="74.5" customHeight="1">
      <c r="A966" t="s" s="31">
        <v>2591</v>
      </c>
      <c r="B966" t="s" s="32">
        <v>144</v>
      </c>
      <c r="C966" t="s" s="32">
        <v>143</v>
      </c>
      <c r="D966" t="s" s="32">
        <v>169</v>
      </c>
      <c r="E966" t="s" s="32">
        <v>622</v>
      </c>
      <c r="F966" t="s" s="32">
        <v>630</v>
      </c>
      <c r="G966" t="s" s="32">
        <v>387</v>
      </c>
      <c r="H966" t="s" s="32">
        <v>2592</v>
      </c>
      <c r="I966" t="s" s="32">
        <v>2520</v>
      </c>
      <c r="J966" t="s" s="32">
        <v>660</v>
      </c>
      <c r="K966" t="s" s="35">
        <v>630</v>
      </c>
      <c r="L966" s="30"/>
    </row>
    <row r="967" ht="74.5" customHeight="1">
      <c r="A967" t="s" s="36">
        <v>2593</v>
      </c>
      <c r="B967" t="s" s="37">
        <v>144</v>
      </c>
      <c r="C967" t="s" s="37">
        <v>143</v>
      </c>
      <c r="D967" t="s" s="37">
        <v>169</v>
      </c>
      <c r="E967" t="s" s="37">
        <v>622</v>
      </c>
      <c r="F967" t="s" s="37">
        <v>630</v>
      </c>
      <c r="G967" t="s" s="37">
        <v>400</v>
      </c>
      <c r="H967" t="s" s="37">
        <v>2594</v>
      </c>
      <c r="I967" t="s" s="37">
        <v>2520</v>
      </c>
      <c r="J967" t="s" s="37">
        <v>660</v>
      </c>
      <c r="K967" t="s" s="40">
        <v>630</v>
      </c>
      <c r="L967" s="30"/>
    </row>
    <row r="968" ht="74.5" customHeight="1">
      <c r="A968" t="s" s="31">
        <v>2595</v>
      </c>
      <c r="B968" t="s" s="32">
        <v>144</v>
      </c>
      <c r="C968" t="s" s="32">
        <v>143</v>
      </c>
      <c r="D968" t="s" s="32">
        <v>169</v>
      </c>
      <c r="E968" t="s" s="32">
        <v>622</v>
      </c>
      <c r="F968" t="s" s="32">
        <v>630</v>
      </c>
      <c r="G968" t="s" s="32">
        <v>412</v>
      </c>
      <c r="H968" t="s" s="32">
        <v>2596</v>
      </c>
      <c r="I968" t="s" s="32">
        <v>2520</v>
      </c>
      <c r="J968" t="s" s="32">
        <v>660</v>
      </c>
      <c r="K968" t="s" s="35">
        <v>630</v>
      </c>
      <c r="L968" s="30"/>
    </row>
    <row r="969" ht="74.5" customHeight="1">
      <c r="A969" t="s" s="36">
        <v>2597</v>
      </c>
      <c r="B969" t="s" s="37">
        <v>144</v>
      </c>
      <c r="C969" t="s" s="37">
        <v>143</v>
      </c>
      <c r="D969" t="s" s="37">
        <v>169</v>
      </c>
      <c r="E969" t="s" s="37">
        <v>622</v>
      </c>
      <c r="F969" t="s" s="37">
        <v>630</v>
      </c>
      <c r="G969" t="s" s="37">
        <v>424</v>
      </c>
      <c r="H969" t="s" s="37">
        <v>2598</v>
      </c>
      <c r="I969" t="s" s="37">
        <v>2520</v>
      </c>
      <c r="J969" t="s" s="37">
        <v>660</v>
      </c>
      <c r="K969" t="s" s="40">
        <v>630</v>
      </c>
      <c r="L969" s="30"/>
    </row>
    <row r="970" ht="74.5" customHeight="1">
      <c r="A970" t="s" s="31">
        <v>2599</v>
      </c>
      <c r="B970" t="s" s="32">
        <v>144</v>
      </c>
      <c r="C970" t="s" s="32">
        <v>143</v>
      </c>
      <c r="D970" t="s" s="32">
        <v>169</v>
      </c>
      <c r="E970" t="s" s="32">
        <v>622</v>
      </c>
      <c r="F970" t="s" s="32">
        <v>622</v>
      </c>
      <c r="G970" t="s" s="32">
        <v>387</v>
      </c>
      <c r="H970" t="s" s="32">
        <v>2600</v>
      </c>
      <c r="I970" t="s" s="32">
        <v>2520</v>
      </c>
      <c r="J970" t="s" s="32">
        <v>660</v>
      </c>
      <c r="K970" t="s" s="35">
        <v>641</v>
      </c>
      <c r="L970" s="30"/>
    </row>
    <row r="971" ht="74.5" customHeight="1">
      <c r="A971" t="s" s="36">
        <v>2601</v>
      </c>
      <c r="B971" t="s" s="37">
        <v>144</v>
      </c>
      <c r="C971" t="s" s="37">
        <v>143</v>
      </c>
      <c r="D971" t="s" s="37">
        <v>169</v>
      </c>
      <c r="E971" t="s" s="37">
        <v>622</v>
      </c>
      <c r="F971" t="s" s="37">
        <v>622</v>
      </c>
      <c r="G971" t="s" s="37">
        <v>400</v>
      </c>
      <c r="H971" t="s" s="37">
        <v>2602</v>
      </c>
      <c r="I971" t="s" s="37">
        <v>2520</v>
      </c>
      <c r="J971" t="s" s="37">
        <v>660</v>
      </c>
      <c r="K971" t="s" s="40">
        <v>641</v>
      </c>
      <c r="L971" s="30"/>
    </row>
    <row r="972" ht="74.5" customHeight="1">
      <c r="A972" t="s" s="31">
        <v>2603</v>
      </c>
      <c r="B972" t="s" s="32">
        <v>144</v>
      </c>
      <c r="C972" t="s" s="32">
        <v>143</v>
      </c>
      <c r="D972" t="s" s="32">
        <v>169</v>
      </c>
      <c r="E972" t="s" s="32">
        <v>622</v>
      </c>
      <c r="F972" t="s" s="32">
        <v>622</v>
      </c>
      <c r="G972" t="s" s="32">
        <v>412</v>
      </c>
      <c r="H972" t="s" s="32">
        <v>2604</v>
      </c>
      <c r="I972" t="s" s="32">
        <v>2520</v>
      </c>
      <c r="J972" t="s" s="32">
        <v>660</v>
      </c>
      <c r="K972" t="s" s="35">
        <v>641</v>
      </c>
      <c r="L972" s="30"/>
    </row>
    <row r="973" ht="74.5" customHeight="1">
      <c r="A973" t="s" s="36">
        <v>2605</v>
      </c>
      <c r="B973" t="s" s="37">
        <v>144</v>
      </c>
      <c r="C973" t="s" s="37">
        <v>143</v>
      </c>
      <c r="D973" t="s" s="37">
        <v>169</v>
      </c>
      <c r="E973" t="s" s="37">
        <v>622</v>
      </c>
      <c r="F973" t="s" s="37">
        <v>622</v>
      </c>
      <c r="G973" t="s" s="37">
        <v>424</v>
      </c>
      <c r="H973" t="s" s="37">
        <v>2606</v>
      </c>
      <c r="I973" t="s" s="37">
        <v>2520</v>
      </c>
      <c r="J973" t="s" s="37">
        <v>660</v>
      </c>
      <c r="K973" t="s" s="40">
        <v>641</v>
      </c>
      <c r="L973" s="30"/>
    </row>
    <row r="974" ht="74.5" customHeight="1">
      <c r="A974" t="s" s="31">
        <v>2607</v>
      </c>
      <c r="B974" t="s" s="32">
        <v>144</v>
      </c>
      <c r="C974" t="s" s="32">
        <v>143</v>
      </c>
      <c r="D974" t="s" s="32">
        <v>181</v>
      </c>
      <c r="E974" t="s" s="32">
        <v>618</v>
      </c>
      <c r="F974" t="s" s="32">
        <v>618</v>
      </c>
      <c r="G974" t="s" s="32">
        <v>387</v>
      </c>
      <c r="H974" t="s" s="32">
        <v>2608</v>
      </c>
      <c r="I974" t="s" s="32">
        <v>2460</v>
      </c>
      <c r="J974" t="s" s="32">
        <v>621</v>
      </c>
      <c r="K974" t="s" s="35">
        <v>622</v>
      </c>
      <c r="L974" s="30"/>
    </row>
    <row r="975" ht="74.5" customHeight="1">
      <c r="A975" t="s" s="36">
        <v>2609</v>
      </c>
      <c r="B975" t="s" s="37">
        <v>144</v>
      </c>
      <c r="C975" t="s" s="37">
        <v>143</v>
      </c>
      <c r="D975" t="s" s="37">
        <v>181</v>
      </c>
      <c r="E975" t="s" s="37">
        <v>618</v>
      </c>
      <c r="F975" t="s" s="37">
        <v>618</v>
      </c>
      <c r="G975" t="s" s="37">
        <v>400</v>
      </c>
      <c r="H975" t="s" s="37">
        <v>2610</v>
      </c>
      <c r="I975" t="s" s="37">
        <v>2460</v>
      </c>
      <c r="J975" t="s" s="37">
        <v>621</v>
      </c>
      <c r="K975" t="s" s="40">
        <v>622</v>
      </c>
      <c r="L975" s="30"/>
    </row>
    <row r="976" ht="74.5" customHeight="1">
      <c r="A976" t="s" s="31">
        <v>2611</v>
      </c>
      <c r="B976" t="s" s="32">
        <v>144</v>
      </c>
      <c r="C976" t="s" s="32">
        <v>143</v>
      </c>
      <c r="D976" t="s" s="32">
        <v>181</v>
      </c>
      <c r="E976" t="s" s="32">
        <v>618</v>
      </c>
      <c r="F976" t="s" s="32">
        <v>618</v>
      </c>
      <c r="G976" t="s" s="32">
        <v>412</v>
      </c>
      <c r="H976" t="s" s="32">
        <v>2612</v>
      </c>
      <c r="I976" t="s" s="32">
        <v>2460</v>
      </c>
      <c r="J976" t="s" s="32">
        <v>621</v>
      </c>
      <c r="K976" t="s" s="35">
        <v>622</v>
      </c>
      <c r="L976" s="30"/>
    </row>
    <row r="977" ht="74.5" customHeight="1">
      <c r="A977" t="s" s="36">
        <v>2613</v>
      </c>
      <c r="B977" t="s" s="37">
        <v>144</v>
      </c>
      <c r="C977" t="s" s="37">
        <v>143</v>
      </c>
      <c r="D977" t="s" s="37">
        <v>181</v>
      </c>
      <c r="E977" t="s" s="37">
        <v>618</v>
      </c>
      <c r="F977" t="s" s="37">
        <v>618</v>
      </c>
      <c r="G977" t="s" s="37">
        <v>424</v>
      </c>
      <c r="H977" t="s" s="37">
        <v>2614</v>
      </c>
      <c r="I977" t="s" s="37">
        <v>2460</v>
      </c>
      <c r="J977" t="s" s="37">
        <v>621</v>
      </c>
      <c r="K977" t="s" s="40">
        <v>622</v>
      </c>
      <c r="L977" s="30"/>
    </row>
    <row r="978" ht="74.5" customHeight="1">
      <c r="A978" t="s" s="31">
        <v>2615</v>
      </c>
      <c r="B978" t="s" s="32">
        <v>144</v>
      </c>
      <c r="C978" t="s" s="32">
        <v>143</v>
      </c>
      <c r="D978" t="s" s="32">
        <v>181</v>
      </c>
      <c r="E978" t="s" s="32">
        <v>618</v>
      </c>
      <c r="F978" t="s" s="32">
        <v>630</v>
      </c>
      <c r="G978" t="s" s="32">
        <v>387</v>
      </c>
      <c r="H978" t="s" s="32">
        <v>2616</v>
      </c>
      <c r="I978" t="s" s="32">
        <v>2460</v>
      </c>
      <c r="J978" t="s" s="32">
        <v>632</v>
      </c>
      <c r="K978" t="s" s="35">
        <v>622</v>
      </c>
      <c r="L978" s="30"/>
    </row>
    <row r="979" ht="74.5" customHeight="1">
      <c r="A979" t="s" s="36">
        <v>2617</v>
      </c>
      <c r="B979" t="s" s="37">
        <v>144</v>
      </c>
      <c r="C979" t="s" s="37">
        <v>143</v>
      </c>
      <c r="D979" t="s" s="37">
        <v>181</v>
      </c>
      <c r="E979" t="s" s="37">
        <v>618</v>
      </c>
      <c r="F979" t="s" s="37">
        <v>630</v>
      </c>
      <c r="G979" t="s" s="37">
        <v>400</v>
      </c>
      <c r="H979" t="s" s="37">
        <v>2618</v>
      </c>
      <c r="I979" t="s" s="37">
        <v>2460</v>
      </c>
      <c r="J979" t="s" s="37">
        <v>632</v>
      </c>
      <c r="K979" t="s" s="40">
        <v>622</v>
      </c>
      <c r="L979" s="30"/>
    </row>
    <row r="980" ht="74.5" customHeight="1">
      <c r="A980" t="s" s="31">
        <v>2619</v>
      </c>
      <c r="B980" t="s" s="32">
        <v>144</v>
      </c>
      <c r="C980" t="s" s="32">
        <v>143</v>
      </c>
      <c r="D980" t="s" s="32">
        <v>181</v>
      </c>
      <c r="E980" t="s" s="32">
        <v>618</v>
      </c>
      <c r="F980" t="s" s="32">
        <v>630</v>
      </c>
      <c r="G980" t="s" s="32">
        <v>412</v>
      </c>
      <c r="H980" t="s" s="32">
        <v>2620</v>
      </c>
      <c r="I980" t="s" s="32">
        <v>2460</v>
      </c>
      <c r="J980" t="s" s="32">
        <v>632</v>
      </c>
      <c r="K980" t="s" s="35">
        <v>622</v>
      </c>
      <c r="L980" s="30"/>
    </row>
    <row r="981" ht="74.5" customHeight="1">
      <c r="A981" t="s" s="36">
        <v>2621</v>
      </c>
      <c r="B981" t="s" s="37">
        <v>144</v>
      </c>
      <c r="C981" t="s" s="37">
        <v>143</v>
      </c>
      <c r="D981" t="s" s="37">
        <v>181</v>
      </c>
      <c r="E981" t="s" s="37">
        <v>618</v>
      </c>
      <c r="F981" t="s" s="37">
        <v>630</v>
      </c>
      <c r="G981" t="s" s="37">
        <v>424</v>
      </c>
      <c r="H981" t="s" s="37">
        <v>2622</v>
      </c>
      <c r="I981" t="s" s="37">
        <v>2460</v>
      </c>
      <c r="J981" t="s" s="37">
        <v>632</v>
      </c>
      <c r="K981" t="s" s="40">
        <v>622</v>
      </c>
      <c r="L981" s="30"/>
    </row>
    <row r="982" ht="74.5" customHeight="1">
      <c r="A982" t="s" s="31">
        <v>2623</v>
      </c>
      <c r="B982" t="s" s="32">
        <v>144</v>
      </c>
      <c r="C982" t="s" s="32">
        <v>143</v>
      </c>
      <c r="D982" t="s" s="32">
        <v>181</v>
      </c>
      <c r="E982" t="s" s="32">
        <v>618</v>
      </c>
      <c r="F982" t="s" s="32">
        <v>622</v>
      </c>
      <c r="G982" t="s" s="32">
        <v>387</v>
      </c>
      <c r="H982" t="s" s="32">
        <v>2624</v>
      </c>
      <c r="I982" t="s" s="32">
        <v>2460</v>
      </c>
      <c r="J982" t="s" s="32">
        <v>632</v>
      </c>
      <c r="K982" t="s" s="35">
        <v>641</v>
      </c>
      <c r="L982" s="30"/>
    </row>
    <row r="983" ht="74.5" customHeight="1">
      <c r="A983" t="s" s="36">
        <v>2625</v>
      </c>
      <c r="B983" t="s" s="37">
        <v>144</v>
      </c>
      <c r="C983" t="s" s="37">
        <v>143</v>
      </c>
      <c r="D983" t="s" s="37">
        <v>181</v>
      </c>
      <c r="E983" t="s" s="37">
        <v>618</v>
      </c>
      <c r="F983" t="s" s="37">
        <v>622</v>
      </c>
      <c r="G983" t="s" s="37">
        <v>400</v>
      </c>
      <c r="H983" t="s" s="37">
        <v>2626</v>
      </c>
      <c r="I983" t="s" s="37">
        <v>2460</v>
      </c>
      <c r="J983" t="s" s="37">
        <v>632</v>
      </c>
      <c r="K983" t="s" s="40">
        <v>641</v>
      </c>
      <c r="L983" s="30"/>
    </row>
    <row r="984" ht="74.5" customHeight="1">
      <c r="A984" t="s" s="31">
        <v>2627</v>
      </c>
      <c r="B984" t="s" s="32">
        <v>144</v>
      </c>
      <c r="C984" t="s" s="32">
        <v>143</v>
      </c>
      <c r="D984" t="s" s="32">
        <v>181</v>
      </c>
      <c r="E984" t="s" s="32">
        <v>618</v>
      </c>
      <c r="F984" t="s" s="32">
        <v>622</v>
      </c>
      <c r="G984" t="s" s="32">
        <v>412</v>
      </c>
      <c r="H984" t="s" s="32">
        <v>2628</v>
      </c>
      <c r="I984" t="s" s="32">
        <v>2460</v>
      </c>
      <c r="J984" t="s" s="32">
        <v>632</v>
      </c>
      <c r="K984" t="s" s="35">
        <v>641</v>
      </c>
      <c r="L984" s="30"/>
    </row>
    <row r="985" ht="74.5" customHeight="1">
      <c r="A985" t="s" s="36">
        <v>2629</v>
      </c>
      <c r="B985" t="s" s="37">
        <v>144</v>
      </c>
      <c r="C985" t="s" s="37">
        <v>143</v>
      </c>
      <c r="D985" t="s" s="37">
        <v>181</v>
      </c>
      <c r="E985" t="s" s="37">
        <v>618</v>
      </c>
      <c r="F985" t="s" s="37">
        <v>622</v>
      </c>
      <c r="G985" t="s" s="37">
        <v>424</v>
      </c>
      <c r="H985" t="s" s="37">
        <v>2630</v>
      </c>
      <c r="I985" t="s" s="37">
        <v>2460</v>
      </c>
      <c r="J985" t="s" s="37">
        <v>632</v>
      </c>
      <c r="K985" t="s" s="40">
        <v>641</v>
      </c>
      <c r="L985" s="30"/>
    </row>
    <row r="986" ht="74.5" customHeight="1">
      <c r="A986" t="s" s="31">
        <v>2631</v>
      </c>
      <c r="B986" t="s" s="32">
        <v>144</v>
      </c>
      <c r="C986" t="s" s="32">
        <v>143</v>
      </c>
      <c r="D986" t="s" s="32">
        <v>181</v>
      </c>
      <c r="E986" t="s" s="32">
        <v>630</v>
      </c>
      <c r="F986" t="s" s="32">
        <v>618</v>
      </c>
      <c r="G986" t="s" s="32">
        <v>387</v>
      </c>
      <c r="H986" t="s" s="32">
        <v>2632</v>
      </c>
      <c r="I986" t="s" s="32">
        <v>2485</v>
      </c>
      <c r="J986" t="s" s="32">
        <v>651</v>
      </c>
      <c r="K986" t="s" s="35">
        <v>622</v>
      </c>
      <c r="L986" s="30"/>
    </row>
    <row r="987" ht="74.5" customHeight="1">
      <c r="A987" t="s" s="36">
        <v>2633</v>
      </c>
      <c r="B987" t="s" s="37">
        <v>144</v>
      </c>
      <c r="C987" t="s" s="37">
        <v>143</v>
      </c>
      <c r="D987" t="s" s="37">
        <v>181</v>
      </c>
      <c r="E987" t="s" s="37">
        <v>630</v>
      </c>
      <c r="F987" t="s" s="37">
        <v>618</v>
      </c>
      <c r="G987" t="s" s="37">
        <v>400</v>
      </c>
      <c r="H987" t="s" s="37">
        <v>2634</v>
      </c>
      <c r="I987" t="s" s="37">
        <v>2485</v>
      </c>
      <c r="J987" t="s" s="37">
        <v>651</v>
      </c>
      <c r="K987" t="s" s="40">
        <v>622</v>
      </c>
      <c r="L987" s="30"/>
    </row>
    <row r="988" ht="74.5" customHeight="1">
      <c r="A988" t="s" s="31">
        <v>2635</v>
      </c>
      <c r="B988" t="s" s="32">
        <v>144</v>
      </c>
      <c r="C988" t="s" s="32">
        <v>143</v>
      </c>
      <c r="D988" t="s" s="32">
        <v>181</v>
      </c>
      <c r="E988" t="s" s="32">
        <v>630</v>
      </c>
      <c r="F988" t="s" s="32">
        <v>618</v>
      </c>
      <c r="G988" t="s" s="32">
        <v>412</v>
      </c>
      <c r="H988" t="s" s="32">
        <v>2636</v>
      </c>
      <c r="I988" t="s" s="32">
        <v>2485</v>
      </c>
      <c r="J988" t="s" s="32">
        <v>651</v>
      </c>
      <c r="K988" t="s" s="35">
        <v>622</v>
      </c>
      <c r="L988" s="30"/>
    </row>
    <row r="989" ht="74.5" customHeight="1">
      <c r="A989" t="s" s="36">
        <v>2637</v>
      </c>
      <c r="B989" t="s" s="37">
        <v>144</v>
      </c>
      <c r="C989" t="s" s="37">
        <v>143</v>
      </c>
      <c r="D989" t="s" s="37">
        <v>181</v>
      </c>
      <c r="E989" t="s" s="37">
        <v>630</v>
      </c>
      <c r="F989" t="s" s="37">
        <v>618</v>
      </c>
      <c r="G989" t="s" s="37">
        <v>424</v>
      </c>
      <c r="H989" t="s" s="37">
        <v>2638</v>
      </c>
      <c r="I989" t="s" s="37">
        <v>2485</v>
      </c>
      <c r="J989" t="s" s="37">
        <v>651</v>
      </c>
      <c r="K989" t="s" s="40">
        <v>622</v>
      </c>
      <c r="L989" s="30"/>
    </row>
    <row r="990" ht="74.5" customHeight="1">
      <c r="A990" t="s" s="31">
        <v>2639</v>
      </c>
      <c r="B990" t="s" s="32">
        <v>144</v>
      </c>
      <c r="C990" t="s" s="32">
        <v>143</v>
      </c>
      <c r="D990" t="s" s="32">
        <v>181</v>
      </c>
      <c r="E990" t="s" s="32">
        <v>630</v>
      </c>
      <c r="F990" t="s" s="32">
        <v>630</v>
      </c>
      <c r="G990" t="s" s="32">
        <v>387</v>
      </c>
      <c r="H990" t="s" s="32">
        <v>2640</v>
      </c>
      <c r="I990" t="s" s="32">
        <v>2485</v>
      </c>
      <c r="J990" t="s" s="32">
        <v>660</v>
      </c>
      <c r="K990" t="s" s="35">
        <v>630</v>
      </c>
      <c r="L990" s="30"/>
    </row>
    <row r="991" ht="74.5" customHeight="1">
      <c r="A991" t="s" s="36">
        <v>2641</v>
      </c>
      <c r="B991" t="s" s="37">
        <v>144</v>
      </c>
      <c r="C991" t="s" s="37">
        <v>143</v>
      </c>
      <c r="D991" t="s" s="37">
        <v>181</v>
      </c>
      <c r="E991" t="s" s="37">
        <v>630</v>
      </c>
      <c r="F991" t="s" s="37">
        <v>630</v>
      </c>
      <c r="G991" t="s" s="37">
        <v>400</v>
      </c>
      <c r="H991" t="s" s="37">
        <v>2642</v>
      </c>
      <c r="I991" t="s" s="37">
        <v>2485</v>
      </c>
      <c r="J991" t="s" s="37">
        <v>660</v>
      </c>
      <c r="K991" t="s" s="40">
        <v>630</v>
      </c>
      <c r="L991" s="30"/>
    </row>
    <row r="992" ht="74.5" customHeight="1">
      <c r="A992" t="s" s="31">
        <v>2643</v>
      </c>
      <c r="B992" t="s" s="32">
        <v>144</v>
      </c>
      <c r="C992" t="s" s="32">
        <v>143</v>
      </c>
      <c r="D992" t="s" s="32">
        <v>181</v>
      </c>
      <c r="E992" t="s" s="32">
        <v>630</v>
      </c>
      <c r="F992" t="s" s="32">
        <v>630</v>
      </c>
      <c r="G992" t="s" s="32">
        <v>412</v>
      </c>
      <c r="H992" t="s" s="32">
        <v>2644</v>
      </c>
      <c r="I992" t="s" s="32">
        <v>2485</v>
      </c>
      <c r="J992" t="s" s="32">
        <v>660</v>
      </c>
      <c r="K992" t="s" s="35">
        <v>630</v>
      </c>
      <c r="L992" s="30"/>
    </row>
    <row r="993" ht="74.5" customHeight="1">
      <c r="A993" t="s" s="36">
        <v>2645</v>
      </c>
      <c r="B993" t="s" s="37">
        <v>144</v>
      </c>
      <c r="C993" t="s" s="37">
        <v>143</v>
      </c>
      <c r="D993" t="s" s="37">
        <v>181</v>
      </c>
      <c r="E993" t="s" s="37">
        <v>630</v>
      </c>
      <c r="F993" t="s" s="37">
        <v>630</v>
      </c>
      <c r="G993" t="s" s="37">
        <v>424</v>
      </c>
      <c r="H993" t="s" s="37">
        <v>2646</v>
      </c>
      <c r="I993" t="s" s="37">
        <v>2485</v>
      </c>
      <c r="J993" t="s" s="37">
        <v>660</v>
      </c>
      <c r="K993" t="s" s="40">
        <v>630</v>
      </c>
      <c r="L993" s="30"/>
    </row>
    <row r="994" ht="74.5" customHeight="1">
      <c r="A994" t="s" s="31">
        <v>2647</v>
      </c>
      <c r="B994" t="s" s="32">
        <v>144</v>
      </c>
      <c r="C994" t="s" s="32">
        <v>143</v>
      </c>
      <c r="D994" t="s" s="32">
        <v>181</v>
      </c>
      <c r="E994" t="s" s="32">
        <v>630</v>
      </c>
      <c r="F994" t="s" s="32">
        <v>622</v>
      </c>
      <c r="G994" t="s" s="32">
        <v>387</v>
      </c>
      <c r="H994" t="s" s="32">
        <v>2648</v>
      </c>
      <c r="I994" t="s" s="32">
        <v>2502</v>
      </c>
      <c r="J994" t="s" s="32">
        <v>660</v>
      </c>
      <c r="K994" t="s" s="35">
        <v>630</v>
      </c>
      <c r="L994" s="30"/>
    </row>
    <row r="995" ht="74.5" customHeight="1">
      <c r="A995" t="s" s="36">
        <v>2649</v>
      </c>
      <c r="B995" t="s" s="37">
        <v>144</v>
      </c>
      <c r="C995" t="s" s="37">
        <v>143</v>
      </c>
      <c r="D995" t="s" s="37">
        <v>181</v>
      </c>
      <c r="E995" t="s" s="37">
        <v>630</v>
      </c>
      <c r="F995" t="s" s="37">
        <v>622</v>
      </c>
      <c r="G995" t="s" s="37">
        <v>400</v>
      </c>
      <c r="H995" t="s" s="37">
        <v>2650</v>
      </c>
      <c r="I995" t="s" s="37">
        <v>2502</v>
      </c>
      <c r="J995" t="s" s="37">
        <v>660</v>
      </c>
      <c r="K995" t="s" s="40">
        <v>630</v>
      </c>
      <c r="L995" s="30"/>
    </row>
    <row r="996" ht="74.5" customHeight="1">
      <c r="A996" t="s" s="31">
        <v>2651</v>
      </c>
      <c r="B996" t="s" s="32">
        <v>144</v>
      </c>
      <c r="C996" t="s" s="32">
        <v>143</v>
      </c>
      <c r="D996" t="s" s="32">
        <v>181</v>
      </c>
      <c r="E996" t="s" s="32">
        <v>630</v>
      </c>
      <c r="F996" t="s" s="32">
        <v>622</v>
      </c>
      <c r="G996" t="s" s="32">
        <v>412</v>
      </c>
      <c r="H996" t="s" s="32">
        <v>2652</v>
      </c>
      <c r="I996" t="s" s="32">
        <v>2502</v>
      </c>
      <c r="J996" t="s" s="32">
        <v>660</v>
      </c>
      <c r="K996" t="s" s="35">
        <v>630</v>
      </c>
      <c r="L996" s="30"/>
    </row>
    <row r="997" ht="74.5" customHeight="1">
      <c r="A997" t="s" s="36">
        <v>2653</v>
      </c>
      <c r="B997" t="s" s="37">
        <v>144</v>
      </c>
      <c r="C997" t="s" s="37">
        <v>143</v>
      </c>
      <c r="D997" t="s" s="37">
        <v>181</v>
      </c>
      <c r="E997" t="s" s="37">
        <v>630</v>
      </c>
      <c r="F997" t="s" s="37">
        <v>622</v>
      </c>
      <c r="G997" t="s" s="37">
        <v>424</v>
      </c>
      <c r="H997" t="s" s="37">
        <v>2654</v>
      </c>
      <c r="I997" t="s" s="37">
        <v>2502</v>
      </c>
      <c r="J997" t="s" s="37">
        <v>660</v>
      </c>
      <c r="K997" t="s" s="40">
        <v>630</v>
      </c>
      <c r="L997" s="30"/>
    </row>
    <row r="998" ht="74.5" customHeight="1">
      <c r="A998" t="s" s="31">
        <v>2655</v>
      </c>
      <c r="B998" t="s" s="32">
        <v>144</v>
      </c>
      <c r="C998" t="s" s="32">
        <v>143</v>
      </c>
      <c r="D998" t="s" s="32">
        <v>181</v>
      </c>
      <c r="E998" t="s" s="32">
        <v>622</v>
      </c>
      <c r="F998" t="s" s="32">
        <v>618</v>
      </c>
      <c r="G998" t="s" s="32">
        <v>387</v>
      </c>
      <c r="H998" t="s" s="32">
        <v>2656</v>
      </c>
      <c r="I998" t="s" s="32">
        <v>2511</v>
      </c>
      <c r="J998" t="s" s="32">
        <v>651</v>
      </c>
      <c r="K998" t="s" s="35">
        <v>622</v>
      </c>
      <c r="L998" s="30"/>
    </row>
    <row r="999" ht="74.5" customHeight="1">
      <c r="A999" t="s" s="36">
        <v>2657</v>
      </c>
      <c r="B999" t="s" s="37">
        <v>144</v>
      </c>
      <c r="C999" t="s" s="37">
        <v>143</v>
      </c>
      <c r="D999" t="s" s="37">
        <v>181</v>
      </c>
      <c r="E999" t="s" s="37">
        <v>622</v>
      </c>
      <c r="F999" t="s" s="37">
        <v>618</v>
      </c>
      <c r="G999" t="s" s="37">
        <v>400</v>
      </c>
      <c r="H999" t="s" s="37">
        <v>2658</v>
      </c>
      <c r="I999" t="s" s="37">
        <v>2511</v>
      </c>
      <c r="J999" t="s" s="37">
        <v>651</v>
      </c>
      <c r="K999" t="s" s="40">
        <v>622</v>
      </c>
      <c r="L999" s="30"/>
    </row>
    <row r="1000" ht="74.5" customHeight="1">
      <c r="A1000" t="s" s="31">
        <v>2659</v>
      </c>
      <c r="B1000" t="s" s="32">
        <v>144</v>
      </c>
      <c r="C1000" t="s" s="32">
        <v>143</v>
      </c>
      <c r="D1000" t="s" s="32">
        <v>181</v>
      </c>
      <c r="E1000" t="s" s="32">
        <v>622</v>
      </c>
      <c r="F1000" t="s" s="32">
        <v>618</v>
      </c>
      <c r="G1000" t="s" s="32">
        <v>412</v>
      </c>
      <c r="H1000" t="s" s="32">
        <v>2660</v>
      </c>
      <c r="I1000" t="s" s="32">
        <v>2511</v>
      </c>
      <c r="J1000" t="s" s="32">
        <v>651</v>
      </c>
      <c r="K1000" t="s" s="35">
        <v>622</v>
      </c>
      <c r="L1000" s="30"/>
    </row>
    <row r="1001" ht="74.5" customHeight="1">
      <c r="A1001" t="s" s="36">
        <v>2661</v>
      </c>
      <c r="B1001" t="s" s="37">
        <v>144</v>
      </c>
      <c r="C1001" t="s" s="37">
        <v>143</v>
      </c>
      <c r="D1001" t="s" s="37">
        <v>181</v>
      </c>
      <c r="E1001" t="s" s="37">
        <v>622</v>
      </c>
      <c r="F1001" t="s" s="37">
        <v>618</v>
      </c>
      <c r="G1001" t="s" s="37">
        <v>424</v>
      </c>
      <c r="H1001" t="s" s="37">
        <v>2662</v>
      </c>
      <c r="I1001" t="s" s="37">
        <v>2511</v>
      </c>
      <c r="J1001" t="s" s="37">
        <v>651</v>
      </c>
      <c r="K1001" t="s" s="40">
        <v>622</v>
      </c>
      <c r="L1001" s="30"/>
    </row>
    <row r="1002" ht="74.5" customHeight="1">
      <c r="A1002" t="s" s="31">
        <v>2663</v>
      </c>
      <c r="B1002" t="s" s="32">
        <v>144</v>
      </c>
      <c r="C1002" t="s" s="32">
        <v>143</v>
      </c>
      <c r="D1002" t="s" s="32">
        <v>181</v>
      </c>
      <c r="E1002" t="s" s="32">
        <v>622</v>
      </c>
      <c r="F1002" t="s" s="32">
        <v>630</v>
      </c>
      <c r="G1002" t="s" s="32">
        <v>387</v>
      </c>
      <c r="H1002" t="s" s="32">
        <v>2664</v>
      </c>
      <c r="I1002" t="s" s="32">
        <v>2520</v>
      </c>
      <c r="J1002" t="s" s="32">
        <v>660</v>
      </c>
      <c r="K1002" t="s" s="35">
        <v>630</v>
      </c>
      <c r="L1002" s="30"/>
    </row>
    <row r="1003" ht="74.5" customHeight="1">
      <c r="A1003" t="s" s="36">
        <v>2665</v>
      </c>
      <c r="B1003" t="s" s="37">
        <v>144</v>
      </c>
      <c r="C1003" t="s" s="37">
        <v>143</v>
      </c>
      <c r="D1003" t="s" s="37">
        <v>181</v>
      </c>
      <c r="E1003" t="s" s="37">
        <v>622</v>
      </c>
      <c r="F1003" t="s" s="37">
        <v>630</v>
      </c>
      <c r="G1003" t="s" s="37">
        <v>400</v>
      </c>
      <c r="H1003" t="s" s="37">
        <v>2666</v>
      </c>
      <c r="I1003" t="s" s="37">
        <v>2520</v>
      </c>
      <c r="J1003" t="s" s="37">
        <v>660</v>
      </c>
      <c r="K1003" t="s" s="40">
        <v>630</v>
      </c>
      <c r="L1003" s="30"/>
    </row>
    <row r="1004" ht="74.5" customHeight="1">
      <c r="A1004" t="s" s="31">
        <v>2667</v>
      </c>
      <c r="B1004" t="s" s="32">
        <v>144</v>
      </c>
      <c r="C1004" t="s" s="32">
        <v>143</v>
      </c>
      <c r="D1004" t="s" s="32">
        <v>181</v>
      </c>
      <c r="E1004" t="s" s="32">
        <v>622</v>
      </c>
      <c r="F1004" t="s" s="32">
        <v>630</v>
      </c>
      <c r="G1004" t="s" s="32">
        <v>412</v>
      </c>
      <c r="H1004" t="s" s="32">
        <v>2668</v>
      </c>
      <c r="I1004" t="s" s="32">
        <v>2520</v>
      </c>
      <c r="J1004" t="s" s="32">
        <v>660</v>
      </c>
      <c r="K1004" t="s" s="35">
        <v>630</v>
      </c>
      <c r="L1004" s="30"/>
    </row>
    <row r="1005" ht="74.5" customHeight="1">
      <c r="A1005" t="s" s="36">
        <v>2669</v>
      </c>
      <c r="B1005" t="s" s="37">
        <v>144</v>
      </c>
      <c r="C1005" t="s" s="37">
        <v>143</v>
      </c>
      <c r="D1005" t="s" s="37">
        <v>181</v>
      </c>
      <c r="E1005" t="s" s="37">
        <v>622</v>
      </c>
      <c r="F1005" t="s" s="37">
        <v>630</v>
      </c>
      <c r="G1005" t="s" s="37">
        <v>424</v>
      </c>
      <c r="H1005" t="s" s="37">
        <v>2670</v>
      </c>
      <c r="I1005" t="s" s="37">
        <v>2520</v>
      </c>
      <c r="J1005" t="s" s="37">
        <v>660</v>
      </c>
      <c r="K1005" t="s" s="40">
        <v>630</v>
      </c>
      <c r="L1005" s="30"/>
    </row>
    <row r="1006" ht="74.5" customHeight="1">
      <c r="A1006" t="s" s="31">
        <v>2671</v>
      </c>
      <c r="B1006" t="s" s="32">
        <v>144</v>
      </c>
      <c r="C1006" t="s" s="32">
        <v>143</v>
      </c>
      <c r="D1006" t="s" s="32">
        <v>181</v>
      </c>
      <c r="E1006" t="s" s="32">
        <v>622</v>
      </c>
      <c r="F1006" t="s" s="32">
        <v>622</v>
      </c>
      <c r="G1006" t="s" s="32">
        <v>387</v>
      </c>
      <c r="H1006" t="s" s="32">
        <v>2672</v>
      </c>
      <c r="I1006" t="s" s="32">
        <v>2520</v>
      </c>
      <c r="J1006" t="s" s="32">
        <v>660</v>
      </c>
      <c r="K1006" t="s" s="35">
        <v>641</v>
      </c>
      <c r="L1006" s="30"/>
    </row>
    <row r="1007" ht="74.5" customHeight="1">
      <c r="A1007" t="s" s="36">
        <v>2673</v>
      </c>
      <c r="B1007" t="s" s="37">
        <v>144</v>
      </c>
      <c r="C1007" t="s" s="37">
        <v>143</v>
      </c>
      <c r="D1007" t="s" s="37">
        <v>181</v>
      </c>
      <c r="E1007" t="s" s="37">
        <v>622</v>
      </c>
      <c r="F1007" t="s" s="37">
        <v>622</v>
      </c>
      <c r="G1007" t="s" s="37">
        <v>400</v>
      </c>
      <c r="H1007" t="s" s="37">
        <v>2674</v>
      </c>
      <c r="I1007" t="s" s="37">
        <v>2520</v>
      </c>
      <c r="J1007" t="s" s="37">
        <v>660</v>
      </c>
      <c r="K1007" t="s" s="40">
        <v>641</v>
      </c>
      <c r="L1007" s="30"/>
    </row>
    <row r="1008" ht="74.5" customHeight="1">
      <c r="A1008" t="s" s="31">
        <v>2675</v>
      </c>
      <c r="B1008" t="s" s="32">
        <v>144</v>
      </c>
      <c r="C1008" t="s" s="32">
        <v>143</v>
      </c>
      <c r="D1008" t="s" s="32">
        <v>181</v>
      </c>
      <c r="E1008" t="s" s="32">
        <v>622</v>
      </c>
      <c r="F1008" t="s" s="32">
        <v>622</v>
      </c>
      <c r="G1008" t="s" s="32">
        <v>412</v>
      </c>
      <c r="H1008" t="s" s="32">
        <v>2676</v>
      </c>
      <c r="I1008" t="s" s="32">
        <v>2520</v>
      </c>
      <c r="J1008" t="s" s="32">
        <v>660</v>
      </c>
      <c r="K1008" t="s" s="35">
        <v>641</v>
      </c>
      <c r="L1008" s="30"/>
    </row>
    <row r="1009" ht="74.5" customHeight="1">
      <c r="A1009" t="s" s="36">
        <v>2677</v>
      </c>
      <c r="B1009" t="s" s="37">
        <v>144</v>
      </c>
      <c r="C1009" t="s" s="37">
        <v>143</v>
      </c>
      <c r="D1009" t="s" s="37">
        <v>181</v>
      </c>
      <c r="E1009" t="s" s="37">
        <v>622</v>
      </c>
      <c r="F1009" t="s" s="37">
        <v>622</v>
      </c>
      <c r="G1009" t="s" s="37">
        <v>424</v>
      </c>
      <c r="H1009" t="s" s="37">
        <v>2678</v>
      </c>
      <c r="I1009" t="s" s="37">
        <v>2520</v>
      </c>
      <c r="J1009" t="s" s="37">
        <v>660</v>
      </c>
      <c r="K1009" t="s" s="40">
        <v>641</v>
      </c>
      <c r="L1009" s="30"/>
    </row>
    <row r="1010" ht="74.5" customHeight="1">
      <c r="A1010" t="s" s="31">
        <v>2679</v>
      </c>
      <c r="B1010" t="s" s="32">
        <v>144</v>
      </c>
      <c r="C1010" t="s" s="32">
        <v>143</v>
      </c>
      <c r="D1010" t="s" s="32">
        <v>193</v>
      </c>
      <c r="E1010" t="s" s="32">
        <v>618</v>
      </c>
      <c r="F1010" t="s" s="32">
        <v>618</v>
      </c>
      <c r="G1010" t="s" s="32">
        <v>387</v>
      </c>
      <c r="H1010" t="s" s="32">
        <v>2680</v>
      </c>
      <c r="I1010" t="s" s="32">
        <v>2460</v>
      </c>
      <c r="J1010" t="s" s="32">
        <v>621</v>
      </c>
      <c r="K1010" t="s" s="35">
        <v>622</v>
      </c>
      <c r="L1010" s="30"/>
    </row>
    <row r="1011" ht="74.5" customHeight="1">
      <c r="A1011" t="s" s="36">
        <v>2681</v>
      </c>
      <c r="B1011" t="s" s="37">
        <v>144</v>
      </c>
      <c r="C1011" t="s" s="37">
        <v>143</v>
      </c>
      <c r="D1011" t="s" s="37">
        <v>193</v>
      </c>
      <c r="E1011" t="s" s="37">
        <v>618</v>
      </c>
      <c r="F1011" t="s" s="37">
        <v>618</v>
      </c>
      <c r="G1011" t="s" s="37">
        <v>400</v>
      </c>
      <c r="H1011" t="s" s="37">
        <v>2682</v>
      </c>
      <c r="I1011" t="s" s="37">
        <v>2460</v>
      </c>
      <c r="J1011" t="s" s="37">
        <v>621</v>
      </c>
      <c r="K1011" t="s" s="40">
        <v>622</v>
      </c>
      <c r="L1011" s="30"/>
    </row>
    <row r="1012" ht="74.5" customHeight="1">
      <c r="A1012" t="s" s="31">
        <v>2683</v>
      </c>
      <c r="B1012" t="s" s="32">
        <v>144</v>
      </c>
      <c r="C1012" t="s" s="32">
        <v>143</v>
      </c>
      <c r="D1012" t="s" s="32">
        <v>193</v>
      </c>
      <c r="E1012" t="s" s="32">
        <v>618</v>
      </c>
      <c r="F1012" t="s" s="32">
        <v>618</v>
      </c>
      <c r="G1012" t="s" s="32">
        <v>412</v>
      </c>
      <c r="H1012" t="s" s="32">
        <v>2684</v>
      </c>
      <c r="I1012" t="s" s="32">
        <v>2460</v>
      </c>
      <c r="J1012" t="s" s="32">
        <v>621</v>
      </c>
      <c r="K1012" t="s" s="35">
        <v>622</v>
      </c>
      <c r="L1012" s="30"/>
    </row>
    <row r="1013" ht="74.5" customHeight="1">
      <c r="A1013" t="s" s="36">
        <v>2685</v>
      </c>
      <c r="B1013" t="s" s="37">
        <v>144</v>
      </c>
      <c r="C1013" t="s" s="37">
        <v>143</v>
      </c>
      <c r="D1013" t="s" s="37">
        <v>193</v>
      </c>
      <c r="E1013" t="s" s="37">
        <v>618</v>
      </c>
      <c r="F1013" t="s" s="37">
        <v>618</v>
      </c>
      <c r="G1013" t="s" s="37">
        <v>424</v>
      </c>
      <c r="H1013" t="s" s="37">
        <v>2686</v>
      </c>
      <c r="I1013" t="s" s="37">
        <v>2460</v>
      </c>
      <c r="J1013" t="s" s="37">
        <v>621</v>
      </c>
      <c r="K1013" t="s" s="40">
        <v>622</v>
      </c>
      <c r="L1013" s="30"/>
    </row>
    <row r="1014" ht="74.5" customHeight="1">
      <c r="A1014" t="s" s="31">
        <v>2687</v>
      </c>
      <c r="B1014" t="s" s="32">
        <v>144</v>
      </c>
      <c r="C1014" t="s" s="32">
        <v>143</v>
      </c>
      <c r="D1014" t="s" s="32">
        <v>193</v>
      </c>
      <c r="E1014" t="s" s="32">
        <v>618</v>
      </c>
      <c r="F1014" t="s" s="32">
        <v>630</v>
      </c>
      <c r="G1014" t="s" s="32">
        <v>387</v>
      </c>
      <c r="H1014" t="s" s="32">
        <v>2688</v>
      </c>
      <c r="I1014" t="s" s="32">
        <v>2460</v>
      </c>
      <c r="J1014" t="s" s="32">
        <v>632</v>
      </c>
      <c r="K1014" t="s" s="35">
        <v>622</v>
      </c>
      <c r="L1014" s="30"/>
    </row>
    <row r="1015" ht="74.5" customHeight="1">
      <c r="A1015" t="s" s="36">
        <v>2689</v>
      </c>
      <c r="B1015" t="s" s="37">
        <v>144</v>
      </c>
      <c r="C1015" t="s" s="37">
        <v>143</v>
      </c>
      <c r="D1015" t="s" s="37">
        <v>193</v>
      </c>
      <c r="E1015" t="s" s="37">
        <v>618</v>
      </c>
      <c r="F1015" t="s" s="37">
        <v>630</v>
      </c>
      <c r="G1015" t="s" s="37">
        <v>400</v>
      </c>
      <c r="H1015" t="s" s="37">
        <v>2690</v>
      </c>
      <c r="I1015" t="s" s="37">
        <v>2460</v>
      </c>
      <c r="J1015" t="s" s="37">
        <v>632</v>
      </c>
      <c r="K1015" t="s" s="40">
        <v>622</v>
      </c>
      <c r="L1015" s="30"/>
    </row>
    <row r="1016" ht="74.5" customHeight="1">
      <c r="A1016" t="s" s="31">
        <v>2691</v>
      </c>
      <c r="B1016" t="s" s="32">
        <v>144</v>
      </c>
      <c r="C1016" t="s" s="32">
        <v>143</v>
      </c>
      <c r="D1016" t="s" s="32">
        <v>193</v>
      </c>
      <c r="E1016" t="s" s="32">
        <v>618</v>
      </c>
      <c r="F1016" t="s" s="32">
        <v>630</v>
      </c>
      <c r="G1016" t="s" s="32">
        <v>412</v>
      </c>
      <c r="H1016" t="s" s="32">
        <v>2692</v>
      </c>
      <c r="I1016" t="s" s="32">
        <v>2460</v>
      </c>
      <c r="J1016" t="s" s="32">
        <v>632</v>
      </c>
      <c r="K1016" t="s" s="35">
        <v>622</v>
      </c>
      <c r="L1016" s="30"/>
    </row>
    <row r="1017" ht="74.5" customHeight="1">
      <c r="A1017" t="s" s="36">
        <v>2693</v>
      </c>
      <c r="B1017" t="s" s="37">
        <v>144</v>
      </c>
      <c r="C1017" t="s" s="37">
        <v>143</v>
      </c>
      <c r="D1017" t="s" s="37">
        <v>193</v>
      </c>
      <c r="E1017" t="s" s="37">
        <v>618</v>
      </c>
      <c r="F1017" t="s" s="37">
        <v>630</v>
      </c>
      <c r="G1017" t="s" s="37">
        <v>424</v>
      </c>
      <c r="H1017" t="s" s="37">
        <v>2694</v>
      </c>
      <c r="I1017" t="s" s="37">
        <v>2460</v>
      </c>
      <c r="J1017" t="s" s="37">
        <v>632</v>
      </c>
      <c r="K1017" t="s" s="40">
        <v>622</v>
      </c>
      <c r="L1017" s="30"/>
    </row>
    <row r="1018" ht="74.5" customHeight="1">
      <c r="A1018" t="s" s="31">
        <v>2695</v>
      </c>
      <c r="B1018" t="s" s="32">
        <v>144</v>
      </c>
      <c r="C1018" t="s" s="32">
        <v>143</v>
      </c>
      <c r="D1018" t="s" s="32">
        <v>193</v>
      </c>
      <c r="E1018" t="s" s="32">
        <v>618</v>
      </c>
      <c r="F1018" t="s" s="32">
        <v>622</v>
      </c>
      <c r="G1018" t="s" s="32">
        <v>387</v>
      </c>
      <c r="H1018" t="s" s="32">
        <v>2696</v>
      </c>
      <c r="I1018" t="s" s="32">
        <v>2460</v>
      </c>
      <c r="J1018" t="s" s="32">
        <v>632</v>
      </c>
      <c r="K1018" t="s" s="35">
        <v>641</v>
      </c>
      <c r="L1018" s="30"/>
    </row>
    <row r="1019" ht="74.5" customHeight="1">
      <c r="A1019" t="s" s="36">
        <v>2697</v>
      </c>
      <c r="B1019" t="s" s="37">
        <v>144</v>
      </c>
      <c r="C1019" t="s" s="37">
        <v>143</v>
      </c>
      <c r="D1019" t="s" s="37">
        <v>193</v>
      </c>
      <c r="E1019" t="s" s="37">
        <v>618</v>
      </c>
      <c r="F1019" t="s" s="37">
        <v>622</v>
      </c>
      <c r="G1019" t="s" s="37">
        <v>400</v>
      </c>
      <c r="H1019" t="s" s="37">
        <v>2698</v>
      </c>
      <c r="I1019" t="s" s="37">
        <v>2460</v>
      </c>
      <c r="J1019" t="s" s="37">
        <v>632</v>
      </c>
      <c r="K1019" t="s" s="40">
        <v>641</v>
      </c>
      <c r="L1019" s="30"/>
    </row>
    <row r="1020" ht="74.5" customHeight="1">
      <c r="A1020" t="s" s="31">
        <v>2699</v>
      </c>
      <c r="B1020" t="s" s="32">
        <v>144</v>
      </c>
      <c r="C1020" t="s" s="32">
        <v>143</v>
      </c>
      <c r="D1020" t="s" s="32">
        <v>193</v>
      </c>
      <c r="E1020" t="s" s="32">
        <v>618</v>
      </c>
      <c r="F1020" t="s" s="32">
        <v>622</v>
      </c>
      <c r="G1020" t="s" s="32">
        <v>412</v>
      </c>
      <c r="H1020" t="s" s="32">
        <v>2700</v>
      </c>
      <c r="I1020" t="s" s="32">
        <v>2460</v>
      </c>
      <c r="J1020" t="s" s="32">
        <v>632</v>
      </c>
      <c r="K1020" t="s" s="35">
        <v>641</v>
      </c>
      <c r="L1020" s="30"/>
    </row>
    <row r="1021" ht="74.5" customHeight="1">
      <c r="A1021" t="s" s="36">
        <v>2701</v>
      </c>
      <c r="B1021" t="s" s="37">
        <v>144</v>
      </c>
      <c r="C1021" t="s" s="37">
        <v>143</v>
      </c>
      <c r="D1021" t="s" s="37">
        <v>193</v>
      </c>
      <c r="E1021" t="s" s="37">
        <v>618</v>
      </c>
      <c r="F1021" t="s" s="37">
        <v>622</v>
      </c>
      <c r="G1021" t="s" s="37">
        <v>424</v>
      </c>
      <c r="H1021" t="s" s="37">
        <v>2702</v>
      </c>
      <c r="I1021" t="s" s="37">
        <v>2460</v>
      </c>
      <c r="J1021" t="s" s="37">
        <v>632</v>
      </c>
      <c r="K1021" t="s" s="40">
        <v>641</v>
      </c>
      <c r="L1021" s="30"/>
    </row>
    <row r="1022" ht="74.5" customHeight="1">
      <c r="A1022" t="s" s="31">
        <v>2703</v>
      </c>
      <c r="B1022" t="s" s="32">
        <v>144</v>
      </c>
      <c r="C1022" t="s" s="32">
        <v>143</v>
      </c>
      <c r="D1022" t="s" s="32">
        <v>193</v>
      </c>
      <c r="E1022" t="s" s="32">
        <v>630</v>
      </c>
      <c r="F1022" t="s" s="32">
        <v>618</v>
      </c>
      <c r="G1022" t="s" s="32">
        <v>387</v>
      </c>
      <c r="H1022" t="s" s="32">
        <v>2704</v>
      </c>
      <c r="I1022" t="s" s="32">
        <v>2485</v>
      </c>
      <c r="J1022" t="s" s="32">
        <v>651</v>
      </c>
      <c r="K1022" t="s" s="35">
        <v>622</v>
      </c>
      <c r="L1022" s="30"/>
    </row>
    <row r="1023" ht="74.5" customHeight="1">
      <c r="A1023" t="s" s="36">
        <v>2705</v>
      </c>
      <c r="B1023" t="s" s="37">
        <v>144</v>
      </c>
      <c r="C1023" t="s" s="37">
        <v>143</v>
      </c>
      <c r="D1023" t="s" s="37">
        <v>193</v>
      </c>
      <c r="E1023" t="s" s="37">
        <v>630</v>
      </c>
      <c r="F1023" t="s" s="37">
        <v>618</v>
      </c>
      <c r="G1023" t="s" s="37">
        <v>400</v>
      </c>
      <c r="H1023" t="s" s="37">
        <v>2706</v>
      </c>
      <c r="I1023" t="s" s="37">
        <v>2485</v>
      </c>
      <c r="J1023" t="s" s="37">
        <v>651</v>
      </c>
      <c r="K1023" t="s" s="40">
        <v>622</v>
      </c>
      <c r="L1023" s="30"/>
    </row>
    <row r="1024" ht="74.5" customHeight="1">
      <c r="A1024" t="s" s="31">
        <v>2707</v>
      </c>
      <c r="B1024" t="s" s="32">
        <v>144</v>
      </c>
      <c r="C1024" t="s" s="32">
        <v>143</v>
      </c>
      <c r="D1024" t="s" s="32">
        <v>193</v>
      </c>
      <c r="E1024" t="s" s="32">
        <v>630</v>
      </c>
      <c r="F1024" t="s" s="32">
        <v>618</v>
      </c>
      <c r="G1024" t="s" s="32">
        <v>412</v>
      </c>
      <c r="H1024" t="s" s="32">
        <v>2708</v>
      </c>
      <c r="I1024" t="s" s="32">
        <v>2485</v>
      </c>
      <c r="J1024" t="s" s="32">
        <v>651</v>
      </c>
      <c r="K1024" t="s" s="35">
        <v>622</v>
      </c>
      <c r="L1024" s="30"/>
    </row>
    <row r="1025" ht="74.5" customHeight="1">
      <c r="A1025" t="s" s="36">
        <v>2709</v>
      </c>
      <c r="B1025" t="s" s="37">
        <v>144</v>
      </c>
      <c r="C1025" t="s" s="37">
        <v>143</v>
      </c>
      <c r="D1025" t="s" s="37">
        <v>193</v>
      </c>
      <c r="E1025" t="s" s="37">
        <v>630</v>
      </c>
      <c r="F1025" t="s" s="37">
        <v>618</v>
      </c>
      <c r="G1025" t="s" s="37">
        <v>424</v>
      </c>
      <c r="H1025" t="s" s="37">
        <v>2710</v>
      </c>
      <c r="I1025" t="s" s="37">
        <v>2485</v>
      </c>
      <c r="J1025" t="s" s="37">
        <v>651</v>
      </c>
      <c r="K1025" t="s" s="40">
        <v>622</v>
      </c>
      <c r="L1025" s="30"/>
    </row>
    <row r="1026" ht="74.5" customHeight="1">
      <c r="A1026" t="s" s="31">
        <v>2711</v>
      </c>
      <c r="B1026" t="s" s="32">
        <v>144</v>
      </c>
      <c r="C1026" t="s" s="32">
        <v>143</v>
      </c>
      <c r="D1026" t="s" s="32">
        <v>193</v>
      </c>
      <c r="E1026" t="s" s="32">
        <v>630</v>
      </c>
      <c r="F1026" t="s" s="32">
        <v>630</v>
      </c>
      <c r="G1026" t="s" s="32">
        <v>387</v>
      </c>
      <c r="H1026" t="s" s="32">
        <v>2712</v>
      </c>
      <c r="I1026" t="s" s="32">
        <v>2485</v>
      </c>
      <c r="J1026" t="s" s="32">
        <v>660</v>
      </c>
      <c r="K1026" t="s" s="35">
        <v>630</v>
      </c>
      <c r="L1026" s="30"/>
    </row>
    <row r="1027" ht="74.5" customHeight="1">
      <c r="A1027" t="s" s="36">
        <v>2713</v>
      </c>
      <c r="B1027" t="s" s="37">
        <v>144</v>
      </c>
      <c r="C1027" t="s" s="37">
        <v>143</v>
      </c>
      <c r="D1027" t="s" s="37">
        <v>193</v>
      </c>
      <c r="E1027" t="s" s="37">
        <v>630</v>
      </c>
      <c r="F1027" t="s" s="37">
        <v>630</v>
      </c>
      <c r="G1027" t="s" s="37">
        <v>400</v>
      </c>
      <c r="H1027" t="s" s="37">
        <v>2714</v>
      </c>
      <c r="I1027" t="s" s="37">
        <v>2485</v>
      </c>
      <c r="J1027" t="s" s="37">
        <v>660</v>
      </c>
      <c r="K1027" t="s" s="40">
        <v>630</v>
      </c>
      <c r="L1027" s="30"/>
    </row>
    <row r="1028" ht="74.5" customHeight="1">
      <c r="A1028" t="s" s="31">
        <v>2715</v>
      </c>
      <c r="B1028" t="s" s="32">
        <v>144</v>
      </c>
      <c r="C1028" t="s" s="32">
        <v>143</v>
      </c>
      <c r="D1028" t="s" s="32">
        <v>193</v>
      </c>
      <c r="E1028" t="s" s="32">
        <v>630</v>
      </c>
      <c r="F1028" t="s" s="32">
        <v>630</v>
      </c>
      <c r="G1028" t="s" s="32">
        <v>412</v>
      </c>
      <c r="H1028" t="s" s="32">
        <v>2716</v>
      </c>
      <c r="I1028" t="s" s="32">
        <v>2485</v>
      </c>
      <c r="J1028" t="s" s="32">
        <v>660</v>
      </c>
      <c r="K1028" t="s" s="35">
        <v>630</v>
      </c>
      <c r="L1028" s="30"/>
    </row>
    <row r="1029" ht="74.5" customHeight="1">
      <c r="A1029" t="s" s="36">
        <v>2717</v>
      </c>
      <c r="B1029" t="s" s="37">
        <v>144</v>
      </c>
      <c r="C1029" t="s" s="37">
        <v>143</v>
      </c>
      <c r="D1029" t="s" s="37">
        <v>193</v>
      </c>
      <c r="E1029" t="s" s="37">
        <v>630</v>
      </c>
      <c r="F1029" t="s" s="37">
        <v>630</v>
      </c>
      <c r="G1029" t="s" s="37">
        <v>424</v>
      </c>
      <c r="H1029" t="s" s="37">
        <v>2718</v>
      </c>
      <c r="I1029" t="s" s="37">
        <v>2485</v>
      </c>
      <c r="J1029" t="s" s="37">
        <v>660</v>
      </c>
      <c r="K1029" t="s" s="40">
        <v>630</v>
      </c>
      <c r="L1029" s="30"/>
    </row>
    <row r="1030" ht="74.5" customHeight="1">
      <c r="A1030" t="s" s="31">
        <v>2719</v>
      </c>
      <c r="B1030" t="s" s="32">
        <v>144</v>
      </c>
      <c r="C1030" t="s" s="32">
        <v>143</v>
      </c>
      <c r="D1030" t="s" s="32">
        <v>193</v>
      </c>
      <c r="E1030" t="s" s="32">
        <v>630</v>
      </c>
      <c r="F1030" t="s" s="32">
        <v>622</v>
      </c>
      <c r="G1030" t="s" s="32">
        <v>387</v>
      </c>
      <c r="H1030" t="s" s="32">
        <v>2720</v>
      </c>
      <c r="I1030" t="s" s="32">
        <v>2502</v>
      </c>
      <c r="J1030" t="s" s="32">
        <v>660</v>
      </c>
      <c r="K1030" t="s" s="35">
        <v>630</v>
      </c>
      <c r="L1030" s="30"/>
    </row>
    <row r="1031" ht="74.5" customHeight="1">
      <c r="A1031" t="s" s="36">
        <v>2721</v>
      </c>
      <c r="B1031" t="s" s="37">
        <v>144</v>
      </c>
      <c r="C1031" t="s" s="37">
        <v>143</v>
      </c>
      <c r="D1031" t="s" s="37">
        <v>193</v>
      </c>
      <c r="E1031" t="s" s="37">
        <v>630</v>
      </c>
      <c r="F1031" t="s" s="37">
        <v>622</v>
      </c>
      <c r="G1031" t="s" s="37">
        <v>400</v>
      </c>
      <c r="H1031" t="s" s="37">
        <v>2722</v>
      </c>
      <c r="I1031" t="s" s="37">
        <v>2502</v>
      </c>
      <c r="J1031" t="s" s="37">
        <v>660</v>
      </c>
      <c r="K1031" t="s" s="40">
        <v>630</v>
      </c>
      <c r="L1031" s="30"/>
    </row>
    <row r="1032" ht="74.5" customHeight="1">
      <c r="A1032" t="s" s="31">
        <v>2723</v>
      </c>
      <c r="B1032" t="s" s="32">
        <v>144</v>
      </c>
      <c r="C1032" t="s" s="32">
        <v>143</v>
      </c>
      <c r="D1032" t="s" s="32">
        <v>193</v>
      </c>
      <c r="E1032" t="s" s="32">
        <v>630</v>
      </c>
      <c r="F1032" t="s" s="32">
        <v>622</v>
      </c>
      <c r="G1032" t="s" s="32">
        <v>412</v>
      </c>
      <c r="H1032" t="s" s="32">
        <v>2724</v>
      </c>
      <c r="I1032" t="s" s="32">
        <v>2502</v>
      </c>
      <c r="J1032" t="s" s="32">
        <v>660</v>
      </c>
      <c r="K1032" t="s" s="35">
        <v>630</v>
      </c>
      <c r="L1032" s="30"/>
    </row>
    <row r="1033" ht="74.5" customHeight="1">
      <c r="A1033" t="s" s="36">
        <v>2725</v>
      </c>
      <c r="B1033" t="s" s="37">
        <v>144</v>
      </c>
      <c r="C1033" t="s" s="37">
        <v>143</v>
      </c>
      <c r="D1033" t="s" s="37">
        <v>193</v>
      </c>
      <c r="E1033" t="s" s="37">
        <v>630</v>
      </c>
      <c r="F1033" t="s" s="37">
        <v>622</v>
      </c>
      <c r="G1033" t="s" s="37">
        <v>424</v>
      </c>
      <c r="H1033" t="s" s="37">
        <v>2726</v>
      </c>
      <c r="I1033" t="s" s="37">
        <v>2502</v>
      </c>
      <c r="J1033" t="s" s="37">
        <v>660</v>
      </c>
      <c r="K1033" t="s" s="40">
        <v>630</v>
      </c>
      <c r="L1033" s="30"/>
    </row>
    <row r="1034" ht="74.5" customHeight="1">
      <c r="A1034" t="s" s="31">
        <v>2727</v>
      </c>
      <c r="B1034" t="s" s="32">
        <v>144</v>
      </c>
      <c r="C1034" t="s" s="32">
        <v>143</v>
      </c>
      <c r="D1034" t="s" s="32">
        <v>193</v>
      </c>
      <c r="E1034" t="s" s="32">
        <v>622</v>
      </c>
      <c r="F1034" t="s" s="32">
        <v>618</v>
      </c>
      <c r="G1034" t="s" s="32">
        <v>387</v>
      </c>
      <c r="H1034" t="s" s="32">
        <v>2728</v>
      </c>
      <c r="I1034" t="s" s="32">
        <v>2511</v>
      </c>
      <c r="J1034" t="s" s="32">
        <v>651</v>
      </c>
      <c r="K1034" t="s" s="35">
        <v>622</v>
      </c>
      <c r="L1034" s="30"/>
    </row>
    <row r="1035" ht="74.5" customHeight="1">
      <c r="A1035" t="s" s="36">
        <v>2729</v>
      </c>
      <c r="B1035" t="s" s="37">
        <v>144</v>
      </c>
      <c r="C1035" t="s" s="37">
        <v>143</v>
      </c>
      <c r="D1035" t="s" s="37">
        <v>193</v>
      </c>
      <c r="E1035" t="s" s="37">
        <v>622</v>
      </c>
      <c r="F1035" t="s" s="37">
        <v>618</v>
      </c>
      <c r="G1035" t="s" s="37">
        <v>400</v>
      </c>
      <c r="H1035" t="s" s="37">
        <v>2730</v>
      </c>
      <c r="I1035" t="s" s="37">
        <v>2511</v>
      </c>
      <c r="J1035" t="s" s="37">
        <v>651</v>
      </c>
      <c r="K1035" t="s" s="40">
        <v>622</v>
      </c>
      <c r="L1035" s="30"/>
    </row>
    <row r="1036" ht="74.5" customHeight="1">
      <c r="A1036" t="s" s="31">
        <v>2731</v>
      </c>
      <c r="B1036" t="s" s="32">
        <v>144</v>
      </c>
      <c r="C1036" t="s" s="32">
        <v>143</v>
      </c>
      <c r="D1036" t="s" s="32">
        <v>193</v>
      </c>
      <c r="E1036" t="s" s="32">
        <v>622</v>
      </c>
      <c r="F1036" t="s" s="32">
        <v>618</v>
      </c>
      <c r="G1036" t="s" s="32">
        <v>412</v>
      </c>
      <c r="H1036" t="s" s="32">
        <v>2732</v>
      </c>
      <c r="I1036" t="s" s="32">
        <v>2511</v>
      </c>
      <c r="J1036" t="s" s="32">
        <v>651</v>
      </c>
      <c r="K1036" t="s" s="35">
        <v>622</v>
      </c>
      <c r="L1036" s="30"/>
    </row>
    <row r="1037" ht="74.5" customHeight="1">
      <c r="A1037" t="s" s="36">
        <v>2733</v>
      </c>
      <c r="B1037" t="s" s="37">
        <v>144</v>
      </c>
      <c r="C1037" t="s" s="37">
        <v>143</v>
      </c>
      <c r="D1037" t="s" s="37">
        <v>193</v>
      </c>
      <c r="E1037" t="s" s="37">
        <v>622</v>
      </c>
      <c r="F1037" t="s" s="37">
        <v>618</v>
      </c>
      <c r="G1037" t="s" s="37">
        <v>424</v>
      </c>
      <c r="H1037" t="s" s="37">
        <v>2734</v>
      </c>
      <c r="I1037" t="s" s="37">
        <v>2511</v>
      </c>
      <c r="J1037" t="s" s="37">
        <v>651</v>
      </c>
      <c r="K1037" t="s" s="40">
        <v>622</v>
      </c>
      <c r="L1037" s="30"/>
    </row>
    <row r="1038" ht="74.5" customHeight="1">
      <c r="A1038" t="s" s="31">
        <v>2735</v>
      </c>
      <c r="B1038" t="s" s="32">
        <v>144</v>
      </c>
      <c r="C1038" t="s" s="32">
        <v>143</v>
      </c>
      <c r="D1038" t="s" s="32">
        <v>193</v>
      </c>
      <c r="E1038" t="s" s="32">
        <v>622</v>
      </c>
      <c r="F1038" t="s" s="32">
        <v>630</v>
      </c>
      <c r="G1038" t="s" s="32">
        <v>387</v>
      </c>
      <c r="H1038" t="s" s="32">
        <v>2736</v>
      </c>
      <c r="I1038" t="s" s="32">
        <v>2520</v>
      </c>
      <c r="J1038" t="s" s="32">
        <v>660</v>
      </c>
      <c r="K1038" t="s" s="35">
        <v>630</v>
      </c>
      <c r="L1038" s="30"/>
    </row>
    <row r="1039" ht="74.5" customHeight="1">
      <c r="A1039" t="s" s="36">
        <v>2737</v>
      </c>
      <c r="B1039" t="s" s="37">
        <v>144</v>
      </c>
      <c r="C1039" t="s" s="37">
        <v>143</v>
      </c>
      <c r="D1039" t="s" s="37">
        <v>193</v>
      </c>
      <c r="E1039" t="s" s="37">
        <v>622</v>
      </c>
      <c r="F1039" t="s" s="37">
        <v>630</v>
      </c>
      <c r="G1039" t="s" s="37">
        <v>400</v>
      </c>
      <c r="H1039" t="s" s="37">
        <v>2738</v>
      </c>
      <c r="I1039" t="s" s="37">
        <v>2520</v>
      </c>
      <c r="J1039" t="s" s="37">
        <v>660</v>
      </c>
      <c r="K1039" t="s" s="40">
        <v>630</v>
      </c>
      <c r="L1039" s="30"/>
    </row>
    <row r="1040" ht="74.5" customHeight="1">
      <c r="A1040" t="s" s="31">
        <v>2739</v>
      </c>
      <c r="B1040" t="s" s="32">
        <v>144</v>
      </c>
      <c r="C1040" t="s" s="32">
        <v>143</v>
      </c>
      <c r="D1040" t="s" s="32">
        <v>193</v>
      </c>
      <c r="E1040" t="s" s="32">
        <v>622</v>
      </c>
      <c r="F1040" t="s" s="32">
        <v>630</v>
      </c>
      <c r="G1040" t="s" s="32">
        <v>412</v>
      </c>
      <c r="H1040" t="s" s="32">
        <v>2740</v>
      </c>
      <c r="I1040" t="s" s="32">
        <v>2520</v>
      </c>
      <c r="J1040" t="s" s="32">
        <v>660</v>
      </c>
      <c r="K1040" t="s" s="35">
        <v>630</v>
      </c>
      <c r="L1040" s="30"/>
    </row>
    <row r="1041" ht="74.5" customHeight="1">
      <c r="A1041" t="s" s="36">
        <v>2741</v>
      </c>
      <c r="B1041" t="s" s="37">
        <v>144</v>
      </c>
      <c r="C1041" t="s" s="37">
        <v>143</v>
      </c>
      <c r="D1041" t="s" s="37">
        <v>193</v>
      </c>
      <c r="E1041" t="s" s="37">
        <v>622</v>
      </c>
      <c r="F1041" t="s" s="37">
        <v>630</v>
      </c>
      <c r="G1041" t="s" s="37">
        <v>424</v>
      </c>
      <c r="H1041" t="s" s="37">
        <v>2742</v>
      </c>
      <c r="I1041" t="s" s="37">
        <v>2520</v>
      </c>
      <c r="J1041" t="s" s="37">
        <v>660</v>
      </c>
      <c r="K1041" t="s" s="40">
        <v>630</v>
      </c>
      <c r="L1041" s="30"/>
    </row>
    <row r="1042" ht="74.5" customHeight="1">
      <c r="A1042" t="s" s="31">
        <v>2743</v>
      </c>
      <c r="B1042" t="s" s="32">
        <v>144</v>
      </c>
      <c r="C1042" t="s" s="32">
        <v>143</v>
      </c>
      <c r="D1042" t="s" s="32">
        <v>193</v>
      </c>
      <c r="E1042" t="s" s="32">
        <v>622</v>
      </c>
      <c r="F1042" t="s" s="32">
        <v>622</v>
      </c>
      <c r="G1042" t="s" s="32">
        <v>387</v>
      </c>
      <c r="H1042" t="s" s="32">
        <v>2744</v>
      </c>
      <c r="I1042" t="s" s="32">
        <v>2520</v>
      </c>
      <c r="J1042" t="s" s="32">
        <v>660</v>
      </c>
      <c r="K1042" t="s" s="35">
        <v>641</v>
      </c>
      <c r="L1042" s="30"/>
    </row>
    <row r="1043" ht="74.5" customHeight="1">
      <c r="A1043" t="s" s="36">
        <v>2745</v>
      </c>
      <c r="B1043" t="s" s="37">
        <v>144</v>
      </c>
      <c r="C1043" t="s" s="37">
        <v>143</v>
      </c>
      <c r="D1043" t="s" s="37">
        <v>193</v>
      </c>
      <c r="E1043" t="s" s="37">
        <v>622</v>
      </c>
      <c r="F1043" t="s" s="37">
        <v>622</v>
      </c>
      <c r="G1043" t="s" s="37">
        <v>400</v>
      </c>
      <c r="H1043" t="s" s="37">
        <v>2746</v>
      </c>
      <c r="I1043" t="s" s="37">
        <v>2520</v>
      </c>
      <c r="J1043" t="s" s="37">
        <v>660</v>
      </c>
      <c r="K1043" t="s" s="40">
        <v>641</v>
      </c>
      <c r="L1043" s="30"/>
    </row>
    <row r="1044" ht="74.5" customHeight="1">
      <c r="A1044" t="s" s="31">
        <v>2747</v>
      </c>
      <c r="B1044" t="s" s="32">
        <v>144</v>
      </c>
      <c r="C1044" t="s" s="32">
        <v>143</v>
      </c>
      <c r="D1044" t="s" s="32">
        <v>193</v>
      </c>
      <c r="E1044" t="s" s="32">
        <v>622</v>
      </c>
      <c r="F1044" t="s" s="32">
        <v>622</v>
      </c>
      <c r="G1044" t="s" s="32">
        <v>412</v>
      </c>
      <c r="H1044" t="s" s="32">
        <v>2748</v>
      </c>
      <c r="I1044" t="s" s="32">
        <v>2520</v>
      </c>
      <c r="J1044" t="s" s="32">
        <v>660</v>
      </c>
      <c r="K1044" t="s" s="35">
        <v>641</v>
      </c>
      <c r="L1044" s="30"/>
    </row>
    <row r="1045" ht="74.5" customHeight="1">
      <c r="A1045" t="s" s="36">
        <v>2749</v>
      </c>
      <c r="B1045" t="s" s="37">
        <v>144</v>
      </c>
      <c r="C1045" t="s" s="37">
        <v>143</v>
      </c>
      <c r="D1045" t="s" s="37">
        <v>193</v>
      </c>
      <c r="E1045" t="s" s="37">
        <v>622</v>
      </c>
      <c r="F1045" t="s" s="37">
        <v>622</v>
      </c>
      <c r="G1045" t="s" s="37">
        <v>424</v>
      </c>
      <c r="H1045" t="s" s="37">
        <v>2750</v>
      </c>
      <c r="I1045" t="s" s="37">
        <v>2520</v>
      </c>
      <c r="J1045" t="s" s="37">
        <v>660</v>
      </c>
      <c r="K1045" t="s" s="40">
        <v>641</v>
      </c>
      <c r="L1045" s="30"/>
    </row>
    <row r="1046" ht="74.5" customHeight="1">
      <c r="A1046" t="s" s="31">
        <v>2751</v>
      </c>
      <c r="B1046" t="s" s="32">
        <v>144</v>
      </c>
      <c r="C1046" t="s" s="32">
        <v>143</v>
      </c>
      <c r="D1046" t="s" s="32">
        <v>205</v>
      </c>
      <c r="E1046" t="s" s="32">
        <v>618</v>
      </c>
      <c r="F1046" t="s" s="32">
        <v>618</v>
      </c>
      <c r="G1046" t="s" s="32">
        <v>387</v>
      </c>
      <c r="H1046" t="s" s="32">
        <v>2752</v>
      </c>
      <c r="I1046" t="s" s="32">
        <v>2460</v>
      </c>
      <c r="J1046" t="s" s="32">
        <v>920</v>
      </c>
      <c r="K1046" t="s" s="35">
        <v>622</v>
      </c>
      <c r="L1046" s="30"/>
    </row>
    <row r="1047" ht="74.5" customHeight="1">
      <c r="A1047" t="s" s="36">
        <v>2753</v>
      </c>
      <c r="B1047" t="s" s="37">
        <v>144</v>
      </c>
      <c r="C1047" t="s" s="37">
        <v>143</v>
      </c>
      <c r="D1047" t="s" s="37">
        <v>205</v>
      </c>
      <c r="E1047" t="s" s="37">
        <v>618</v>
      </c>
      <c r="F1047" t="s" s="37">
        <v>618</v>
      </c>
      <c r="G1047" t="s" s="37">
        <v>400</v>
      </c>
      <c r="H1047" t="s" s="37">
        <v>2754</v>
      </c>
      <c r="I1047" t="s" s="37">
        <v>2460</v>
      </c>
      <c r="J1047" t="s" s="37">
        <v>920</v>
      </c>
      <c r="K1047" t="s" s="40">
        <v>622</v>
      </c>
      <c r="L1047" s="30"/>
    </row>
    <row r="1048" ht="74.5" customHeight="1">
      <c r="A1048" t="s" s="31">
        <v>2755</v>
      </c>
      <c r="B1048" t="s" s="32">
        <v>144</v>
      </c>
      <c r="C1048" t="s" s="32">
        <v>143</v>
      </c>
      <c r="D1048" t="s" s="32">
        <v>205</v>
      </c>
      <c r="E1048" t="s" s="32">
        <v>618</v>
      </c>
      <c r="F1048" t="s" s="32">
        <v>618</v>
      </c>
      <c r="G1048" t="s" s="32">
        <v>412</v>
      </c>
      <c r="H1048" t="s" s="32">
        <v>2756</v>
      </c>
      <c r="I1048" t="s" s="32">
        <v>2460</v>
      </c>
      <c r="J1048" t="s" s="32">
        <v>920</v>
      </c>
      <c r="K1048" t="s" s="35">
        <v>622</v>
      </c>
      <c r="L1048" s="30"/>
    </row>
    <row r="1049" ht="74.5" customHeight="1">
      <c r="A1049" t="s" s="36">
        <v>2757</v>
      </c>
      <c r="B1049" t="s" s="37">
        <v>144</v>
      </c>
      <c r="C1049" t="s" s="37">
        <v>143</v>
      </c>
      <c r="D1049" t="s" s="37">
        <v>205</v>
      </c>
      <c r="E1049" t="s" s="37">
        <v>618</v>
      </c>
      <c r="F1049" t="s" s="37">
        <v>618</v>
      </c>
      <c r="G1049" t="s" s="37">
        <v>424</v>
      </c>
      <c r="H1049" t="s" s="37">
        <v>2758</v>
      </c>
      <c r="I1049" t="s" s="37">
        <v>2460</v>
      </c>
      <c r="J1049" t="s" s="37">
        <v>920</v>
      </c>
      <c r="K1049" t="s" s="40">
        <v>622</v>
      </c>
      <c r="L1049" s="30"/>
    </row>
    <row r="1050" ht="74.5" customHeight="1">
      <c r="A1050" t="s" s="31">
        <v>2759</v>
      </c>
      <c r="B1050" t="s" s="32">
        <v>144</v>
      </c>
      <c r="C1050" t="s" s="32">
        <v>143</v>
      </c>
      <c r="D1050" t="s" s="32">
        <v>205</v>
      </c>
      <c r="E1050" t="s" s="32">
        <v>618</v>
      </c>
      <c r="F1050" t="s" s="32">
        <v>630</v>
      </c>
      <c r="G1050" t="s" s="32">
        <v>387</v>
      </c>
      <c r="H1050" t="s" s="32">
        <v>2760</v>
      </c>
      <c r="I1050" t="s" s="32">
        <v>2460</v>
      </c>
      <c r="J1050" t="s" s="32">
        <v>929</v>
      </c>
      <c r="K1050" t="s" s="35">
        <v>622</v>
      </c>
      <c r="L1050" s="30"/>
    </row>
    <row r="1051" ht="74.5" customHeight="1">
      <c r="A1051" t="s" s="36">
        <v>2761</v>
      </c>
      <c r="B1051" t="s" s="37">
        <v>144</v>
      </c>
      <c r="C1051" t="s" s="37">
        <v>143</v>
      </c>
      <c r="D1051" t="s" s="37">
        <v>205</v>
      </c>
      <c r="E1051" t="s" s="37">
        <v>618</v>
      </c>
      <c r="F1051" t="s" s="37">
        <v>630</v>
      </c>
      <c r="G1051" t="s" s="37">
        <v>400</v>
      </c>
      <c r="H1051" t="s" s="37">
        <v>2762</v>
      </c>
      <c r="I1051" t="s" s="37">
        <v>2460</v>
      </c>
      <c r="J1051" t="s" s="37">
        <v>929</v>
      </c>
      <c r="K1051" t="s" s="40">
        <v>622</v>
      </c>
      <c r="L1051" s="30"/>
    </row>
    <row r="1052" ht="74.5" customHeight="1">
      <c r="A1052" t="s" s="31">
        <v>2763</v>
      </c>
      <c r="B1052" t="s" s="32">
        <v>144</v>
      </c>
      <c r="C1052" t="s" s="32">
        <v>143</v>
      </c>
      <c r="D1052" t="s" s="32">
        <v>205</v>
      </c>
      <c r="E1052" t="s" s="32">
        <v>618</v>
      </c>
      <c r="F1052" t="s" s="32">
        <v>630</v>
      </c>
      <c r="G1052" t="s" s="32">
        <v>412</v>
      </c>
      <c r="H1052" t="s" s="32">
        <v>2764</v>
      </c>
      <c r="I1052" t="s" s="32">
        <v>2460</v>
      </c>
      <c r="J1052" t="s" s="32">
        <v>929</v>
      </c>
      <c r="K1052" t="s" s="35">
        <v>622</v>
      </c>
      <c r="L1052" s="30"/>
    </row>
    <row r="1053" ht="74.5" customHeight="1">
      <c r="A1053" t="s" s="36">
        <v>2765</v>
      </c>
      <c r="B1053" t="s" s="37">
        <v>144</v>
      </c>
      <c r="C1053" t="s" s="37">
        <v>143</v>
      </c>
      <c r="D1053" t="s" s="37">
        <v>205</v>
      </c>
      <c r="E1053" t="s" s="37">
        <v>618</v>
      </c>
      <c r="F1053" t="s" s="37">
        <v>630</v>
      </c>
      <c r="G1053" t="s" s="37">
        <v>424</v>
      </c>
      <c r="H1053" t="s" s="37">
        <v>2766</v>
      </c>
      <c r="I1053" t="s" s="37">
        <v>2460</v>
      </c>
      <c r="J1053" t="s" s="37">
        <v>929</v>
      </c>
      <c r="K1053" t="s" s="40">
        <v>622</v>
      </c>
      <c r="L1053" s="30"/>
    </row>
    <row r="1054" ht="74.5" customHeight="1">
      <c r="A1054" t="s" s="31">
        <v>2767</v>
      </c>
      <c r="B1054" t="s" s="32">
        <v>144</v>
      </c>
      <c r="C1054" t="s" s="32">
        <v>143</v>
      </c>
      <c r="D1054" t="s" s="32">
        <v>205</v>
      </c>
      <c r="E1054" t="s" s="32">
        <v>618</v>
      </c>
      <c r="F1054" t="s" s="32">
        <v>622</v>
      </c>
      <c r="G1054" t="s" s="32">
        <v>387</v>
      </c>
      <c r="H1054" t="s" s="32">
        <v>2768</v>
      </c>
      <c r="I1054" t="s" s="32">
        <v>2460</v>
      </c>
      <c r="J1054" t="s" s="32">
        <v>929</v>
      </c>
      <c r="K1054" t="s" s="35">
        <v>641</v>
      </c>
      <c r="L1054" s="30"/>
    </row>
    <row r="1055" ht="74.5" customHeight="1">
      <c r="A1055" t="s" s="36">
        <v>2769</v>
      </c>
      <c r="B1055" t="s" s="37">
        <v>144</v>
      </c>
      <c r="C1055" t="s" s="37">
        <v>143</v>
      </c>
      <c r="D1055" t="s" s="37">
        <v>205</v>
      </c>
      <c r="E1055" t="s" s="37">
        <v>618</v>
      </c>
      <c r="F1055" t="s" s="37">
        <v>622</v>
      </c>
      <c r="G1055" t="s" s="37">
        <v>400</v>
      </c>
      <c r="H1055" t="s" s="37">
        <v>2770</v>
      </c>
      <c r="I1055" t="s" s="37">
        <v>2460</v>
      </c>
      <c r="J1055" t="s" s="37">
        <v>929</v>
      </c>
      <c r="K1055" t="s" s="40">
        <v>641</v>
      </c>
      <c r="L1055" s="30"/>
    </row>
    <row r="1056" ht="74.5" customHeight="1">
      <c r="A1056" t="s" s="31">
        <v>2771</v>
      </c>
      <c r="B1056" t="s" s="32">
        <v>144</v>
      </c>
      <c r="C1056" t="s" s="32">
        <v>143</v>
      </c>
      <c r="D1056" t="s" s="32">
        <v>205</v>
      </c>
      <c r="E1056" t="s" s="32">
        <v>618</v>
      </c>
      <c r="F1056" t="s" s="32">
        <v>622</v>
      </c>
      <c r="G1056" t="s" s="32">
        <v>412</v>
      </c>
      <c r="H1056" t="s" s="32">
        <v>2772</v>
      </c>
      <c r="I1056" t="s" s="32">
        <v>2460</v>
      </c>
      <c r="J1056" t="s" s="32">
        <v>929</v>
      </c>
      <c r="K1056" t="s" s="35">
        <v>641</v>
      </c>
      <c r="L1056" s="30"/>
    </row>
    <row r="1057" ht="74.5" customHeight="1">
      <c r="A1057" t="s" s="36">
        <v>2773</v>
      </c>
      <c r="B1057" t="s" s="37">
        <v>144</v>
      </c>
      <c r="C1057" t="s" s="37">
        <v>143</v>
      </c>
      <c r="D1057" t="s" s="37">
        <v>205</v>
      </c>
      <c r="E1057" t="s" s="37">
        <v>618</v>
      </c>
      <c r="F1057" t="s" s="37">
        <v>622</v>
      </c>
      <c r="G1057" t="s" s="37">
        <v>424</v>
      </c>
      <c r="H1057" t="s" s="37">
        <v>2774</v>
      </c>
      <c r="I1057" t="s" s="37">
        <v>2460</v>
      </c>
      <c r="J1057" t="s" s="37">
        <v>929</v>
      </c>
      <c r="K1057" t="s" s="40">
        <v>641</v>
      </c>
      <c r="L1057" s="30"/>
    </row>
    <row r="1058" ht="74.5" customHeight="1">
      <c r="A1058" t="s" s="31">
        <v>2775</v>
      </c>
      <c r="B1058" t="s" s="32">
        <v>144</v>
      </c>
      <c r="C1058" t="s" s="32">
        <v>143</v>
      </c>
      <c r="D1058" t="s" s="32">
        <v>205</v>
      </c>
      <c r="E1058" t="s" s="32">
        <v>630</v>
      </c>
      <c r="F1058" t="s" s="32">
        <v>618</v>
      </c>
      <c r="G1058" t="s" s="32">
        <v>387</v>
      </c>
      <c r="H1058" t="s" s="32">
        <v>2776</v>
      </c>
      <c r="I1058" t="s" s="32">
        <v>2485</v>
      </c>
      <c r="J1058" t="s" s="32">
        <v>946</v>
      </c>
      <c r="K1058" t="s" s="35">
        <v>622</v>
      </c>
      <c r="L1058" s="30"/>
    </row>
    <row r="1059" ht="74.5" customHeight="1">
      <c r="A1059" t="s" s="36">
        <v>2777</v>
      </c>
      <c r="B1059" t="s" s="37">
        <v>144</v>
      </c>
      <c r="C1059" t="s" s="37">
        <v>143</v>
      </c>
      <c r="D1059" t="s" s="37">
        <v>205</v>
      </c>
      <c r="E1059" t="s" s="37">
        <v>630</v>
      </c>
      <c r="F1059" t="s" s="37">
        <v>618</v>
      </c>
      <c r="G1059" t="s" s="37">
        <v>400</v>
      </c>
      <c r="H1059" t="s" s="37">
        <v>2778</v>
      </c>
      <c r="I1059" t="s" s="37">
        <v>2485</v>
      </c>
      <c r="J1059" t="s" s="37">
        <v>946</v>
      </c>
      <c r="K1059" t="s" s="40">
        <v>622</v>
      </c>
      <c r="L1059" s="30"/>
    </row>
    <row r="1060" ht="74.5" customHeight="1">
      <c r="A1060" t="s" s="31">
        <v>2779</v>
      </c>
      <c r="B1060" t="s" s="32">
        <v>144</v>
      </c>
      <c r="C1060" t="s" s="32">
        <v>143</v>
      </c>
      <c r="D1060" t="s" s="32">
        <v>205</v>
      </c>
      <c r="E1060" t="s" s="32">
        <v>630</v>
      </c>
      <c r="F1060" t="s" s="32">
        <v>618</v>
      </c>
      <c r="G1060" t="s" s="32">
        <v>412</v>
      </c>
      <c r="H1060" t="s" s="32">
        <v>2780</v>
      </c>
      <c r="I1060" t="s" s="32">
        <v>2485</v>
      </c>
      <c r="J1060" t="s" s="32">
        <v>946</v>
      </c>
      <c r="K1060" t="s" s="35">
        <v>622</v>
      </c>
      <c r="L1060" s="30"/>
    </row>
    <row r="1061" ht="74.5" customHeight="1">
      <c r="A1061" t="s" s="36">
        <v>2781</v>
      </c>
      <c r="B1061" t="s" s="37">
        <v>144</v>
      </c>
      <c r="C1061" t="s" s="37">
        <v>143</v>
      </c>
      <c r="D1061" t="s" s="37">
        <v>205</v>
      </c>
      <c r="E1061" t="s" s="37">
        <v>630</v>
      </c>
      <c r="F1061" t="s" s="37">
        <v>618</v>
      </c>
      <c r="G1061" t="s" s="37">
        <v>424</v>
      </c>
      <c r="H1061" t="s" s="37">
        <v>2782</v>
      </c>
      <c r="I1061" t="s" s="37">
        <v>2485</v>
      </c>
      <c r="J1061" t="s" s="37">
        <v>946</v>
      </c>
      <c r="K1061" t="s" s="40">
        <v>622</v>
      </c>
      <c r="L1061" s="30"/>
    </row>
    <row r="1062" ht="74.5" customHeight="1">
      <c r="A1062" t="s" s="31">
        <v>2783</v>
      </c>
      <c r="B1062" t="s" s="32">
        <v>144</v>
      </c>
      <c r="C1062" t="s" s="32">
        <v>143</v>
      </c>
      <c r="D1062" t="s" s="32">
        <v>205</v>
      </c>
      <c r="E1062" t="s" s="32">
        <v>630</v>
      </c>
      <c r="F1062" t="s" s="32">
        <v>630</v>
      </c>
      <c r="G1062" t="s" s="32">
        <v>387</v>
      </c>
      <c r="H1062" t="s" s="32">
        <v>2784</v>
      </c>
      <c r="I1062" t="s" s="32">
        <v>2485</v>
      </c>
      <c r="J1062" t="s" s="32">
        <v>955</v>
      </c>
      <c r="K1062" t="s" s="35">
        <v>630</v>
      </c>
      <c r="L1062" s="30"/>
    </row>
    <row r="1063" ht="74.5" customHeight="1">
      <c r="A1063" t="s" s="36">
        <v>2785</v>
      </c>
      <c r="B1063" t="s" s="37">
        <v>144</v>
      </c>
      <c r="C1063" t="s" s="37">
        <v>143</v>
      </c>
      <c r="D1063" t="s" s="37">
        <v>205</v>
      </c>
      <c r="E1063" t="s" s="37">
        <v>630</v>
      </c>
      <c r="F1063" t="s" s="37">
        <v>630</v>
      </c>
      <c r="G1063" t="s" s="37">
        <v>400</v>
      </c>
      <c r="H1063" t="s" s="37">
        <v>2786</v>
      </c>
      <c r="I1063" t="s" s="37">
        <v>2485</v>
      </c>
      <c r="J1063" t="s" s="37">
        <v>955</v>
      </c>
      <c r="K1063" t="s" s="40">
        <v>630</v>
      </c>
      <c r="L1063" s="30"/>
    </row>
    <row r="1064" ht="74.5" customHeight="1">
      <c r="A1064" t="s" s="31">
        <v>2787</v>
      </c>
      <c r="B1064" t="s" s="32">
        <v>144</v>
      </c>
      <c r="C1064" t="s" s="32">
        <v>143</v>
      </c>
      <c r="D1064" t="s" s="32">
        <v>205</v>
      </c>
      <c r="E1064" t="s" s="32">
        <v>630</v>
      </c>
      <c r="F1064" t="s" s="32">
        <v>630</v>
      </c>
      <c r="G1064" t="s" s="32">
        <v>412</v>
      </c>
      <c r="H1064" t="s" s="32">
        <v>2788</v>
      </c>
      <c r="I1064" t="s" s="32">
        <v>2485</v>
      </c>
      <c r="J1064" t="s" s="32">
        <v>955</v>
      </c>
      <c r="K1064" t="s" s="35">
        <v>630</v>
      </c>
      <c r="L1064" s="30"/>
    </row>
    <row r="1065" ht="74.5" customHeight="1">
      <c r="A1065" t="s" s="36">
        <v>2789</v>
      </c>
      <c r="B1065" t="s" s="37">
        <v>144</v>
      </c>
      <c r="C1065" t="s" s="37">
        <v>143</v>
      </c>
      <c r="D1065" t="s" s="37">
        <v>205</v>
      </c>
      <c r="E1065" t="s" s="37">
        <v>630</v>
      </c>
      <c r="F1065" t="s" s="37">
        <v>630</v>
      </c>
      <c r="G1065" t="s" s="37">
        <v>424</v>
      </c>
      <c r="H1065" t="s" s="37">
        <v>2790</v>
      </c>
      <c r="I1065" t="s" s="37">
        <v>2485</v>
      </c>
      <c r="J1065" t="s" s="37">
        <v>955</v>
      </c>
      <c r="K1065" t="s" s="40">
        <v>630</v>
      </c>
      <c r="L1065" s="30"/>
    </row>
    <row r="1066" ht="74.5" customHeight="1">
      <c r="A1066" t="s" s="31">
        <v>2791</v>
      </c>
      <c r="B1066" t="s" s="32">
        <v>144</v>
      </c>
      <c r="C1066" t="s" s="32">
        <v>143</v>
      </c>
      <c r="D1066" t="s" s="32">
        <v>205</v>
      </c>
      <c r="E1066" t="s" s="32">
        <v>630</v>
      </c>
      <c r="F1066" t="s" s="32">
        <v>622</v>
      </c>
      <c r="G1066" t="s" s="32">
        <v>387</v>
      </c>
      <c r="H1066" t="s" s="32">
        <v>2792</v>
      </c>
      <c r="I1066" t="s" s="32">
        <v>2502</v>
      </c>
      <c r="J1066" t="s" s="32">
        <v>955</v>
      </c>
      <c r="K1066" t="s" s="35">
        <v>630</v>
      </c>
      <c r="L1066" s="30"/>
    </row>
    <row r="1067" ht="74.5" customHeight="1">
      <c r="A1067" t="s" s="36">
        <v>2793</v>
      </c>
      <c r="B1067" t="s" s="37">
        <v>144</v>
      </c>
      <c r="C1067" t="s" s="37">
        <v>143</v>
      </c>
      <c r="D1067" t="s" s="37">
        <v>205</v>
      </c>
      <c r="E1067" t="s" s="37">
        <v>630</v>
      </c>
      <c r="F1067" t="s" s="37">
        <v>622</v>
      </c>
      <c r="G1067" t="s" s="37">
        <v>400</v>
      </c>
      <c r="H1067" t="s" s="37">
        <v>2794</v>
      </c>
      <c r="I1067" t="s" s="37">
        <v>2502</v>
      </c>
      <c r="J1067" t="s" s="37">
        <v>955</v>
      </c>
      <c r="K1067" t="s" s="40">
        <v>630</v>
      </c>
      <c r="L1067" s="30"/>
    </row>
    <row r="1068" ht="74.5" customHeight="1">
      <c r="A1068" t="s" s="31">
        <v>2795</v>
      </c>
      <c r="B1068" t="s" s="32">
        <v>144</v>
      </c>
      <c r="C1068" t="s" s="32">
        <v>143</v>
      </c>
      <c r="D1068" t="s" s="32">
        <v>205</v>
      </c>
      <c r="E1068" t="s" s="32">
        <v>630</v>
      </c>
      <c r="F1068" t="s" s="32">
        <v>622</v>
      </c>
      <c r="G1068" t="s" s="32">
        <v>412</v>
      </c>
      <c r="H1068" t="s" s="32">
        <v>2796</v>
      </c>
      <c r="I1068" t="s" s="32">
        <v>2502</v>
      </c>
      <c r="J1068" t="s" s="32">
        <v>955</v>
      </c>
      <c r="K1068" t="s" s="35">
        <v>630</v>
      </c>
      <c r="L1068" s="30"/>
    </row>
    <row r="1069" ht="74.5" customHeight="1">
      <c r="A1069" t="s" s="36">
        <v>2797</v>
      </c>
      <c r="B1069" t="s" s="37">
        <v>144</v>
      </c>
      <c r="C1069" t="s" s="37">
        <v>143</v>
      </c>
      <c r="D1069" t="s" s="37">
        <v>205</v>
      </c>
      <c r="E1069" t="s" s="37">
        <v>630</v>
      </c>
      <c r="F1069" t="s" s="37">
        <v>622</v>
      </c>
      <c r="G1069" t="s" s="37">
        <v>424</v>
      </c>
      <c r="H1069" t="s" s="37">
        <v>2798</v>
      </c>
      <c r="I1069" t="s" s="37">
        <v>2502</v>
      </c>
      <c r="J1069" t="s" s="37">
        <v>955</v>
      </c>
      <c r="K1069" t="s" s="40">
        <v>630</v>
      </c>
      <c r="L1069" s="30"/>
    </row>
    <row r="1070" ht="74.5" customHeight="1">
      <c r="A1070" t="s" s="31">
        <v>2799</v>
      </c>
      <c r="B1070" t="s" s="32">
        <v>144</v>
      </c>
      <c r="C1070" t="s" s="32">
        <v>143</v>
      </c>
      <c r="D1070" t="s" s="32">
        <v>205</v>
      </c>
      <c r="E1070" t="s" s="32">
        <v>622</v>
      </c>
      <c r="F1070" t="s" s="32">
        <v>618</v>
      </c>
      <c r="G1070" t="s" s="32">
        <v>387</v>
      </c>
      <c r="H1070" t="s" s="32">
        <v>2800</v>
      </c>
      <c r="I1070" t="s" s="32">
        <v>2511</v>
      </c>
      <c r="J1070" t="s" s="32">
        <v>946</v>
      </c>
      <c r="K1070" t="s" s="35">
        <v>622</v>
      </c>
      <c r="L1070" s="30"/>
    </row>
    <row r="1071" ht="74.5" customHeight="1">
      <c r="A1071" t="s" s="36">
        <v>2801</v>
      </c>
      <c r="B1071" t="s" s="37">
        <v>144</v>
      </c>
      <c r="C1071" t="s" s="37">
        <v>143</v>
      </c>
      <c r="D1071" t="s" s="37">
        <v>205</v>
      </c>
      <c r="E1071" t="s" s="37">
        <v>622</v>
      </c>
      <c r="F1071" t="s" s="37">
        <v>618</v>
      </c>
      <c r="G1071" t="s" s="37">
        <v>400</v>
      </c>
      <c r="H1071" t="s" s="37">
        <v>2802</v>
      </c>
      <c r="I1071" t="s" s="37">
        <v>2511</v>
      </c>
      <c r="J1071" t="s" s="37">
        <v>946</v>
      </c>
      <c r="K1071" t="s" s="40">
        <v>622</v>
      </c>
      <c r="L1071" s="30"/>
    </row>
    <row r="1072" ht="74.5" customHeight="1">
      <c r="A1072" t="s" s="31">
        <v>2803</v>
      </c>
      <c r="B1072" t="s" s="32">
        <v>144</v>
      </c>
      <c r="C1072" t="s" s="32">
        <v>143</v>
      </c>
      <c r="D1072" t="s" s="32">
        <v>205</v>
      </c>
      <c r="E1072" t="s" s="32">
        <v>622</v>
      </c>
      <c r="F1072" t="s" s="32">
        <v>618</v>
      </c>
      <c r="G1072" t="s" s="32">
        <v>412</v>
      </c>
      <c r="H1072" t="s" s="32">
        <v>2804</v>
      </c>
      <c r="I1072" t="s" s="32">
        <v>2511</v>
      </c>
      <c r="J1072" t="s" s="32">
        <v>946</v>
      </c>
      <c r="K1072" t="s" s="35">
        <v>622</v>
      </c>
      <c r="L1072" s="30"/>
    </row>
    <row r="1073" ht="74.5" customHeight="1">
      <c r="A1073" t="s" s="36">
        <v>2805</v>
      </c>
      <c r="B1073" t="s" s="37">
        <v>144</v>
      </c>
      <c r="C1073" t="s" s="37">
        <v>143</v>
      </c>
      <c r="D1073" t="s" s="37">
        <v>205</v>
      </c>
      <c r="E1073" t="s" s="37">
        <v>622</v>
      </c>
      <c r="F1073" t="s" s="37">
        <v>618</v>
      </c>
      <c r="G1073" t="s" s="37">
        <v>424</v>
      </c>
      <c r="H1073" t="s" s="37">
        <v>2806</v>
      </c>
      <c r="I1073" t="s" s="37">
        <v>2511</v>
      </c>
      <c r="J1073" t="s" s="37">
        <v>946</v>
      </c>
      <c r="K1073" t="s" s="40">
        <v>622</v>
      </c>
      <c r="L1073" s="30"/>
    </row>
    <row r="1074" ht="74.5" customHeight="1">
      <c r="A1074" t="s" s="31">
        <v>2807</v>
      </c>
      <c r="B1074" t="s" s="32">
        <v>144</v>
      </c>
      <c r="C1074" t="s" s="32">
        <v>143</v>
      </c>
      <c r="D1074" t="s" s="32">
        <v>205</v>
      </c>
      <c r="E1074" t="s" s="32">
        <v>622</v>
      </c>
      <c r="F1074" t="s" s="32">
        <v>630</v>
      </c>
      <c r="G1074" t="s" s="32">
        <v>387</v>
      </c>
      <c r="H1074" t="s" s="32">
        <v>2808</v>
      </c>
      <c r="I1074" t="s" s="32">
        <v>2520</v>
      </c>
      <c r="J1074" t="s" s="32">
        <v>955</v>
      </c>
      <c r="K1074" t="s" s="35">
        <v>630</v>
      </c>
      <c r="L1074" s="30"/>
    </row>
    <row r="1075" ht="74.5" customHeight="1">
      <c r="A1075" t="s" s="36">
        <v>2809</v>
      </c>
      <c r="B1075" t="s" s="37">
        <v>144</v>
      </c>
      <c r="C1075" t="s" s="37">
        <v>143</v>
      </c>
      <c r="D1075" t="s" s="37">
        <v>205</v>
      </c>
      <c r="E1075" t="s" s="37">
        <v>622</v>
      </c>
      <c r="F1075" t="s" s="37">
        <v>630</v>
      </c>
      <c r="G1075" t="s" s="37">
        <v>400</v>
      </c>
      <c r="H1075" t="s" s="37">
        <v>2810</v>
      </c>
      <c r="I1075" t="s" s="37">
        <v>2520</v>
      </c>
      <c r="J1075" t="s" s="37">
        <v>955</v>
      </c>
      <c r="K1075" t="s" s="40">
        <v>630</v>
      </c>
      <c r="L1075" s="30"/>
    </row>
    <row r="1076" ht="74.5" customHeight="1">
      <c r="A1076" t="s" s="31">
        <v>2811</v>
      </c>
      <c r="B1076" t="s" s="32">
        <v>144</v>
      </c>
      <c r="C1076" t="s" s="32">
        <v>143</v>
      </c>
      <c r="D1076" t="s" s="32">
        <v>205</v>
      </c>
      <c r="E1076" t="s" s="32">
        <v>622</v>
      </c>
      <c r="F1076" t="s" s="32">
        <v>630</v>
      </c>
      <c r="G1076" t="s" s="32">
        <v>412</v>
      </c>
      <c r="H1076" t="s" s="32">
        <v>2812</v>
      </c>
      <c r="I1076" t="s" s="32">
        <v>2520</v>
      </c>
      <c r="J1076" t="s" s="32">
        <v>955</v>
      </c>
      <c r="K1076" t="s" s="35">
        <v>630</v>
      </c>
      <c r="L1076" s="30"/>
    </row>
    <row r="1077" ht="74.5" customHeight="1">
      <c r="A1077" t="s" s="36">
        <v>2813</v>
      </c>
      <c r="B1077" t="s" s="37">
        <v>144</v>
      </c>
      <c r="C1077" t="s" s="37">
        <v>143</v>
      </c>
      <c r="D1077" t="s" s="37">
        <v>205</v>
      </c>
      <c r="E1077" t="s" s="37">
        <v>622</v>
      </c>
      <c r="F1077" t="s" s="37">
        <v>630</v>
      </c>
      <c r="G1077" t="s" s="37">
        <v>424</v>
      </c>
      <c r="H1077" t="s" s="37">
        <v>2814</v>
      </c>
      <c r="I1077" t="s" s="37">
        <v>2520</v>
      </c>
      <c r="J1077" t="s" s="37">
        <v>955</v>
      </c>
      <c r="K1077" t="s" s="40">
        <v>630</v>
      </c>
      <c r="L1077" s="30"/>
    </row>
    <row r="1078" ht="74.5" customHeight="1">
      <c r="A1078" t="s" s="31">
        <v>2815</v>
      </c>
      <c r="B1078" t="s" s="32">
        <v>144</v>
      </c>
      <c r="C1078" t="s" s="32">
        <v>143</v>
      </c>
      <c r="D1078" t="s" s="32">
        <v>205</v>
      </c>
      <c r="E1078" t="s" s="32">
        <v>622</v>
      </c>
      <c r="F1078" t="s" s="32">
        <v>622</v>
      </c>
      <c r="G1078" t="s" s="32">
        <v>387</v>
      </c>
      <c r="H1078" t="s" s="32">
        <v>2816</v>
      </c>
      <c r="I1078" t="s" s="32">
        <v>2520</v>
      </c>
      <c r="J1078" t="s" s="32">
        <v>955</v>
      </c>
      <c r="K1078" t="s" s="35">
        <v>641</v>
      </c>
      <c r="L1078" s="30"/>
    </row>
    <row r="1079" ht="74.5" customHeight="1">
      <c r="A1079" t="s" s="36">
        <v>2817</v>
      </c>
      <c r="B1079" t="s" s="37">
        <v>144</v>
      </c>
      <c r="C1079" t="s" s="37">
        <v>143</v>
      </c>
      <c r="D1079" t="s" s="37">
        <v>205</v>
      </c>
      <c r="E1079" t="s" s="37">
        <v>622</v>
      </c>
      <c r="F1079" t="s" s="37">
        <v>622</v>
      </c>
      <c r="G1079" t="s" s="37">
        <v>400</v>
      </c>
      <c r="H1079" t="s" s="37">
        <v>2818</v>
      </c>
      <c r="I1079" t="s" s="37">
        <v>2520</v>
      </c>
      <c r="J1079" t="s" s="37">
        <v>955</v>
      </c>
      <c r="K1079" t="s" s="40">
        <v>641</v>
      </c>
      <c r="L1079" s="30"/>
    </row>
    <row r="1080" ht="74.5" customHeight="1">
      <c r="A1080" t="s" s="31">
        <v>2819</v>
      </c>
      <c r="B1080" t="s" s="32">
        <v>144</v>
      </c>
      <c r="C1080" t="s" s="32">
        <v>143</v>
      </c>
      <c r="D1080" t="s" s="32">
        <v>205</v>
      </c>
      <c r="E1080" t="s" s="32">
        <v>622</v>
      </c>
      <c r="F1080" t="s" s="32">
        <v>622</v>
      </c>
      <c r="G1080" t="s" s="32">
        <v>412</v>
      </c>
      <c r="H1080" t="s" s="32">
        <v>2820</v>
      </c>
      <c r="I1080" t="s" s="32">
        <v>2520</v>
      </c>
      <c r="J1080" t="s" s="32">
        <v>955</v>
      </c>
      <c r="K1080" t="s" s="35">
        <v>641</v>
      </c>
      <c r="L1080" s="30"/>
    </row>
    <row r="1081" ht="74.5" customHeight="1">
      <c r="A1081" t="s" s="36">
        <v>2821</v>
      </c>
      <c r="B1081" t="s" s="37">
        <v>144</v>
      </c>
      <c r="C1081" t="s" s="37">
        <v>143</v>
      </c>
      <c r="D1081" t="s" s="37">
        <v>205</v>
      </c>
      <c r="E1081" t="s" s="37">
        <v>622</v>
      </c>
      <c r="F1081" t="s" s="37">
        <v>622</v>
      </c>
      <c r="G1081" t="s" s="37">
        <v>424</v>
      </c>
      <c r="H1081" t="s" s="37">
        <v>2822</v>
      </c>
      <c r="I1081" t="s" s="37">
        <v>2520</v>
      </c>
      <c r="J1081" t="s" s="37">
        <v>955</v>
      </c>
      <c r="K1081" t="s" s="40">
        <v>641</v>
      </c>
      <c r="L1081" s="30"/>
    </row>
    <row r="1082" ht="14.5" customHeight="1">
      <c r="A1082" s="41"/>
      <c r="B1082" s="41"/>
      <c r="C1082" s="41"/>
      <c r="D1082" s="41"/>
      <c r="E1082" s="41"/>
      <c r="F1082" s="41"/>
      <c r="G1082" s="41"/>
      <c r="H1082" s="41"/>
      <c r="I1082" s="41"/>
      <c r="J1082" s="41"/>
      <c r="K1082" s="41"/>
      <c r="L1082" s="4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30" style="54" customWidth="1"/>
    <col min="2" max="2" width="80" style="54" customWidth="1"/>
    <col min="3" max="3" width="50" style="54" customWidth="1"/>
    <col min="4" max="5" width="8.85156" style="54" customWidth="1"/>
    <col min="6" max="16384" width="8.85156" style="54" customWidth="1"/>
  </cols>
  <sheetData>
    <row r="1" ht="34" customHeight="1">
      <c r="A1" t="s" s="55">
        <v>2824</v>
      </c>
      <c r="B1" t="s" s="56">
        <v>2825</v>
      </c>
      <c r="C1" t="s" s="56">
        <v>2826</v>
      </c>
      <c r="D1" s="57"/>
      <c r="E1" s="58"/>
    </row>
    <row r="2" ht="26.55" customHeight="1">
      <c r="A2" t="s" s="59">
        <v>2827</v>
      </c>
      <c r="B2" t="s" s="59">
        <v>2828</v>
      </c>
      <c r="C2" t="s" s="59">
        <v>2829</v>
      </c>
      <c r="D2" s="58"/>
      <c r="E2" s="58"/>
    </row>
    <row r="3" ht="13.55" customHeight="1">
      <c r="A3" t="s" s="60">
        <v>2830</v>
      </c>
      <c r="B3" t="s" s="60">
        <v>2831</v>
      </c>
      <c r="C3" t="s" s="60">
        <v>2832</v>
      </c>
      <c r="D3" s="58"/>
      <c r="E3" s="58"/>
    </row>
    <row r="4" ht="13.55" customHeight="1">
      <c r="A4" t="s" s="60">
        <v>2833</v>
      </c>
      <c r="B4" t="s" s="60">
        <v>2834</v>
      </c>
      <c r="C4" t="s" s="60">
        <v>2835</v>
      </c>
      <c r="D4" s="58"/>
      <c r="E4" s="58"/>
    </row>
    <row r="5" ht="13.55" customHeight="1">
      <c r="A5" t="s" s="60">
        <v>2836</v>
      </c>
      <c r="B5" t="s" s="60">
        <v>2837</v>
      </c>
      <c r="C5" t="s" s="60">
        <v>2838</v>
      </c>
      <c r="D5" s="58"/>
      <c r="E5" s="58"/>
    </row>
    <row r="6" ht="13.55" customHeight="1">
      <c r="A6" t="s" s="60">
        <v>2839</v>
      </c>
      <c r="B6" t="s" s="60">
        <v>2840</v>
      </c>
      <c r="C6" t="s" s="60">
        <v>2841</v>
      </c>
      <c r="D6" s="58"/>
      <c r="E6" s="58"/>
    </row>
    <row r="7" ht="13.55" customHeight="1">
      <c r="A7" t="s" s="60">
        <v>2842</v>
      </c>
      <c r="B7" t="s" s="60">
        <v>2843</v>
      </c>
      <c r="C7" t="s" s="60">
        <v>2844</v>
      </c>
      <c r="D7" s="58"/>
      <c r="E7" s="58"/>
    </row>
    <row r="8" ht="13.55" customHeight="1">
      <c r="A8" t="s" s="60">
        <v>2845</v>
      </c>
      <c r="B8" t="s" s="60">
        <v>2846</v>
      </c>
      <c r="C8" t="s" s="60">
        <v>2847</v>
      </c>
      <c r="D8" s="58"/>
      <c r="E8" s="58"/>
    </row>
    <row r="9" ht="13.55" customHeight="1">
      <c r="A9" t="s" s="60">
        <v>2848</v>
      </c>
      <c r="B9" t="s" s="60">
        <v>2849</v>
      </c>
      <c r="C9" t="s" s="60">
        <v>2850</v>
      </c>
      <c r="D9" s="58"/>
      <c r="E9" s="58"/>
    </row>
    <row r="10" ht="13.55" customHeight="1">
      <c r="A10" t="s" s="60">
        <v>2851</v>
      </c>
      <c r="B10" t="s" s="60">
        <v>2852</v>
      </c>
      <c r="C10" t="s" s="60">
        <v>2853</v>
      </c>
      <c r="D10" s="58"/>
      <c r="E10" s="58"/>
    </row>
    <row r="11" ht="26.55" customHeight="1">
      <c r="A11" t="s" s="60">
        <v>2854</v>
      </c>
      <c r="B11" t="s" s="60">
        <v>2855</v>
      </c>
      <c r="C11" t="s" s="60">
        <v>2856</v>
      </c>
      <c r="D11" s="58"/>
      <c r="E11" s="58"/>
    </row>
    <row r="12" ht="13.55" customHeight="1">
      <c r="A12" t="s" s="60">
        <v>2857</v>
      </c>
      <c r="B12" t="s" s="60">
        <v>2858</v>
      </c>
      <c r="C12" t="s" s="60">
        <v>2859</v>
      </c>
      <c r="D12" s="58"/>
      <c r="E12" s="58"/>
    </row>
    <row r="13" ht="13.55" customHeight="1">
      <c r="A13" t="s" s="60">
        <v>2860</v>
      </c>
      <c r="B13" t="s" s="60">
        <v>2861</v>
      </c>
      <c r="C13" t="s" s="60">
        <v>2862</v>
      </c>
      <c r="D13" s="58"/>
      <c r="E13" s="5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6" width="24" style="61" customWidth="1"/>
    <col min="7" max="16384" width="8.85156" style="61" customWidth="1"/>
  </cols>
  <sheetData>
    <row r="1" ht="34" customHeight="1">
      <c r="A1" t="s" s="55">
        <v>45</v>
      </c>
      <c r="B1" t="s" s="56">
        <v>54</v>
      </c>
      <c r="C1" t="s" s="56">
        <v>2864</v>
      </c>
      <c r="D1" t="s" s="56">
        <v>2865</v>
      </c>
      <c r="E1" t="s" s="56">
        <v>2866</v>
      </c>
      <c r="F1" t="s" s="62">
        <v>576</v>
      </c>
    </row>
    <row r="2" ht="52.55" customHeight="1">
      <c r="A2" t="s" s="59">
        <v>68</v>
      </c>
      <c r="B2" t="s" s="59">
        <v>76</v>
      </c>
      <c r="C2" s="63">
        <v>0</v>
      </c>
      <c r="D2" s="63">
        <v>7</v>
      </c>
      <c r="E2" s="63">
        <v>18</v>
      </c>
      <c r="F2" t="s" s="59">
        <v>2867</v>
      </c>
    </row>
    <row r="3" ht="52.55" customHeight="1">
      <c r="A3" t="s" s="60">
        <v>68</v>
      </c>
      <c r="B3" t="s" s="60">
        <v>85</v>
      </c>
      <c r="C3" s="64">
        <v>0</v>
      </c>
      <c r="D3" s="64">
        <v>10</v>
      </c>
      <c r="E3" s="64">
        <v>25</v>
      </c>
      <c r="F3" t="s" s="60">
        <v>2867</v>
      </c>
    </row>
    <row r="4" ht="52.55" customHeight="1">
      <c r="A4" t="s" s="60">
        <v>68</v>
      </c>
      <c r="B4" t="s" s="60">
        <v>2868</v>
      </c>
      <c r="C4" s="64">
        <v>0</v>
      </c>
      <c r="D4" s="64">
        <v>15</v>
      </c>
      <c r="E4" s="64">
        <v>35</v>
      </c>
      <c r="F4" t="s" s="60">
        <v>2867</v>
      </c>
    </row>
    <row r="5" ht="52.55" customHeight="1">
      <c r="A5" t="s" s="60">
        <v>2869</v>
      </c>
      <c r="B5" t="s" s="60">
        <v>76</v>
      </c>
      <c r="C5" s="64">
        <v>0</v>
      </c>
      <c r="D5" s="64">
        <v>25</v>
      </c>
      <c r="E5" s="64">
        <v>45</v>
      </c>
      <c r="F5" t="s" s="60">
        <v>2867</v>
      </c>
    </row>
    <row r="6" ht="52.55" customHeight="1">
      <c r="A6" t="s" s="60">
        <v>2869</v>
      </c>
      <c r="B6" t="s" s="60">
        <v>85</v>
      </c>
      <c r="C6" s="64">
        <v>0</v>
      </c>
      <c r="D6" s="64">
        <v>40</v>
      </c>
      <c r="E6" s="64">
        <v>70</v>
      </c>
      <c r="F6" t="s" s="60">
        <v>2867</v>
      </c>
    </row>
    <row r="7" ht="52.55" customHeight="1">
      <c r="A7" t="s" s="60">
        <v>2869</v>
      </c>
      <c r="B7" t="s" s="60">
        <v>2868</v>
      </c>
      <c r="C7" s="64">
        <v>0</v>
      </c>
      <c r="D7" s="64">
        <v>60</v>
      </c>
      <c r="E7" s="64">
        <v>100</v>
      </c>
      <c r="F7" t="s" s="60">
        <v>2867</v>
      </c>
    </row>
    <row r="8" ht="13.55" customHeight="1">
      <c r="A8" s="58"/>
      <c r="B8" s="58"/>
      <c r="C8" s="58"/>
      <c r="D8" s="58"/>
      <c r="E8" s="58"/>
      <c r="F8" s="58"/>
    </row>
    <row r="9" ht="13.55" customHeight="1">
      <c r="A9" s="58"/>
      <c r="B9" s="58"/>
      <c r="C9" s="58"/>
      <c r="D9" s="58"/>
      <c r="E9" s="58"/>
      <c r="F9" s="58"/>
    </row>
    <row r="10" ht="13.55" customHeight="1">
      <c r="A10" s="58"/>
      <c r="B10" s="58"/>
      <c r="C10" s="58"/>
      <c r="D10" s="58"/>
      <c r="E10" s="58"/>
      <c r="F10" s="5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