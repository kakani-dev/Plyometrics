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Instructions" sheetId="2" r:id="rId6"/>
    <sheet name="Scoring_Map" sheetId="3" r:id="rId7"/>
    <sheet name="Question_Bank" sheetId="4" r:id="rId8"/>
    <sheet name="Student_Responses" sheetId="5" r:id="rId9"/>
    <sheet name="Score_Summary" sheetId="6" r:id="rId10"/>
    <sheet name="Dashboard" sheetId="7" r:id="rId11"/>
    <sheet name="Report_Summary" sheetId="8" r:id="rId12"/>
    <sheet name="Answer_Key" sheetId="9" r:id="rId13"/>
    <sheet name="Administration_Guide" sheetId="10" r:id="rId14"/>
    <sheet name="Short_Form_Blueprint" sheetId="11" r:id="rId15"/>
  </sheets>
</workbook>
</file>

<file path=xl/comments1.xml><?xml version="1.0" encoding="utf-8"?>
<comments xmlns="http://schemas.openxmlformats.org/spreadsheetml/2006/main">
  <authors>
    <author>NeuroPi</author>
  </authors>
  <commentList>
    <comment ref="M11" authorId="0">
      <text>
        <r>
          <rPr>
            <sz val="11"/>
            <color indexed="8"/>
            <rFont val="Helvetica Neue"/>
          </rPr>
          <t>NeuroPi:
Enter 1-5 for Likert or A/B/C/D for cognitive MCQ items.</t>
        </r>
      </text>
    </comment>
  </commentList>
</comments>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<sst xmlns="http://schemas.openxmlformats.org/spreadsheetml/2006/main" uniqueCount="3173">
  <si>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</si>
  <si>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</si>
  <si>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</si>
  <si>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</si>
  <si>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Instructions</t>
  </si>
  <si>
    <t>Table 1</t>
  </si>
  <si>
    <t>NeuroPi Grade 8–12 Student Development Intelligence Programme - Assessment System</t>
  </si>
  <si>
    <t>Purpose</t>
  </si>
  <si>
    <t>Structured Grade 8–12 NeuroPi psychometric test across RIASEC, Big Five, Cognitive and Emotional layers, plus learning style, motivation, study habits, career clarity and validity.</t>
  </si>
  <si>
    <t>How to use</t>
  </si>
  <si>
    <t>Review Question_Bank. Enter one student’s responses in Student_Responses column M. Score_Summary, Dashboard and Report_Summary calculate automatically.</t>
  </si>
  <si>
    <t>Likert scoring</t>
  </si>
  <si>
    <t>1=Strongly Disagree/Dislike, 2=Disagree, 3=Neutral, 4=Agree, 5=Strongly Agree/Like.</t>
  </si>
  <si>
    <t>Cognitive scoring</t>
  </si>
  <si>
    <t>For MCQs, enter A/B/C/D. Correct=1, incorrect=0.</t>
  </si>
  <si>
    <t>Ethics</t>
  </si>
  <si>
    <t>Developmental guidance only; not diagnosis, not labeling, not deterministic.</t>
  </si>
  <si>
    <t>Recommended use</t>
  </si>
  <si>
    <t>Administer a short form for pilots; use full 525 item bank for adaptive item selection or platform build.</t>
  </si>
  <si>
    <t>THIS SCORING SYSTEM INCLUDES</t>
  </si>
  <si>
    <t>526 categorized questions</t>
  </si>
  <si>
    <t>RIASEC, Big Five, Cognitive, Emotional layers</t>
  </si>
  <si>
    <t>Answer key</t>
  </si>
  <si>
    <t>Student response entry</t>
  </si>
  <si>
    <t>Automated score summary</t>
  </si>
  <si>
    <t>Dashboard</t>
  </si>
  <si>
    <t>Report summary logic</t>
  </si>
  <si>
    <t>Short-form/adaptive test blueprint</t>
  </si>
  <si>
    <t>RIASEC</t>
  </si>
  <si>
    <t>R – Realistic (Doers)</t>
  </si>
  <si>
    <r>
      <rPr>
        <b val="1"/>
        <sz val="12"/>
        <color indexed="12"/>
        <rFont val="Times New Roman"/>
      </rPr>
      <t xml:space="preserve">Traits:
</t>
    </r>
    <r>
      <rPr>
        <sz val="12"/>
        <color indexed="12"/>
        <rFont val="Times New Roman"/>
      </rPr>
      <t xml:space="preserve">
</t>
    </r>
    <r>
      <rPr>
        <sz val="12"/>
        <color indexed="12"/>
        <rFont val="Times New Roman"/>
      </rPr>
      <t xml:space="preserve">* Practical
</t>
    </r>
    <r>
      <rPr>
        <sz val="12"/>
        <color indexed="12"/>
        <rFont val="Times New Roman"/>
      </rPr>
      <t xml:space="preserve">* Hands-on
</t>
    </r>
    <r>
      <rPr>
        <sz val="12"/>
        <color indexed="12"/>
        <rFont val="Times New Roman"/>
      </rPr>
      <t>* Likes working with tools, machines</t>
    </r>
  </si>
  <si>
    <r>
      <rPr>
        <b val="1"/>
        <sz val="12"/>
        <color indexed="12"/>
        <rFont val="Times New Roman"/>
      </rPr>
      <t xml:space="preserve">Careers:
</t>
    </r>
    <r>
      <rPr>
        <sz val="12"/>
        <color indexed="12"/>
        <rFont val="Times New Roman"/>
      </rPr>
      <t xml:space="preserve">
</t>
    </r>
    <r>
      <rPr>
        <sz val="12"/>
        <color indexed="12"/>
        <rFont val="Times New Roman"/>
      </rPr>
      <t xml:space="preserve">* Engineer
</t>
    </r>
    <r>
      <rPr>
        <sz val="12"/>
        <color indexed="12"/>
        <rFont val="Times New Roman"/>
      </rPr>
      <t xml:space="preserve">* Technician
</t>
    </r>
    <r>
      <rPr>
        <sz val="12"/>
        <color indexed="12"/>
        <rFont val="Times New Roman"/>
      </rPr>
      <t xml:space="preserve">* Pilot
</t>
    </r>
    <r>
      <rPr>
        <sz val="12"/>
        <color indexed="12"/>
        <rFont val="Times New Roman"/>
      </rPr>
      <t>* Mechanic</t>
    </r>
  </si>
  <si>
    <t>I – Investigative (Thinkers)</t>
  </si>
  <si>
    <r>
      <rPr>
        <b val="1"/>
        <sz val="12"/>
        <color indexed="12"/>
        <rFont val="Times New Roman"/>
      </rPr>
      <t xml:space="preserve">Traits:
</t>
    </r>
    <r>
      <rPr>
        <sz val="12"/>
        <color indexed="12"/>
        <rFont val="Times New Roman"/>
      </rPr>
      <t xml:space="preserve">
</t>
    </r>
    <r>
      <rPr>
        <sz val="12"/>
        <color indexed="12"/>
        <rFont val="Times New Roman"/>
      </rPr>
      <t xml:space="preserve">* Analytical
</t>
    </r>
    <r>
      <rPr>
        <sz val="12"/>
        <color indexed="12"/>
        <rFont val="Times New Roman"/>
      </rPr>
      <t xml:space="preserve">* Curious
</t>
    </r>
    <r>
      <rPr>
        <sz val="12"/>
        <color indexed="12"/>
        <rFont val="Times New Roman"/>
      </rPr>
      <t>* Problem-solver</t>
    </r>
  </si>
  <si>
    <r>
      <rPr>
        <b val="1"/>
        <sz val="12"/>
        <color indexed="12"/>
        <rFont val="Times New Roman"/>
      </rPr>
      <t xml:space="preserve">Careers:
</t>
    </r>
    <r>
      <rPr>
        <sz val="12"/>
        <color indexed="12"/>
        <rFont val="Times New Roman"/>
      </rPr>
      <t xml:space="preserve">
</t>
    </r>
    <r>
      <rPr>
        <sz val="12"/>
        <color indexed="12"/>
        <rFont val="Times New Roman"/>
      </rPr>
      <t xml:space="preserve">* Scientist
</t>
    </r>
    <r>
      <rPr>
        <sz val="12"/>
        <color indexed="12"/>
        <rFont val="Times New Roman"/>
      </rPr>
      <t xml:space="preserve">* Doctor
</t>
    </r>
    <r>
      <rPr>
        <sz val="12"/>
        <color indexed="12"/>
        <rFont val="Times New Roman"/>
      </rPr>
      <t xml:space="preserve">* Data analyst
</t>
    </r>
    <r>
      <rPr>
        <sz val="12"/>
        <color indexed="12"/>
        <rFont val="Times New Roman"/>
      </rPr>
      <t>* Researcher</t>
    </r>
  </si>
  <si>
    <t>A – Artistic (Creators)</t>
  </si>
  <si>
    <r>
      <rPr>
        <b val="1"/>
        <sz val="12"/>
        <color indexed="12"/>
        <rFont val="Times New Roman"/>
      </rPr>
      <t xml:space="preserve">Traits:
</t>
    </r>
    <r>
      <rPr>
        <sz val="12"/>
        <color indexed="12"/>
        <rFont val="Times New Roman"/>
      </rPr>
      <t xml:space="preserve">
</t>
    </r>
    <r>
      <rPr>
        <sz val="12"/>
        <color indexed="12"/>
        <rFont val="Times New Roman"/>
      </rPr>
      <t xml:space="preserve">* Creative
</t>
    </r>
    <r>
      <rPr>
        <sz val="12"/>
        <color indexed="12"/>
        <rFont val="Times New Roman"/>
      </rPr>
      <t xml:space="preserve">* Expressive
</t>
    </r>
    <r>
      <rPr>
        <sz val="12"/>
        <color indexed="12"/>
        <rFont val="Times New Roman"/>
      </rPr>
      <t xml:space="preserve">* Imaginative
</t>
    </r>
  </si>
  <si>
    <r>
      <rPr>
        <b val="1"/>
        <sz val="12"/>
        <color indexed="12"/>
        <rFont val="Times New Roman"/>
      </rPr>
      <t xml:space="preserve">Careers:
</t>
    </r>
    <r>
      <rPr>
        <sz val="12"/>
        <color indexed="12"/>
        <rFont val="Times New Roman"/>
      </rPr>
      <t xml:space="preserve">
</t>
    </r>
    <r>
      <rPr>
        <sz val="12"/>
        <color indexed="12"/>
        <rFont val="Times New Roman"/>
      </rPr>
      <t xml:space="preserve">* Designer
</t>
    </r>
    <r>
      <rPr>
        <sz val="12"/>
        <color indexed="12"/>
        <rFont val="Times New Roman"/>
      </rPr>
      <t xml:space="preserve">* Writer
</t>
    </r>
    <r>
      <rPr>
        <sz val="12"/>
        <color indexed="12"/>
        <rFont val="Times New Roman"/>
      </rPr>
      <t xml:space="preserve">* Musician
</t>
    </r>
    <r>
      <rPr>
        <sz val="12"/>
        <color indexed="12"/>
        <rFont val="Times New Roman"/>
      </rPr>
      <t>* Actor</t>
    </r>
  </si>
  <si>
    <t>S – Social (Helpers)</t>
  </si>
  <si>
    <r>
      <rPr>
        <b val="1"/>
        <sz val="12"/>
        <color indexed="12"/>
        <rFont val="Times New Roman"/>
      </rPr>
      <t xml:space="preserve">Traits:
</t>
    </r>
    <r>
      <rPr>
        <sz val="12"/>
        <color indexed="12"/>
        <rFont val="Times New Roman"/>
      </rPr>
      <t xml:space="preserve">
</t>
    </r>
    <r>
      <rPr>
        <sz val="12"/>
        <color indexed="12"/>
        <rFont val="Times New Roman"/>
      </rPr>
      <t xml:space="preserve">* Empathetic
</t>
    </r>
    <r>
      <rPr>
        <sz val="12"/>
        <color indexed="12"/>
        <rFont val="Times New Roman"/>
      </rPr>
      <t xml:space="preserve">* Supportive
</t>
    </r>
    <r>
      <rPr>
        <sz val="12"/>
        <color indexed="12"/>
        <rFont val="Times New Roman"/>
      </rPr>
      <t>* Likes helping people</t>
    </r>
  </si>
  <si>
    <r>
      <rPr>
        <b val="1"/>
        <sz val="12"/>
        <color indexed="12"/>
        <rFont val="Times New Roman"/>
      </rPr>
      <t xml:space="preserve">Careers:
</t>
    </r>
    <r>
      <rPr>
        <sz val="12"/>
        <color indexed="12"/>
        <rFont val="Times New Roman"/>
      </rPr>
      <t xml:space="preserve">
</t>
    </r>
    <r>
      <rPr>
        <sz val="12"/>
        <color indexed="12"/>
        <rFont val="Times New Roman"/>
      </rPr>
      <t xml:space="preserve">* Teacher
</t>
    </r>
    <r>
      <rPr>
        <sz val="12"/>
        <color indexed="12"/>
        <rFont val="Times New Roman"/>
      </rPr>
      <t xml:space="preserve">* Counselor
</t>
    </r>
    <r>
      <rPr>
        <sz val="12"/>
        <color indexed="12"/>
        <rFont val="Times New Roman"/>
      </rPr>
      <t xml:space="preserve">* Psychologist
</t>
    </r>
    <r>
      <rPr>
        <sz val="12"/>
        <color indexed="12"/>
        <rFont val="Times New Roman"/>
      </rPr>
      <t>* Nurse</t>
    </r>
  </si>
  <si>
    <t>E – Enterprising (Leaders)</t>
  </si>
  <si>
    <r>
      <rPr>
        <b val="1"/>
        <sz val="12"/>
        <color indexed="12"/>
        <rFont val="Times New Roman"/>
      </rPr>
      <t xml:space="preserve">Traits:
</t>
    </r>
    <r>
      <rPr>
        <sz val="12"/>
        <color indexed="12"/>
        <rFont val="Times New Roman"/>
      </rPr>
      <t xml:space="preserve">
</t>
    </r>
    <r>
      <rPr>
        <sz val="12"/>
        <color indexed="12"/>
        <rFont val="Times New Roman"/>
      </rPr>
      <t xml:space="preserve">* Confident
</t>
    </r>
    <r>
      <rPr>
        <sz val="12"/>
        <color indexed="12"/>
        <rFont val="Times New Roman"/>
      </rPr>
      <t xml:space="preserve">* Persuasive
</t>
    </r>
    <r>
      <rPr>
        <sz val="12"/>
        <color indexed="12"/>
        <rFont val="Times New Roman"/>
      </rPr>
      <t>* Leadership-oriented</t>
    </r>
  </si>
  <si>
    <r>
      <rPr>
        <b val="1"/>
        <sz val="12"/>
        <color indexed="12"/>
        <rFont val="Times New Roman"/>
      </rPr>
      <t xml:space="preserve">Careers:
</t>
    </r>
    <r>
      <rPr>
        <sz val="12"/>
        <color indexed="12"/>
        <rFont val="Times New Roman"/>
      </rPr>
      <t xml:space="preserve">
</t>
    </r>
    <r>
      <rPr>
        <sz val="12"/>
        <color indexed="12"/>
        <rFont val="Times New Roman"/>
      </rPr>
      <t xml:space="preserve">* Entrepreneur
</t>
    </r>
    <r>
      <rPr>
        <sz val="12"/>
        <color indexed="12"/>
        <rFont val="Times New Roman"/>
      </rPr>
      <t xml:space="preserve">* Manager
</t>
    </r>
    <r>
      <rPr>
        <sz val="12"/>
        <color indexed="12"/>
        <rFont val="Times New Roman"/>
      </rPr>
      <t xml:space="preserve">* Lawyer
</t>
    </r>
    <r>
      <rPr>
        <sz val="12"/>
        <color indexed="12"/>
        <rFont val="Times New Roman"/>
      </rPr>
      <t>* Sales leader</t>
    </r>
  </si>
  <si>
    <t>C – Conventional (Organizers)</t>
  </si>
  <si>
    <r>
      <rPr>
        <b val="1"/>
        <sz val="12"/>
        <color indexed="12"/>
        <rFont val="Times New Roman"/>
      </rPr>
      <t xml:space="preserve">Traits:
</t>
    </r>
    <r>
      <rPr>
        <sz val="12"/>
        <color indexed="12"/>
        <rFont val="Times New Roman"/>
      </rPr>
      <t xml:space="preserve">
</t>
    </r>
    <r>
      <rPr>
        <sz val="12"/>
        <color indexed="12"/>
        <rFont val="Times New Roman"/>
      </rPr>
      <t xml:space="preserve">* Organized
</t>
    </r>
    <r>
      <rPr>
        <sz val="12"/>
        <color indexed="12"/>
        <rFont val="Times New Roman"/>
      </rPr>
      <t xml:space="preserve">* Detail-oriented
</t>
    </r>
    <r>
      <rPr>
        <sz val="12"/>
        <color indexed="12"/>
        <rFont val="Times New Roman"/>
      </rPr>
      <t>* Structured</t>
    </r>
  </si>
  <si>
    <r>
      <rPr>
        <b val="1"/>
        <sz val="12"/>
        <color indexed="12"/>
        <rFont val="Times New Roman"/>
      </rPr>
      <t xml:space="preserve">Careers:
</t>
    </r>
    <r>
      <rPr>
        <sz val="12"/>
        <color indexed="12"/>
        <rFont val="Times New Roman"/>
      </rPr>
      <t xml:space="preserve">
</t>
    </r>
    <r>
      <rPr>
        <sz val="12"/>
        <color indexed="12"/>
        <rFont val="Times New Roman"/>
      </rPr>
      <t xml:space="preserve">* Accountant
</t>
    </r>
    <r>
      <rPr>
        <sz val="12"/>
        <color indexed="12"/>
        <rFont val="Times New Roman"/>
      </rPr>
      <t xml:space="preserve">* Banker
</t>
    </r>
    <r>
      <rPr>
        <sz val="12"/>
        <color indexed="12"/>
        <rFont val="Times New Roman"/>
      </rPr>
      <t xml:space="preserve">* Administrator
</t>
    </r>
    <r>
      <rPr>
        <sz val="12"/>
        <color indexed="12"/>
        <rFont val="Times New Roman"/>
      </rPr>
      <t>* Data manager</t>
    </r>
  </si>
  <si>
    <r>
      <rPr>
        <b val="1"/>
        <sz val="14"/>
        <color indexed="12"/>
        <rFont val="Times New Roman"/>
      </rPr>
      <t>Big Five Traits (OCEAN) = 5 Core Traits</t>
    </r>
  </si>
  <si>
    <t>O – Openness to Experience</t>
  </si>
  <si>
    <r>
      <rPr>
        <b val="1"/>
        <sz val="12"/>
        <color indexed="12"/>
        <rFont val="Times New Roman"/>
      </rPr>
      <t xml:space="preserve">What it means:
</t>
    </r>
    <r>
      <rPr>
        <sz val="12"/>
        <color indexed="12"/>
        <rFont val="Times New Roman"/>
      </rPr>
      <t xml:space="preserve">Curiosity, imagination, creativity
</t>
    </r>
    <r>
      <rPr>
        <sz val="12"/>
        <color indexed="12"/>
        <rFont val="Times New Roman"/>
      </rPr>
      <t>Openness to new ideas and experiences</t>
    </r>
  </si>
  <si>
    <r>
      <rPr>
        <b val="1"/>
        <sz val="12"/>
        <color indexed="12"/>
        <rFont val="Times New Roman"/>
      </rPr>
      <t xml:space="preserve">High Openness:
</t>
    </r>
    <r>
      <rPr>
        <sz val="12"/>
        <color indexed="12"/>
        <rFont val="Times New Roman"/>
      </rPr>
      <t>Creative, imaginative, curious</t>
    </r>
  </si>
  <si>
    <r>
      <rPr>
        <b val="1"/>
        <sz val="12"/>
        <color indexed="12"/>
        <rFont val="Times New Roman"/>
      </rPr>
      <t xml:space="preserve">Low Openness:
</t>
    </r>
    <r>
      <rPr>
        <sz val="12"/>
        <color indexed="12"/>
        <rFont val="Times New Roman"/>
      </rPr>
      <t>Practical, prefers routine, traditional</t>
    </r>
  </si>
  <si>
    <t>C – Conscientiousness</t>
  </si>
  <si>
    <r>
      <rPr>
        <b val="1"/>
        <sz val="12"/>
        <color indexed="12"/>
        <rFont val="Times New Roman"/>
      </rPr>
      <t xml:space="preserve">What it means:
</t>
    </r>
    <r>
      <rPr>
        <sz val="12"/>
        <color indexed="12"/>
        <rFont val="Times New Roman"/>
      </rPr>
      <t>Discipline, organization, responsibility</t>
    </r>
  </si>
  <si>
    <r>
      <rPr>
        <b val="1"/>
        <sz val="12"/>
        <color indexed="12"/>
        <rFont val="Times New Roman"/>
      </rPr>
      <t xml:space="preserve">High Conscientiousness:
</t>
    </r>
    <r>
      <rPr>
        <sz val="12"/>
        <color indexed="12"/>
        <rFont val="Times New Roman"/>
      </rPr>
      <t>Structured, reliable, goal-oriented</t>
    </r>
  </si>
  <si>
    <r>
      <rPr>
        <b val="1"/>
        <sz val="12"/>
        <color indexed="12"/>
        <rFont val="Times New Roman"/>
      </rPr>
      <t xml:space="preserve">Low Conscientiousness:
</t>
    </r>
    <r>
      <rPr>
        <sz val="12"/>
        <color indexed="12"/>
        <rFont val="Times New Roman"/>
      </rPr>
      <t>Disorganized, inconsistent, impulsive</t>
    </r>
  </si>
  <si>
    <r>
      <rPr>
        <sz val="12"/>
        <color indexed="12"/>
        <rFont val="Times New Roman"/>
      </rPr>
      <t xml:space="preserve"> </t>
    </r>
    <r>
      <rPr>
        <b val="1"/>
        <sz val="12"/>
        <color indexed="12"/>
        <rFont val="Times New Roman"/>
      </rPr>
      <t>E – Extraversion</t>
    </r>
  </si>
  <si>
    <r>
      <rPr>
        <b val="1"/>
        <sz val="12"/>
        <color indexed="12"/>
        <rFont val="Times New Roman"/>
      </rPr>
      <t xml:space="preserve">What it means:
</t>
    </r>
    <r>
      <rPr>
        <sz val="12"/>
        <color indexed="12"/>
        <rFont val="Times New Roman"/>
      </rPr>
      <t>Energy from social interaction</t>
    </r>
  </si>
  <si>
    <r>
      <rPr>
        <b val="1"/>
        <sz val="12"/>
        <color indexed="12"/>
        <rFont val="Times New Roman"/>
      </rPr>
      <t xml:space="preserve">High Extraversion:
</t>
    </r>
    <r>
      <rPr>
        <sz val="12"/>
        <color indexed="12"/>
        <rFont val="Times New Roman"/>
      </rPr>
      <t>Outgoing, talkative, energetic</t>
    </r>
  </si>
  <si>
    <r>
      <rPr>
        <b val="1"/>
        <sz val="12"/>
        <color indexed="12"/>
        <rFont val="Times New Roman"/>
      </rPr>
      <t xml:space="preserve">Low Extraversion (Introversion):
</t>
    </r>
    <r>
      <rPr>
        <sz val="12"/>
        <color indexed="12"/>
        <rFont val="Times New Roman"/>
      </rPr>
      <t>Quiet, reflective, prefers solitude</t>
    </r>
  </si>
  <si>
    <t>A – Agreeableness</t>
  </si>
  <si>
    <r>
      <rPr>
        <b val="1"/>
        <sz val="12"/>
        <color indexed="12"/>
        <rFont val="Times New Roman"/>
      </rPr>
      <t xml:space="preserve">What it means:
</t>
    </r>
    <r>
      <rPr>
        <sz val="12"/>
        <color indexed="12"/>
        <rFont val="Times New Roman"/>
      </rPr>
      <t>Kindness, empathy, cooperation</t>
    </r>
  </si>
  <si>
    <r>
      <rPr>
        <b val="1"/>
        <sz val="12"/>
        <color indexed="12"/>
        <rFont val="Times New Roman"/>
      </rPr>
      <t xml:space="preserve">High Agreeableness:
</t>
    </r>
    <r>
      <rPr>
        <sz val="12"/>
        <color indexed="12"/>
        <rFont val="Times New Roman"/>
      </rPr>
      <t>Supportive, compassionate</t>
    </r>
  </si>
  <si>
    <r>
      <rPr>
        <b val="1"/>
        <sz val="12"/>
        <color indexed="12"/>
        <rFont val="Times New Roman"/>
      </rPr>
      <t xml:space="preserve">Low Agreeableness:
</t>
    </r>
    <r>
      <rPr>
        <sz val="12"/>
        <color indexed="12"/>
        <rFont val="Times New Roman"/>
      </rPr>
      <t>Competitive, direct, less emotionally expressive</t>
    </r>
  </si>
  <si>
    <r>
      <rPr>
        <b val="1"/>
        <sz val="12"/>
        <color indexed="12"/>
        <rFont val="Times New Roman"/>
      </rPr>
      <t>N – Neuroticism (Emotional Stability)</t>
    </r>
  </si>
  <si>
    <t>Scoring_Map</t>
  </si>
  <si>
    <t>Scoring Map</t>
  </si>
  <si>
    <t>Interpretation bands and counselor actions</t>
  </si>
  <si>
    <t>Domain</t>
  </si>
  <si>
    <t>Subdomain</t>
  </si>
  <si>
    <t>Low Interpretation</t>
  </si>
  <si>
    <t>Moderate Interpretation</t>
  </si>
  <si>
    <t>High Interpretation</t>
  </si>
  <si>
    <t>Counselor Action</t>
  </si>
  <si>
    <t>R</t>
  </si>
  <si>
    <t>Practical exposure needed before hands-on pathways are recommended.</t>
  </si>
  <si>
    <t>Balanced interest in practical activities.</t>
  </si>
  <si>
    <t>Strong practical, hands-on interest.</t>
  </si>
  <si>
    <t>Offer lab, robotics, field and technical exposure.</t>
  </si>
  <si>
    <t>I</t>
  </si>
  <si>
    <t>Needs guided curiosity-building.</t>
  </si>
  <si>
    <t>Moderate analytical interest.</t>
  </si>
  <si>
    <t>Strong science/research/problem-solving interest.</t>
  </si>
  <si>
    <t>Offer STEM, research, data and inquiry-based pathways.</t>
  </si>
  <si>
    <t>A</t>
  </si>
  <si>
    <t>Creative interests not currently dominant.</t>
  </si>
  <si>
    <t>Some creative expression.</t>
  </si>
  <si>
    <t>Strong creative and expressive interests.</t>
  </si>
  <si>
    <t>Offer design, media, writing and portfolio options.</t>
  </si>
  <si>
    <t>S</t>
  </si>
  <si>
    <t>May prefer independent work.</t>
  </si>
  <si>
    <t>Balanced people orientation.</t>
  </si>
  <si>
    <t>Strong helping, teaching and mentoring orientation.</t>
  </si>
  <si>
    <t>Offer psychology, teaching, healthcare and social impact exposure.</t>
  </si>
  <si>
    <t>E</t>
  </si>
  <si>
    <t>May prefer non-leadership roles initially.</t>
  </si>
  <si>
    <t>Some leadership potential.</t>
  </si>
  <si>
    <t>Strong enterprise and influence orientation.</t>
  </si>
  <si>
    <t>Offer entrepreneurship, management, law and public speaking.</t>
  </si>
  <si>
    <t>C</t>
  </si>
  <si>
    <t>May resist routine.</t>
  </si>
  <si>
    <t>Can work with structure.</t>
  </si>
  <si>
    <t>Strong organizing and process orientation.</t>
  </si>
  <si>
    <t>Offer finance, operations, analytics and administration exposure.</t>
  </si>
  <si>
    <t>Big Five</t>
  </si>
  <si>
    <t>Openness</t>
  </si>
  <si>
    <t>Prefers familiar methods.</t>
  </si>
  <si>
    <t>Balanced curiosity and practicality.</t>
  </si>
  <si>
    <t>Curious, imaginative and open to new ideas.</t>
  </si>
  <si>
    <t>Use exploratory projects and innovation tasks.</t>
  </si>
  <si>
    <t>Conscientiousness</t>
  </si>
  <si>
    <t>Needs routines and accountability.</t>
  </si>
  <si>
    <t>Consistent with support.</t>
  </si>
  <si>
    <t>Organized and reliable.</t>
  </si>
  <si>
    <t>Use structured plans and deadlines.</t>
  </si>
  <si>
    <t>Extraversion</t>
  </si>
  <si>
    <t>Prefers quiet independent work.</t>
  </si>
  <si>
    <t>Comfortable alone and in groups.</t>
  </si>
  <si>
    <t>Energized by interaction.</t>
  </si>
  <si>
    <t>Use group work, presentations and mentoring roles.</t>
  </si>
  <si>
    <t>Agreeableness</t>
  </si>
  <si>
    <t>May be direct or competitive.</t>
  </si>
  <si>
    <t>Balanced cooperation.</t>
  </si>
  <si>
    <t>Empathetic and supportive.</t>
  </si>
  <si>
    <t>Use teamwork and peer-support roles.</t>
  </si>
  <si>
    <t>Neuroticism</t>
  </si>
  <si>
    <t>Emotionally steady under pressure.</t>
  </si>
  <si>
    <t>Some stress sensitivity.</t>
  </si>
  <si>
    <t>High stress sensitivity; pressure may affect performance.</t>
  </si>
  <si>
    <t>Recommend emotional safety and stress strategies.</t>
  </si>
  <si>
    <t>Cognitive</t>
  </si>
  <si>
    <t>Logic</t>
  </si>
  <si>
    <t>Needs step-by-step reasoning support.</t>
  </si>
  <si>
    <t>Developing logical reasoning.</t>
  </si>
  <si>
    <t>Strong logical reasoning.</t>
  </si>
  <si>
    <t>Use analytical problem-solving tasks.</t>
  </si>
  <si>
    <t>Numerical</t>
  </si>
  <si>
    <t>Needs number confidence practice.</t>
  </si>
  <si>
    <t>Balanced numerical reasoning.</t>
  </si>
  <si>
    <t>Strong numerical reasoning.</t>
  </si>
  <si>
    <t>Consider math, data, finance, engineering exposure.</t>
  </si>
  <si>
    <t>Verbal</t>
  </si>
  <si>
    <t>Needs vocabulary/comprehension support.</t>
  </si>
  <si>
    <t>Balanced verbal reasoning.</t>
  </si>
  <si>
    <t>Strong verbal reasoning.</t>
  </si>
  <si>
    <t>Consider communication, law, humanities, writing.</t>
  </si>
  <si>
    <t>Abstract</t>
  </si>
  <si>
    <t>Needs pattern-thinking practice.</t>
  </si>
  <si>
    <t>Developing abstract reasoning.</t>
  </si>
  <si>
    <t>Strong abstract pattern recognition.</t>
  </si>
  <si>
    <t>Useful for coding, design logic, math and science.</t>
  </si>
  <si>
    <t>Spatial</t>
  </si>
  <si>
    <t>Needs visual-spatial practice.</t>
  </si>
  <si>
    <t>Balanced spatial ability.</t>
  </si>
  <si>
    <t>Strong spatial reasoning.</t>
  </si>
  <si>
    <t>Consider design, architecture, engineering, robotics.</t>
  </si>
  <si>
    <t>Emotional</t>
  </si>
  <si>
    <t>Stress</t>
  </si>
  <si>
    <t>Low reported stress.</t>
  </si>
  <si>
    <t>Moderate stress response.</t>
  </si>
  <si>
    <t>High stress or exam pressure.</t>
  </si>
  <si>
    <t>Use calming plans, realistic expectations and breaks.</t>
  </si>
  <si>
    <t>Confidence</t>
  </si>
  <si>
    <t>Low confidence; may understate ability.</t>
  </si>
  <si>
    <t>Moderate confidence.</t>
  </si>
  <si>
    <t>Strong self-belief.</t>
  </si>
  <si>
    <t>Build small wins and affirm effort.</t>
  </si>
  <si>
    <t>Resilience</t>
  </si>
  <si>
    <t>May give up quickly after setbacks.</t>
  </si>
  <si>
    <t>Can recover with support.</t>
  </si>
  <si>
    <t>Strong persistence.</t>
  </si>
  <si>
    <t>Encourage challenging but safe goals.</t>
  </si>
  <si>
    <t>Coping</t>
  </si>
  <si>
    <t>Needs healthier coping strategies.</t>
  </si>
  <si>
    <t>Uses some helpful coping.</t>
  </si>
  <si>
    <t>Uses constructive coping.</t>
  </si>
  <si>
    <t>Teach planning, help-seeking and regulation.</t>
  </si>
  <si>
    <t>Learning</t>
  </si>
  <si>
    <t>Visual</t>
  </si>
  <si>
    <t>Visual mode not dominant.</t>
  </si>
  <si>
    <t>Balanced visual preference.</t>
  </si>
  <si>
    <t>Strong visual preference.</t>
  </si>
  <si>
    <t>Use diagrams, charts and demonstrations.</t>
  </si>
  <si>
    <t>Auditory</t>
  </si>
  <si>
    <t>Listening mode not dominant.</t>
  </si>
  <si>
    <t>Balanced auditory preference.</t>
  </si>
  <si>
    <t>Strong auditory preference.</t>
  </si>
  <si>
    <t>Use explanations and discussion.</t>
  </si>
  <si>
    <t>Kinesthetic</t>
  </si>
  <si>
    <t>Hands-on learning not dominant.</t>
  </si>
  <si>
    <t>Balanced kinesthetic preference.</t>
  </si>
  <si>
    <t>Strong learning-by-doing preference.</t>
  </si>
  <si>
    <t>Use experiments, models and practice.</t>
  </si>
  <si>
    <t>ReadingWriting</t>
  </si>
  <si>
    <t>Text mode not dominant.</t>
  </si>
  <si>
    <t>Balanced text learning.</t>
  </si>
  <si>
    <t>Strong reading/writing preference.</t>
  </si>
  <si>
    <t>Use notes, summaries and checklists.</t>
  </si>
  <si>
    <t>Additional</t>
  </si>
  <si>
    <t>Motivation</t>
  </si>
  <si>
    <t>Needs motivation support.</t>
  </si>
  <si>
    <t>Moderate motivation.</t>
  </si>
  <si>
    <t>Strong goal orientation.</t>
  </si>
  <si>
    <t>Use goal planning and feedback.</t>
  </si>
  <si>
    <t>StudyHabits</t>
  </si>
  <si>
    <t>Needs study routine support.</t>
  </si>
  <si>
    <t>Some habits present.</t>
  </si>
  <si>
    <t>Strong study habits.</t>
  </si>
  <si>
    <t>Maintain routines and upgrade strategy.</t>
  </si>
  <si>
    <t>CareerClarity</t>
  </si>
  <si>
    <t>Needs exploration.</t>
  </si>
  <si>
    <t>Some options emerging.</t>
  </si>
  <si>
    <t>Strong career clarity.</t>
  </si>
  <si>
    <t>Validate choices through exposure.</t>
  </si>
  <si>
    <t>Validity</t>
  </si>
  <si>
    <t>Response consistency needs review.</t>
  </si>
  <si>
    <t>Generally usable pattern.</t>
  </si>
  <si>
    <t>Strong consistency.</t>
  </si>
  <si>
    <t>If low, re-administer or interview student.</t>
  </si>
  <si>
    <t>Question_Bank</t>
  </si>
  <si>
    <t>NeuroPi Question Bank — Grade 8 to Grade 12</t>
  </si>
  <si>
    <t>525 categorized items for platform build, adaptive tests or school deployment</t>
  </si>
  <si>
    <t>QID</t>
  </si>
  <si>
    <t>Grade Band</t>
  </si>
  <si>
    <t>Trait/Code</t>
  </si>
  <si>
    <t>Question Type</t>
  </si>
  <si>
    <t>Question</t>
  </si>
  <si>
    <t>Option A</t>
  </si>
  <si>
    <t>Option B</t>
  </si>
  <si>
    <t>Option C</t>
  </si>
  <si>
    <t>Option D</t>
  </si>
  <si>
    <t>Correct/Key</t>
  </si>
  <si>
    <t>Scale / Scoring</t>
  </si>
  <si>
    <t>Reverse Scored</t>
  </si>
  <si>
    <t>Difficulty</t>
  </si>
  <si>
    <t>Report Tag</t>
  </si>
  <si>
    <t>Counselor Note</t>
  </si>
  <si>
    <t>NPI0001</t>
  </si>
  <si>
    <t>8-12</t>
  </si>
  <si>
    <t>RIASEC Interest</t>
  </si>
  <si>
    <t>Realistic</t>
  </si>
  <si>
    <t>Likert</t>
  </si>
  <si>
    <t>I enjoy activities involving building or fixing things.</t>
  </si>
  <si>
    <t>1-5 Likert: 1=Strongly Disagree/Dislike, 5=Strongly Agree/Like</t>
  </si>
  <si>
    <t>No</t>
  </si>
  <si>
    <t>Easy</t>
  </si>
  <si>
    <t>Realistic Interest</t>
  </si>
  <si>
    <t>Higher response increases interest score.</t>
  </si>
  <si>
    <t>NPI0002</t>
  </si>
  <si>
    <t>I enjoy activities involving using tools or equipment.</t>
  </si>
  <si>
    <t>NPI0003</t>
  </si>
  <si>
    <t>I enjoy activities involving robotics or electronics.</t>
  </si>
  <si>
    <t>NPI0004</t>
  </si>
  <si>
    <t>I enjoy activities involving field activities.</t>
  </si>
  <si>
    <t>NPI0005</t>
  </si>
  <si>
    <t>I enjoy activities involving technical workshops.</t>
  </si>
  <si>
    <t>NPI0006</t>
  </si>
  <si>
    <t>I enjoy activities involving hands-on science labs.</t>
  </si>
  <si>
    <t>NPI0007</t>
  </si>
  <si>
    <t>I enjoy activities involving repairing devices.</t>
  </si>
  <si>
    <t>NPI0008</t>
  </si>
  <si>
    <t>I enjoy activities involving making useful models.</t>
  </si>
  <si>
    <t>NPI0009</t>
  </si>
  <si>
    <t>I enjoy activities involving practical experiments.</t>
  </si>
  <si>
    <t>Medium</t>
  </si>
  <si>
    <t>NPI0010</t>
  </si>
  <si>
    <t>I enjoy activities involving engineering activities.</t>
  </si>
  <si>
    <t>NPI0011</t>
  </si>
  <si>
    <t>I enjoy activities involving machines and systems.</t>
  </si>
  <si>
    <t>NPI0012</t>
  </si>
  <si>
    <t>I enjoy activities involving outdoor problem-solving.</t>
  </si>
  <si>
    <t>NPI0013</t>
  </si>
  <si>
    <t>I enjoy activities involving working with materials.</t>
  </si>
  <si>
    <t>NPI0014</t>
  </si>
  <si>
    <t>I enjoy activities involving physical precision tasks.</t>
  </si>
  <si>
    <t>NPI0015</t>
  </si>
  <si>
    <t>I enjoy activities involving applied technology.</t>
  </si>
  <si>
    <t>NPI0016</t>
  </si>
  <si>
    <t>Investigative</t>
  </si>
  <si>
    <t>I enjoy activities involving solving puzzles.</t>
  </si>
  <si>
    <t>Investigative Interest</t>
  </si>
  <si>
    <t>NPI0017</t>
  </si>
  <si>
    <t>I enjoy activities involving asking why things happen.</t>
  </si>
  <si>
    <t>NPI0018</t>
  </si>
  <si>
    <t>I enjoy activities involving science experiments.</t>
  </si>
  <si>
    <t>NPI0019</t>
  </si>
  <si>
    <t>I enjoy activities involving analyzing data.</t>
  </si>
  <si>
    <t>NPI0020</t>
  </si>
  <si>
    <t>I enjoy activities involving research projects.</t>
  </si>
  <si>
    <t>NPI0021</t>
  </si>
  <si>
    <t>I enjoy activities involving deep-thinking subjects.</t>
  </si>
  <si>
    <t>NPI0022</t>
  </si>
  <si>
    <t>I enjoy activities involving finding patterns.</t>
  </si>
  <si>
    <t>NPI0023</t>
  </si>
  <si>
    <t>I enjoy activities involving medical or technology topics.</t>
  </si>
  <si>
    <t>NPI0024</t>
  </si>
  <si>
    <t>I enjoy activities involving evidence-based decisions.</t>
  </si>
  <si>
    <t>NPI0025</t>
  </si>
  <si>
    <t>I enjoy activities involving mathematical challenges.</t>
  </si>
  <si>
    <t>NPI0026</t>
  </si>
  <si>
    <t>I enjoy activities involving independent inquiry.</t>
  </si>
  <si>
    <t>NPI0027</t>
  </si>
  <si>
    <t>I enjoy activities involving understanding causes.</t>
  </si>
  <si>
    <t>NPI0028</t>
  </si>
  <si>
    <t>I enjoy activities involving testing ideas.</t>
  </si>
  <si>
    <t>NPI0029</t>
  </si>
  <si>
    <t>I enjoy activities involving logic problems.</t>
  </si>
  <si>
    <t>NPI0030</t>
  </si>
  <si>
    <t>I enjoy activities involving scientific discovery.</t>
  </si>
  <si>
    <t>NPI0031</t>
  </si>
  <si>
    <t>Artistic</t>
  </si>
  <si>
    <t>I enjoy activities involving drawing or design.</t>
  </si>
  <si>
    <t>Artistic Interest</t>
  </si>
  <si>
    <t>NPI0032</t>
  </si>
  <si>
    <t>I enjoy activities involving music or performance.</t>
  </si>
  <si>
    <t>NPI0033</t>
  </si>
  <si>
    <t>I enjoy activities involving creative writing.</t>
  </si>
  <si>
    <t>NPI0034</t>
  </si>
  <si>
    <t>I enjoy activities involving making original work.</t>
  </si>
  <si>
    <t>NPI0035</t>
  </si>
  <si>
    <t>I enjoy activities involving visual communication.</t>
  </si>
  <si>
    <t>NPI0036</t>
  </si>
  <si>
    <t>I enjoy activities involving storytelling.</t>
  </si>
  <si>
    <t>NPI0037</t>
  </si>
  <si>
    <t>I enjoy activities involving media creation.</t>
  </si>
  <si>
    <t>NPI0038</t>
  </si>
  <si>
    <t>I enjoy activities involving open-ended projects.</t>
  </si>
  <si>
    <t>NPI0039</t>
  </si>
  <si>
    <t>I enjoy activities involving aesthetic choices.</t>
  </si>
  <si>
    <t>NPI0040</t>
  </si>
  <si>
    <t>I enjoy activities involving imaginative assignments.</t>
  </si>
  <si>
    <t>NPI0041</t>
  </si>
  <si>
    <t>I enjoy activities involving designing posters.</t>
  </si>
  <si>
    <t>NPI0042</t>
  </si>
  <si>
    <t>I enjoy activities involving creating videos.</t>
  </si>
  <si>
    <t>NPI0043</t>
  </si>
  <si>
    <t>I enjoy activities involving expressing emotions.</t>
  </si>
  <si>
    <t>NPI0044</t>
  </si>
  <si>
    <t>I enjoy activities involving creative technology.</t>
  </si>
  <si>
    <t>NPI0045</t>
  </si>
  <si>
    <t>I enjoy activities involving portfolio work.</t>
  </si>
  <si>
    <t>NPI0046</t>
  </si>
  <si>
    <t>Social</t>
  </si>
  <si>
    <t>I enjoy activities involving helping classmates.</t>
  </si>
  <si>
    <t>Social Interest</t>
  </si>
  <si>
    <t>NPI0047</t>
  </si>
  <si>
    <t>I enjoy activities involving listening to others.</t>
  </si>
  <si>
    <t>NPI0048</t>
  </si>
  <si>
    <t>I enjoy activities involving teaching younger students.</t>
  </si>
  <si>
    <t>NPI0049</t>
  </si>
  <si>
    <t>I enjoy activities involving counseling or mentoring.</t>
  </si>
  <si>
    <t>NPI0050</t>
  </si>
  <si>
    <t>I enjoy activities involving team support.</t>
  </si>
  <si>
    <t>NPI0051</t>
  </si>
  <si>
    <t>I enjoy activities involving community service.</t>
  </si>
  <si>
    <t>NPI0052</t>
  </si>
  <si>
    <t>I enjoy activities involving patient explanation.</t>
  </si>
  <si>
    <t>NPI0053</t>
  </si>
  <si>
    <t>I enjoy activities involving including others.</t>
  </si>
  <si>
    <t>NPI0054</t>
  </si>
  <si>
    <t>I enjoy activities involving understanding feelings.</t>
  </si>
  <si>
    <t>NPI0055</t>
  </si>
  <si>
    <t>I enjoy activities involving healthcare roles.</t>
  </si>
  <si>
    <t>NPI0056</t>
  </si>
  <si>
    <t>I enjoy activities involving psychology topics.</t>
  </si>
  <si>
    <t>NPI0057</t>
  </si>
  <si>
    <t>I enjoy activities involving peer support.</t>
  </si>
  <si>
    <t>NPI0058</t>
  </si>
  <si>
    <t>I enjoy activities involving volunteering.</t>
  </si>
  <si>
    <t>NPI0059</t>
  </si>
  <si>
    <t>I enjoy activities involving conflict resolution.</t>
  </si>
  <si>
    <t>NPI0060</t>
  </si>
  <si>
    <t>I enjoy activities involving cooperative projects.</t>
  </si>
  <si>
    <t>NPI0061</t>
  </si>
  <si>
    <t>Enterprising</t>
  </si>
  <si>
    <t>I enjoy activities involving leading groups.</t>
  </si>
  <si>
    <t>Enterprising Interest</t>
  </si>
  <si>
    <t>NPI0062</t>
  </si>
  <si>
    <t>I enjoy activities involving presenting ideas.</t>
  </si>
  <si>
    <t>NPI0063</t>
  </si>
  <si>
    <t>I enjoy activities involving persuading others.</t>
  </si>
  <si>
    <t>NPI0064</t>
  </si>
  <si>
    <t>I enjoy activities involving starting initiatives.</t>
  </si>
  <si>
    <t>NPI0065</t>
  </si>
  <si>
    <t>I enjoy activities involving business activities.</t>
  </si>
  <si>
    <t>NPI0066</t>
  </si>
  <si>
    <t>I enjoy activities involving debates.</t>
  </si>
  <si>
    <t>NPI0067</t>
  </si>
  <si>
    <t>I enjoy activities involving campaign planning.</t>
  </si>
  <si>
    <t>NPI0068</t>
  </si>
  <si>
    <t>I enjoy activities involving decision-making.</t>
  </si>
  <si>
    <t>NPI0069</t>
  </si>
  <si>
    <t>I enjoy activities involving entrepreneurship.</t>
  </si>
  <si>
    <t>NPI0070</t>
  </si>
  <si>
    <t>I enjoy activities involving public speaking.</t>
  </si>
  <si>
    <t>NPI0071</t>
  </si>
  <si>
    <t>I enjoy activities involving organizing events.</t>
  </si>
  <si>
    <t>NPI0072</t>
  </si>
  <si>
    <t>I enjoy activities involving negotiating respectfully.</t>
  </si>
  <si>
    <t>NPI0073</t>
  </si>
  <si>
    <t>I enjoy activities involving goal achievement.</t>
  </si>
  <si>
    <t>NPI0074</t>
  </si>
  <si>
    <t>I enjoy activities involving taking initiative.</t>
  </si>
  <si>
    <t>NPI0075</t>
  </si>
  <si>
    <t>I enjoy activities involving solving people-and-decision problems.</t>
  </si>
  <si>
    <t>NPI0076</t>
  </si>
  <si>
    <t>Conventional</t>
  </si>
  <si>
    <t>I enjoy activities involving organizing information.</t>
  </si>
  <si>
    <t>Conventional Interest</t>
  </si>
  <si>
    <t>NPI0077</t>
  </si>
  <si>
    <t>I enjoy activities involving working with schedules.</t>
  </si>
  <si>
    <t>NPI0078</t>
  </si>
  <si>
    <t>I enjoy activities involving following instructions.</t>
  </si>
  <si>
    <t>NPI0079</t>
  </si>
  <si>
    <t>I enjoy activities involving accuracy and details.</t>
  </si>
  <si>
    <t>NPI0080</t>
  </si>
  <si>
    <t>I enjoy activities involving keeping records.</t>
  </si>
  <si>
    <t>NPI0081</t>
  </si>
  <si>
    <t>I enjoy activities involving spreadsheets.</t>
  </si>
  <si>
    <t>NPI0082</t>
  </si>
  <si>
    <t>I enjoy activities involving step-by-step work.</t>
  </si>
  <si>
    <t>NPI0083</t>
  </si>
  <si>
    <t>I enjoy activities involving checking work.</t>
  </si>
  <si>
    <t>NPI0084</t>
  </si>
  <si>
    <t>I enjoy activities involving structured routines.</t>
  </si>
  <si>
    <t>NPI0085</t>
  </si>
  <si>
    <t>I enjoy activities involving finance tasks.</t>
  </si>
  <si>
    <t>NPI0086</t>
  </si>
  <si>
    <t>I enjoy activities involving data entry.</t>
  </si>
  <si>
    <t>NPI0087</t>
  </si>
  <si>
    <t>I enjoy activities involving procedures.</t>
  </si>
  <si>
    <t>NPI0088</t>
  </si>
  <si>
    <t>I enjoy activities involving planning ahead.</t>
  </si>
  <si>
    <t>NPI0089</t>
  </si>
  <si>
    <t>I enjoy activities involving administration.</t>
  </si>
  <si>
    <t>NPI0090</t>
  </si>
  <si>
    <t>I enjoy activities involving clear rules.</t>
  </si>
  <si>
    <t>NPI0091</t>
  </si>
  <si>
    <t>Big Five Personality</t>
  </si>
  <si>
    <t>I enjoy trying new learning methods.</t>
  </si>
  <si>
    <t>Openness Trait</t>
  </si>
  <si>
    <t>Higher response increases trait score.</t>
  </si>
  <si>
    <t>NPI0092</t>
  </si>
  <si>
    <t>I enjoy exploring unfamiliar ideas.</t>
  </si>
  <si>
    <t>NPI0093</t>
  </si>
  <si>
    <t>I enjoy creative assignments.</t>
  </si>
  <si>
    <t>NPI0094</t>
  </si>
  <si>
    <t>I enjoy thinking about future possibilities.</t>
  </si>
  <si>
    <t>NPI0095</t>
  </si>
  <si>
    <t>I enjoy connecting different subjects.</t>
  </si>
  <si>
    <t>NPI0096</t>
  </si>
  <si>
    <t>I enjoy asking unusual questions.</t>
  </si>
  <si>
    <t>NPI0097</t>
  </si>
  <si>
    <t>I enjoy learning beyond the textbook.</t>
  </si>
  <si>
    <t>NPI0098</t>
  </si>
  <si>
    <t>I enjoy innovation and discovery.</t>
  </si>
  <si>
    <t>NPI0099</t>
  </si>
  <si>
    <t>I enjoy imagining new solutions.</t>
  </si>
  <si>
    <t>NPI0100</t>
  </si>
  <si>
    <t>I enjoy understanding different viewpoints.</t>
  </si>
  <si>
    <t>NPI0101</t>
  </si>
  <si>
    <t>I enjoy open-ended projects.</t>
  </si>
  <si>
    <t>NPI0102</t>
  </si>
  <si>
    <t>I enjoy new hobbies.</t>
  </si>
  <si>
    <t>NPI0103</t>
  </si>
  <si>
    <t>I enjoy reading about new topics.</t>
  </si>
  <si>
    <t>NPI0104</t>
  </si>
  <si>
    <t>I enjoy designing new approaches.</t>
  </si>
  <si>
    <t>NPI0105</t>
  </si>
  <si>
    <t>I enjoy changing my opinion when evidence changes.</t>
  </si>
  <si>
    <t>NPI0106</t>
  </si>
  <si>
    <t>I enjoy curious discussions.</t>
  </si>
  <si>
    <t>NPI0107</t>
  </si>
  <si>
    <t>I enjoy creative problem-solving.</t>
  </si>
  <si>
    <t>NPI0108</t>
  </si>
  <si>
    <t>I enjoy exploring career possibilities.</t>
  </si>
  <si>
    <t>NPI0109</t>
  </si>
  <si>
    <t>I prefer only familiar methods.</t>
  </si>
  <si>
    <t>Yes</t>
  </si>
  <si>
    <t>Reverse scored: score = 6-response.</t>
  </si>
  <si>
    <t>NPI0110</t>
  </si>
  <si>
    <t>I prefer fixed answers always.</t>
  </si>
  <si>
    <t>NPI0111</t>
  </si>
  <si>
    <t>I prefer avoiding unfamiliar topics.</t>
  </si>
  <si>
    <t>NPI0112</t>
  </si>
  <si>
    <t>I prefer routine tasks only.</t>
  </si>
  <si>
    <t>NPI0113</t>
  </si>
  <si>
    <t>I prefer not trying new methods.</t>
  </si>
  <si>
    <t>NPI0114</t>
  </si>
  <si>
    <t>I prefer avoiding creative expression.</t>
  </si>
  <si>
    <t>NPI0115</t>
  </si>
  <si>
    <t>I prefer not changing my view even with evidence.</t>
  </si>
  <si>
    <t>NPI0116</t>
  </si>
  <si>
    <t>I complete assignments on time.</t>
  </si>
  <si>
    <t>Conscientiousness Trait</t>
  </si>
  <si>
    <t>NPI0117</t>
  </si>
  <si>
    <t>I plan before important tasks.</t>
  </si>
  <si>
    <t>NPI0118</t>
  </si>
  <si>
    <t>I keep study materials organized.</t>
  </si>
  <si>
    <t>NPI0119</t>
  </si>
  <si>
    <t>I check my work for mistakes.</t>
  </si>
  <si>
    <t>NPI0120</t>
  </si>
  <si>
    <t>I follow a study schedule.</t>
  </si>
  <si>
    <t>NPI0121</t>
  </si>
  <si>
    <t>I break big tasks into steps.</t>
  </si>
  <si>
    <t>NPI0122</t>
  </si>
  <si>
    <t>I prepare for tests in advance.</t>
  </si>
  <si>
    <t>NPI0123</t>
  </si>
  <si>
    <t>I manage time well.</t>
  </si>
  <si>
    <t>NPI0124</t>
  </si>
  <si>
    <t>I set goals for myself.</t>
  </si>
  <si>
    <t>NPI0125</t>
  </si>
  <si>
    <t>I keep responsibilities.</t>
  </si>
  <si>
    <t>NPI0126</t>
  </si>
  <si>
    <t>I make to-do lists.</t>
  </si>
  <si>
    <t>NPI0127</t>
  </si>
  <si>
    <t>I stay consistent.</t>
  </si>
  <si>
    <t>NPI0128</t>
  </si>
  <si>
    <t>I revise regularly.</t>
  </si>
  <si>
    <t>NPI0129</t>
  </si>
  <si>
    <t>I take responsibility for performance.</t>
  </si>
  <si>
    <t>NPI0130</t>
  </si>
  <si>
    <t>I organize my day.</t>
  </si>
  <si>
    <t>NPI0131</t>
  </si>
  <si>
    <t>I finish one task before another.</t>
  </si>
  <si>
    <t>NPI0132</t>
  </si>
  <si>
    <t>I track deadlines.</t>
  </si>
  <si>
    <t>NPI0133</t>
  </si>
  <si>
    <t>I use routines.</t>
  </si>
  <si>
    <t>NPI0134</t>
  </si>
  <si>
    <t>I delay work until the last moment.</t>
  </si>
  <si>
    <t>NPI0135</t>
  </si>
  <si>
    <t>I lose track of deadlines.</t>
  </si>
  <si>
    <t>NPI0136</t>
  </si>
  <si>
    <t>I leave tasks incomplete.</t>
  </si>
  <si>
    <t>NPI0137</t>
  </si>
  <si>
    <t>I am careless with details.</t>
  </si>
  <si>
    <t>NPI0138</t>
  </si>
  <si>
    <t>I study only when reminded.</t>
  </si>
  <si>
    <t>NPI0139</t>
  </si>
  <si>
    <t>I often forget materials.</t>
  </si>
  <si>
    <t>NPI0140</t>
  </si>
  <si>
    <t>I act without planning.</t>
  </si>
  <si>
    <t>NPI0141</t>
  </si>
  <si>
    <t>I feel energized working with others.</t>
  </si>
  <si>
    <t>Extraversion Trait</t>
  </si>
  <si>
    <t>NPI0142</t>
  </si>
  <si>
    <t>I enjoy group discussions.</t>
  </si>
  <si>
    <t>NPI0143</t>
  </si>
  <si>
    <t>I like meeting new people.</t>
  </si>
  <si>
    <t>NPI0144</t>
  </si>
  <si>
    <t>I feel comfortable asking questions.</t>
  </si>
  <si>
    <t>NPI0145</t>
  </si>
  <si>
    <t>I enjoy leadership roles.</t>
  </si>
  <si>
    <t>NPI0146</t>
  </si>
  <si>
    <t>I like events and competitions.</t>
  </si>
  <si>
    <t>NPI0147</t>
  </si>
  <si>
    <t>I feel confident presenting ideas.</t>
  </si>
  <si>
    <t>NPI0148</t>
  </si>
  <si>
    <t>I enjoy teamwork.</t>
  </si>
  <si>
    <t>NPI0149</t>
  </si>
  <si>
    <t>I encourage others in groups.</t>
  </si>
  <si>
    <t>NPI0150</t>
  </si>
  <si>
    <t>I participate actively in class.</t>
  </si>
  <si>
    <t>NPI0151</t>
  </si>
  <si>
    <t>I like group projects.</t>
  </si>
  <si>
    <t>NPI0152</t>
  </si>
  <si>
    <t>I start conversations easily.</t>
  </si>
  <si>
    <t>NPI0153</t>
  </si>
  <si>
    <t>I enjoy clubs or teams.</t>
  </si>
  <si>
    <t>NPI0154</t>
  </si>
  <si>
    <t>I like sharing opinions.</t>
  </si>
  <si>
    <t>NPI0155</t>
  </si>
  <si>
    <t>I am energized by debate.</t>
  </si>
  <si>
    <t>NPI0156</t>
  </si>
  <si>
    <t>I prefer discussing concepts.</t>
  </si>
  <si>
    <t>NPI0157</t>
  </si>
  <si>
    <t>I enjoy visible roles.</t>
  </si>
  <si>
    <t>NPI0158</t>
  </si>
  <si>
    <t>I like collaborative learning.</t>
  </si>
  <si>
    <t>NPI0159</t>
  </si>
  <si>
    <t>I prefer quiet independent work most of the time.</t>
  </si>
  <si>
    <t>NPI0160</t>
  </si>
  <si>
    <t>I avoid speaking even when I know the answer.</t>
  </si>
  <si>
    <t>NPI0161</t>
  </si>
  <si>
    <t>I need time alone after social activities.</t>
  </si>
  <si>
    <t>NPI0162</t>
  </si>
  <si>
    <t>I feel shy in unfamiliar groups.</t>
  </si>
  <si>
    <t>NPI0163</t>
  </si>
  <si>
    <t>I avoid being the center of attention.</t>
  </si>
  <si>
    <t>NPI0164</t>
  </si>
  <si>
    <t>I feel nervous presenting.</t>
  </si>
  <si>
    <t>NPI0165</t>
  </si>
  <si>
    <t>I rarely volunteer for visible roles.</t>
  </si>
  <si>
    <t>NPI0166</t>
  </si>
  <si>
    <t>I try to understand others’ feelings.</t>
  </si>
  <si>
    <t>Agreeableness Trait</t>
  </si>
  <si>
    <t>NPI0167</t>
  </si>
  <si>
    <t>I help classmates when I can.</t>
  </si>
  <si>
    <t>NPI0168</t>
  </si>
  <si>
    <t>I prefer cooperation over conflict.</t>
  </si>
  <si>
    <t>NPI0169</t>
  </si>
  <si>
    <t>I listen respectfully even when I disagree.</t>
  </si>
  <si>
    <t>NPI0170</t>
  </si>
  <si>
    <t>I care about fairness.</t>
  </si>
  <si>
    <t>NPI0171</t>
  </si>
  <si>
    <t>I include others in group activities.</t>
  </si>
  <si>
    <t>NPI0172</t>
  </si>
  <si>
    <t>I am kind when someone struggles.</t>
  </si>
  <si>
    <t>NPI0173</t>
  </si>
  <si>
    <t>I solve conflicts peacefully.</t>
  </si>
  <si>
    <t>NPI0174</t>
  </si>
  <si>
    <t>I see another person’s point of view.</t>
  </si>
  <si>
    <t>NPI0175</t>
  </si>
  <si>
    <t>I support friends.</t>
  </si>
  <si>
    <t>NPI0176</t>
  </si>
  <si>
    <t>I am patient with different learners.</t>
  </si>
  <si>
    <t>NPI0177</t>
  </si>
  <si>
    <t>I value trust.</t>
  </si>
  <si>
    <t>NPI0178</t>
  </si>
  <si>
    <t>I prefer helping over blaming.</t>
  </si>
  <si>
    <t>NPI0179</t>
  </si>
  <si>
    <t>I work well with different people.</t>
  </si>
  <si>
    <t>NPI0180</t>
  </si>
  <si>
    <t>I appreciate others’ efforts.</t>
  </si>
  <si>
    <t>NPI0181</t>
  </si>
  <si>
    <t>I try to make people feel safe.</t>
  </si>
  <si>
    <t>NPI0182</t>
  </si>
  <si>
    <t>I avoid hurting others intentionally.</t>
  </si>
  <si>
    <t>NPI0183</t>
  </si>
  <si>
    <t>I share credit with others.</t>
  </si>
  <si>
    <t>NPI0184</t>
  </si>
  <si>
    <t>I become impatient when others are slow.</t>
  </si>
  <si>
    <t>NPI0185</t>
  </si>
  <si>
    <t>I find it hard to forgive mistakes.</t>
  </si>
  <si>
    <t>NPI0186</t>
  </si>
  <si>
    <t>I compete even when cooperation would help.</t>
  </si>
  <si>
    <t>NPI0187</t>
  </si>
  <si>
    <t>I ignore others’ feelings when focused on winning.</t>
  </si>
  <si>
    <t>NPI0188</t>
  </si>
  <si>
    <t>I speak harshly when frustrated.</t>
  </si>
  <si>
    <t>NPI0189</t>
  </si>
  <si>
    <t>I get irritated by emotional support needs.</t>
  </si>
  <si>
    <t>NPI0190</t>
  </si>
  <si>
    <t>I struggle to accept feedback.</t>
  </si>
  <si>
    <t>NPI0191</t>
  </si>
  <si>
    <t>I feel worried before exams.</t>
  </si>
  <si>
    <t>Neuroticism Trait</t>
  </si>
  <si>
    <t>NPI0192</t>
  </si>
  <si>
    <t>I get upset when I make mistakes.</t>
  </si>
  <si>
    <t>NPI0193</t>
  </si>
  <si>
    <t>I feel pressure when people expect a lot.</t>
  </si>
  <si>
    <t>NPI0194</t>
  </si>
  <si>
    <t>I overthink my performance.</t>
  </si>
  <si>
    <t>NPI0195</t>
  </si>
  <si>
    <t>I feel nervous with too many tasks.</t>
  </si>
  <si>
    <t>NPI0196</t>
  </si>
  <si>
    <t>I worry about disappointing others.</t>
  </si>
  <si>
    <t>NPI0197</t>
  </si>
  <si>
    <t>I feel emotionally overwhelmed sometimes.</t>
  </si>
  <si>
    <t>NPI0198</t>
  </si>
  <si>
    <t>I become anxious when I do not understand quickly.</t>
  </si>
  <si>
    <t>NPI0199</t>
  </si>
  <si>
    <t>I sleep poorly before major tests.</t>
  </si>
  <si>
    <t>NPI0200</t>
  </si>
  <si>
    <t>I feel tense when comparing myself to others.</t>
  </si>
  <si>
    <t>NPI0201</t>
  </si>
  <si>
    <t>I fear failure.</t>
  </si>
  <si>
    <t>NPI0202</t>
  </si>
  <si>
    <t>I become discouraged easily.</t>
  </si>
  <si>
    <t>NPI0203</t>
  </si>
  <si>
    <t>I feel pressure to be perfect.</t>
  </si>
  <si>
    <t>NPI0204</t>
  </si>
  <si>
    <t>I worry about the future often.</t>
  </si>
  <si>
    <t>NPI0205</t>
  </si>
  <si>
    <t>I become upset when routines change.</t>
  </si>
  <si>
    <t>NPI0206</t>
  </si>
  <si>
    <t>I need reassurance during stressful periods.</t>
  </si>
  <si>
    <t>NPI0207</t>
  </si>
  <si>
    <t>I feel stressed in competition.</t>
  </si>
  <si>
    <t>NPI0208</t>
  </si>
  <si>
    <t>I feel drained by pressure.</t>
  </si>
  <si>
    <t>NPI0209</t>
  </si>
  <si>
    <t>I stay calm when things go wrong.</t>
  </si>
  <si>
    <t>NPI0210</t>
  </si>
  <si>
    <t>I recover quickly after disappointment.</t>
  </si>
  <si>
    <t>NPI0211</t>
  </si>
  <si>
    <t>I manage stress without panic.</t>
  </si>
  <si>
    <t>NPI0212</t>
  </si>
  <si>
    <t>I handle criticism calmly.</t>
  </si>
  <si>
    <t>NPI0213</t>
  </si>
  <si>
    <t>I stay balanced during competition.</t>
  </si>
  <si>
    <t>NPI0214</t>
  </si>
  <si>
    <t>I trust myself under pressure.</t>
  </si>
  <si>
    <t>NPI0215</t>
  </si>
  <si>
    <t>I calm myself when stressed.</t>
  </si>
  <si>
    <t>NPI0216</t>
  </si>
  <si>
    <t>Cognitive Ability</t>
  </si>
  <si>
    <t>MCQ</t>
  </si>
  <si>
    <t>What comes next: 3, 6, 9, 12, ?</t>
  </si>
  <si>
    <t>13</t>
  </si>
  <si>
    <t>14</t>
  </si>
  <si>
    <t>15</t>
  </si>
  <si>
    <t>18</t>
  </si>
  <si>
    <t>MCQ: correct=1, incorrect=0</t>
  </si>
  <si>
    <t>Numerical Reasoning</t>
  </si>
  <si>
    <t>Use accuracy and response time where platform allows.</t>
  </si>
  <si>
    <t>NPI0217</t>
  </si>
  <si>
    <t>If 5 notebooks cost ₹150, one costs:</t>
  </si>
  <si>
    <t>₹20</t>
  </si>
  <si>
    <t>₹25</t>
  </si>
  <si>
    <t>₹30</t>
  </si>
  <si>
    <t>₹35</t>
  </si>
  <si>
    <t>NPI0218</t>
  </si>
  <si>
    <t>What is 20% of 250?</t>
  </si>
  <si>
    <t>25</t>
  </si>
  <si>
    <t>40</t>
  </si>
  <si>
    <t>50</t>
  </si>
  <si>
    <t>60</t>
  </si>
  <si>
    <t>NPI0219</t>
  </si>
  <si>
    <t>Speed: 180 km in 3 hours =</t>
  </si>
  <si>
    <t>70</t>
  </si>
  <si>
    <t>NPI0220</t>
  </si>
  <si>
    <t>2,4,8,16,?</t>
  </si>
  <si>
    <t>24</t>
  </si>
  <si>
    <t>28</t>
  </si>
  <si>
    <t>32</t>
  </si>
  <si>
    <t>36</t>
  </si>
  <si>
    <t>NPI0221</t>
  </si>
  <si>
    <t>x+7=19, x=</t>
  </si>
  <si>
    <t>10</t>
  </si>
  <si>
    <t>11</t>
  </si>
  <si>
    <t>12</t>
  </si>
  <si>
    <t>NPI0222</t>
  </si>
  <si>
    <t>Average of 8,10,12,14</t>
  </si>
  <si>
    <t>B</t>
  </si>
  <si>
    <t>NPI0223</t>
  </si>
  <si>
    <t>Ratio 2:3 total 25, first part</t>
  </si>
  <si>
    <t>8</t>
  </si>
  <si>
    <t>NPI0224</t>
  </si>
  <si>
    <t>15 × 6</t>
  </si>
  <si>
    <t>80</t>
  </si>
  <si>
    <t>85</t>
  </si>
  <si>
    <t>90</t>
  </si>
  <si>
    <t>95</t>
  </si>
  <si>
    <t>NPI0225</t>
  </si>
  <si>
    <t>10% discount on ₹800 final price</t>
  </si>
  <si>
    <t>₹700</t>
  </si>
  <si>
    <t>₹720</t>
  </si>
  <si>
    <t>₹760</t>
  </si>
  <si>
    <t>₹780</t>
  </si>
  <si>
    <t>NPI0226</t>
  </si>
  <si>
    <t>5,10,20,40,?</t>
  </si>
  <si>
    <t>100</t>
  </si>
  <si>
    <t>NPI0227</t>
  </si>
  <si>
    <t>3/4 of number is 60, number</t>
  </si>
  <si>
    <t>75</t>
  </si>
  <si>
    <t>NPI0228</t>
  </si>
  <si>
    <t>Square of 13</t>
  </si>
  <si>
    <t>156</t>
  </si>
  <si>
    <t>169</t>
  </si>
  <si>
    <t>178</t>
  </si>
  <si>
    <t>196</t>
  </si>
  <si>
    <t>NPI0229</t>
  </si>
  <si>
    <t>12 workers × 6 days work-days</t>
  </si>
  <si>
    <t>72</t>
  </si>
  <si>
    <t>108</t>
  </si>
  <si>
    <t>NPI0230</t>
  </si>
  <si>
    <t>7.5 + 2.25</t>
  </si>
  <si>
    <t>9.25</t>
  </si>
  <si>
    <t>9.50</t>
  </si>
  <si>
    <t>9.75</t>
  </si>
  <si>
    <t>10.00</t>
  </si>
  <si>
    <t>NPI0231</t>
  </si>
  <si>
    <t>144 ÷ 12</t>
  </si>
  <si>
    <t>NPI0232</t>
  </si>
  <si>
    <t>1,4,9,16,?</t>
  </si>
  <si>
    <t>20</t>
  </si>
  <si>
    <t>NPI0233</t>
  </si>
  <si>
    <t>40 students, 60% girls</t>
  </si>
  <si>
    <t>22</t>
  </si>
  <si>
    <t>26</t>
  </si>
  <si>
    <t>NPI0234</t>
  </si>
  <si>
    <t>2 pencils ₹8, 7 pencils</t>
  </si>
  <si>
    <t>₹24</t>
  </si>
  <si>
    <t>₹26</t>
  </si>
  <si>
    <t>₹28</t>
  </si>
  <si>
    <t>NPI0235</t>
  </si>
  <si>
    <t>0.25 as percentage</t>
  </si>
  <si>
    <t>2.5%</t>
  </si>
  <si>
    <t>25%</t>
  </si>
  <si>
    <t>50%</t>
  </si>
  <si>
    <t>75%</t>
  </si>
  <si>
    <t>NPI0236</t>
  </si>
  <si>
    <t>All roses are flowers. Which is definitely true?</t>
  </si>
  <si>
    <t>All roses fade</t>
  </si>
  <si>
    <t>Some roses fade</t>
  </si>
  <si>
    <t>Roses are flowers</t>
  </si>
  <si>
    <t>No flowers are roses</t>
  </si>
  <si>
    <t>Logic Reasoning</t>
  </si>
  <si>
    <t>NPI0237</t>
  </si>
  <si>
    <t>Wednesday + 10 days</t>
  </si>
  <si>
    <t>Friday</t>
  </si>
  <si>
    <t>Saturday</t>
  </si>
  <si>
    <t>Sunday</t>
  </si>
  <si>
    <t>Monday</t>
  </si>
  <si>
    <t>NPI0238</t>
  </si>
  <si>
    <t>Odd one: Pen, Pencil, Eraser, Mango</t>
  </si>
  <si>
    <t>Pen</t>
  </si>
  <si>
    <t>Pencil</t>
  </si>
  <si>
    <t>Eraser</t>
  </si>
  <si>
    <t>Mango</t>
  </si>
  <si>
    <t>D</t>
  </si>
  <si>
    <t>NPI0239</t>
  </si>
  <si>
    <t>A taller than B, B taller than C. Tallest?</t>
  </si>
  <si>
    <t>Cannot say</t>
  </si>
  <si>
    <t>NPI0240</t>
  </si>
  <si>
    <t>Bird:Fly :: Fish:?</t>
  </si>
  <si>
    <t>Run</t>
  </si>
  <si>
    <t>Swim</t>
  </si>
  <si>
    <t>Walk</t>
  </si>
  <si>
    <t>Climb</t>
  </si>
  <si>
    <t>NPI0241</t>
  </si>
  <si>
    <t>All squares are rectangles, then</t>
  </si>
  <si>
    <t>All rectangles squares</t>
  </si>
  <si>
    <t>Some rectangles may be squares</t>
  </si>
  <si>
    <t>No square rectangle</t>
  </si>
  <si>
    <t>NPI0242</t>
  </si>
  <si>
    <t>Riya older than Sam, Sam older than Tina. Tina is</t>
  </si>
  <si>
    <t>Oldest</t>
  </si>
  <si>
    <t>Youngest</t>
  </si>
  <si>
    <t>Same</t>
  </si>
  <si>
    <t>NPI0243</t>
  </si>
  <si>
    <t>Some students athletes. All athletes practice. Some students practice.</t>
  </si>
  <si>
    <t>True</t>
  </si>
  <si>
    <t>False</t>
  </si>
  <si>
    <t>Opposite</t>
  </si>
  <si>
    <t>NPI0244</t>
  </si>
  <si>
    <t>Plants wilt because</t>
  </si>
  <si>
    <t>They sing</t>
  </si>
  <si>
    <t>They lack water</t>
  </si>
  <si>
    <t>They read</t>
  </si>
  <si>
    <t>They run</t>
  </si>
  <si>
    <t>NPI0245</t>
  </si>
  <si>
    <t>Book:Read :: Food:?</t>
  </si>
  <si>
    <t>Cook</t>
  </si>
  <si>
    <t>Eat</t>
  </si>
  <si>
    <t>Write</t>
  </si>
  <si>
    <t>Draw</t>
  </si>
  <si>
    <t>NPI0246</t>
  </si>
  <si>
    <t>CAT-&gt;DBU, DOG-&gt;</t>
  </si>
  <si>
    <t>EPH</t>
  </si>
  <si>
    <t>EOG</t>
  </si>
  <si>
    <t>CNG</t>
  </si>
  <si>
    <t>FPI</t>
  </si>
  <si>
    <t>NPI0247</t>
  </si>
  <si>
    <t>Odd one: Circle, Triangle, Square, Table</t>
  </si>
  <si>
    <t>Circle</t>
  </si>
  <si>
    <t>Triangle</t>
  </si>
  <si>
    <t>Square</t>
  </si>
  <si>
    <t>Table</t>
  </si>
  <si>
    <t>NPI0248</t>
  </si>
  <si>
    <t>Rule +3: 4,7,10,?</t>
  </si>
  <si>
    <t>NPI0249</t>
  </si>
  <si>
    <t>A brother of B, B sister of C. A is C’s</t>
  </si>
  <si>
    <t>Sister</t>
  </si>
  <si>
    <t>Brother</t>
  </si>
  <si>
    <t>Mother</t>
  </si>
  <si>
    <t>NPI0250</t>
  </si>
  <si>
    <t>No birds are stones. Parrot is bird.</t>
  </si>
  <si>
    <t>Parrot stone</t>
  </si>
  <si>
    <t>Parrot not stone</t>
  </si>
  <si>
    <t>All stones birds</t>
  </si>
  <si>
    <t>NPI0251</t>
  </si>
  <si>
    <t>All pens write. This is pen.</t>
  </si>
  <si>
    <t>It writes</t>
  </si>
  <si>
    <t>Never writes</t>
  </si>
  <si>
    <t>NPI0252</t>
  </si>
  <si>
    <t>Morning:breakfast :: evening:?</t>
  </si>
  <si>
    <t>Lunch</t>
  </si>
  <si>
    <t>Dinner</t>
  </si>
  <si>
    <t>School</t>
  </si>
  <si>
    <t>Sleep</t>
  </si>
  <si>
    <t>NPI0253</t>
  </si>
  <si>
    <t>A heavier than B but lighter than C. Heaviest</t>
  </si>
  <si>
    <t>NPI0254</t>
  </si>
  <si>
    <t>Odd one: January, March, Friday, July</t>
  </si>
  <si>
    <t>January</t>
  </si>
  <si>
    <t>March</t>
  </si>
  <si>
    <t>July</t>
  </si>
  <si>
    <t>NPI0255</t>
  </si>
  <si>
    <t>Teacher:school :: doctor:?</t>
  </si>
  <si>
    <t>Court</t>
  </si>
  <si>
    <t>Hospital</t>
  </si>
  <si>
    <t>Market</t>
  </si>
  <si>
    <t>Farm</t>
  </si>
  <si>
    <t>NPI0256</t>
  </si>
  <si>
    <t>Synonym of brave</t>
  </si>
  <si>
    <t>Fearful</t>
  </si>
  <si>
    <t>Courageous</t>
  </si>
  <si>
    <t>Lazy</t>
  </si>
  <si>
    <t>Confused</t>
  </si>
  <si>
    <t>Verbal Reasoning</t>
  </si>
  <si>
    <t>NPI0257</t>
  </si>
  <si>
    <t>Antonym of expand</t>
  </si>
  <si>
    <t>Grow</t>
  </si>
  <si>
    <t>Increase</t>
  </si>
  <si>
    <t>Shrink</t>
  </si>
  <si>
    <t>Open</t>
  </si>
  <si>
    <t>NPI0258</t>
  </si>
  <si>
    <t>Library: people ___ books</t>
  </si>
  <si>
    <t>eat</t>
  </si>
  <si>
    <t>borrow</t>
  </si>
  <si>
    <t>sleep</t>
  </si>
  <si>
    <t>throw</t>
  </si>
  <si>
    <t>NPI0259</t>
  </si>
  <si>
    <t>Transparent means</t>
  </si>
  <si>
    <t>See-through</t>
  </si>
  <si>
    <t>Heavy</t>
  </si>
  <si>
    <t>Loud</t>
  </si>
  <si>
    <t>Hidden</t>
  </si>
  <si>
    <t>NPI0260</t>
  </si>
  <si>
    <t>Synonym of rapid</t>
  </si>
  <si>
    <t>Slow</t>
  </si>
  <si>
    <t>Fast</t>
  </si>
  <si>
    <t>Calm</t>
  </si>
  <si>
    <t>Weak</t>
  </si>
  <si>
    <t>NPI0261</t>
  </si>
  <si>
    <t>Antonym of ancient</t>
  </si>
  <si>
    <t>Old</t>
  </si>
  <si>
    <t>Modern</t>
  </si>
  <si>
    <t>Past</t>
  </si>
  <si>
    <t>Historic</t>
  </si>
  <si>
    <t>NPI0262</t>
  </si>
  <si>
    <t>Author:Book :: Painter:?</t>
  </si>
  <si>
    <t>Song</t>
  </si>
  <si>
    <t>Painting</t>
  </si>
  <si>
    <t>Shoe</t>
  </si>
  <si>
    <t>Bridge</t>
  </si>
  <si>
    <t>NPI0263</t>
  </si>
  <si>
    <t>Accurate means</t>
  </si>
  <si>
    <t>Correct</t>
  </si>
  <si>
    <t>Careless</t>
  </si>
  <si>
    <t>Angry</t>
  </si>
  <si>
    <t>NPI0264</t>
  </si>
  <si>
    <t>Odd word: happy, joyful, cheerful, furious</t>
  </si>
  <si>
    <t>happy</t>
  </si>
  <si>
    <t>joyful</t>
  </si>
  <si>
    <t>cheerful</t>
  </si>
  <si>
    <t>furious</t>
  </si>
  <si>
    <t>NPI0265</t>
  </si>
  <si>
    <t>Scientist made a ___</t>
  </si>
  <si>
    <t>discovery</t>
  </si>
  <si>
    <t>blanket</t>
  </si>
  <si>
    <t>chair</t>
  </si>
  <si>
    <t>ticket</t>
  </si>
  <si>
    <t>NPI0266</t>
  </si>
  <si>
    <t>Synonym of assist</t>
  </si>
  <si>
    <t>Help</t>
  </si>
  <si>
    <t>Hide</t>
  </si>
  <si>
    <t>Harm</t>
  </si>
  <si>
    <t>Delay</t>
  </si>
  <si>
    <t>NPI0267</t>
  </si>
  <si>
    <t>Antonym of generous</t>
  </si>
  <si>
    <t>Kind</t>
  </si>
  <si>
    <t>Selfish</t>
  </si>
  <si>
    <t>Helpful</t>
  </si>
  <si>
    <t>Giving</t>
  </si>
  <si>
    <t>NPI0268</t>
  </si>
  <si>
    <t>Doctor:Patient :: Teacher:?</t>
  </si>
  <si>
    <t>Classroom</t>
  </si>
  <si>
    <t>Student</t>
  </si>
  <si>
    <t>Medicine</t>
  </si>
  <si>
    <t>NPI0269</t>
  </si>
  <si>
    <t>Reluctant means</t>
  </si>
  <si>
    <t>Not willing</t>
  </si>
  <si>
    <t>Eager</t>
  </si>
  <si>
    <t>Bright</t>
  </si>
  <si>
    <t>NPI0270</t>
  </si>
  <si>
    <t>She ___ homework yesterday</t>
  </si>
  <si>
    <t>complete</t>
  </si>
  <si>
    <t>completed</t>
  </si>
  <si>
    <t>completing</t>
  </si>
  <si>
    <t>completes</t>
  </si>
  <si>
    <t>NPI0271</t>
  </si>
  <si>
    <t>Synonym of observe</t>
  </si>
  <si>
    <t>Notice</t>
  </si>
  <si>
    <t>Ignore</t>
  </si>
  <si>
    <t>Forget</t>
  </si>
  <si>
    <t>Destroy</t>
  </si>
  <si>
    <t>NPI0272</t>
  </si>
  <si>
    <t>Antonym of complex</t>
  </si>
  <si>
    <t>Difficult</t>
  </si>
  <si>
    <t>Simple</t>
  </si>
  <si>
    <t>Detailed</t>
  </si>
  <si>
    <t>Confusing</t>
  </si>
  <si>
    <t>NPI0273</t>
  </si>
  <si>
    <t>Priority means</t>
  </si>
  <si>
    <t>Important first</t>
  </si>
  <si>
    <t>Mistake</t>
  </si>
  <si>
    <t>Loud sound</t>
  </si>
  <si>
    <t>Game</t>
  </si>
  <si>
    <t>NPI0274</t>
  </si>
  <si>
    <t>Results were ___</t>
  </si>
  <si>
    <t>analyzed</t>
  </si>
  <si>
    <t>eaten</t>
  </si>
  <si>
    <t>painted</t>
  </si>
  <si>
    <t>hidden</t>
  </si>
  <si>
    <t>NPI0275</t>
  </si>
  <si>
    <t>Seed:Plant :: Egg:?</t>
  </si>
  <si>
    <t>Bird</t>
  </si>
  <si>
    <t>Nest</t>
  </si>
  <si>
    <t>Water</t>
  </si>
  <si>
    <t>Soil</t>
  </si>
  <si>
    <t>NPI0276</t>
  </si>
  <si>
    <t>▲ ● ▲ ● ?</t>
  </si>
  <si>
    <t>▲</t>
  </si>
  <si>
    <t>●</t>
  </si>
  <si>
    <t>■</t>
  </si>
  <si>
    <t>◆</t>
  </si>
  <si>
    <t>Abstract Reasoning</t>
  </si>
  <si>
    <t>NPI0277</t>
  </si>
  <si>
    <t>A,C,E,G,?</t>
  </si>
  <si>
    <t>H</t>
  </si>
  <si>
    <t>J</t>
  </si>
  <si>
    <t>K</t>
  </si>
  <si>
    <t>NPI0278</t>
  </si>
  <si>
    <t>1,2,4,8,?</t>
  </si>
  <si>
    <t>16</t>
  </si>
  <si>
    <t>NPI0279</t>
  </si>
  <si>
    <t>Z,Y,X,W,?</t>
  </si>
  <si>
    <t>V</t>
  </si>
  <si>
    <t>U</t>
  </si>
  <si>
    <t>T</t>
  </si>
  <si>
    <t>NPI0280</t>
  </si>
  <si>
    <t>square-circle-square-circle next</t>
  </si>
  <si>
    <t>Line</t>
  </si>
  <si>
    <t>NPI0281</t>
  </si>
  <si>
    <t>2,5,8,11,?</t>
  </si>
  <si>
    <t>NPI0282</t>
  </si>
  <si>
    <t>AB,CD,EF,?</t>
  </si>
  <si>
    <t>GH</t>
  </si>
  <si>
    <t>FG</t>
  </si>
  <si>
    <t>HI</t>
  </si>
  <si>
    <t>IJ</t>
  </si>
  <si>
    <t>NPI0283</t>
  </si>
  <si>
    <t>small,medium,large,small,medium,?</t>
  </si>
  <si>
    <t>small</t>
  </si>
  <si>
    <t>medium</t>
  </si>
  <si>
    <t>large</t>
  </si>
  <si>
    <t>none</t>
  </si>
  <si>
    <t>NPI0284</t>
  </si>
  <si>
    <t>100,90,80,70,?</t>
  </si>
  <si>
    <t>55</t>
  </si>
  <si>
    <t>65</t>
  </si>
  <si>
    <t>NPI0285</t>
  </si>
  <si>
    <t>blue=1, red=2, next red</t>
  </si>
  <si>
    <t>1</t>
  </si>
  <si>
    <t>2</t>
  </si>
  <si>
    <t>3</t>
  </si>
  <si>
    <t>4</t>
  </si>
  <si>
    <t>NPI0286</t>
  </si>
  <si>
    <t>3,6,12,24,?</t>
  </si>
  <si>
    <t>30</t>
  </si>
  <si>
    <t>42</t>
  </si>
  <si>
    <t>48</t>
  </si>
  <si>
    <t>NPI0287</t>
  </si>
  <si>
    <t>J,L,N,P,?</t>
  </si>
  <si>
    <t>Q</t>
  </si>
  <si>
    <t>NPI0288</t>
  </si>
  <si>
    <t>●●,●●●,●●●●,?</t>
  </si>
  <si>
    <t>●●</t>
  </si>
  <si>
    <t>●●●●●</t>
  </si>
  <si>
    <t>●●●●●●</t>
  </si>
  <si>
    <t>NPI0289</t>
  </si>
  <si>
    <t>7,14,21,?</t>
  </si>
  <si>
    <t>NPI0290</t>
  </si>
  <si>
    <t>1A,2B,3C,?</t>
  </si>
  <si>
    <t>3D</t>
  </si>
  <si>
    <t>4D</t>
  </si>
  <si>
    <t>4C</t>
  </si>
  <si>
    <t>5D</t>
  </si>
  <si>
    <t>NPI0291</t>
  </si>
  <si>
    <t>north,east,south,west,?</t>
  </si>
  <si>
    <t>north</t>
  </si>
  <si>
    <t>east</t>
  </si>
  <si>
    <t>south</t>
  </si>
  <si>
    <t>west</t>
  </si>
  <si>
    <t>NPI0292</t>
  </si>
  <si>
    <t>4,9,14,19,?</t>
  </si>
  <si>
    <t>23</t>
  </si>
  <si>
    <t>NPI0293</t>
  </si>
  <si>
    <t>AA,BB,CC,?</t>
  </si>
  <si>
    <t>CD</t>
  </si>
  <si>
    <t>DD</t>
  </si>
  <si>
    <t>DE</t>
  </si>
  <si>
    <t>EE</t>
  </si>
  <si>
    <t>NPI0294</t>
  </si>
  <si>
    <t>81,27,9,?</t>
  </si>
  <si>
    <t>6</t>
  </si>
  <si>
    <t>5</t>
  </si>
  <si>
    <t>NPI0295</t>
  </si>
  <si>
    <t>+, -, +, -, ?</t>
  </si>
  <si>
    <t>+</t>
  </si>
  <si>
    <t>-</t>
  </si>
  <si>
    <t>×</t>
  </si>
  <si>
    <t>÷</t>
  </si>
  <si>
    <t>NPI0296</t>
  </si>
  <si>
    <t>Cube has 6 faces. One painted, unpainted</t>
  </si>
  <si>
    <t>7</t>
  </si>
  <si>
    <t>Spatial Reasoning</t>
  </si>
  <si>
    <t>NPI0297</t>
  </si>
  <si>
    <t>Shape with 4 equal sides</t>
  </si>
  <si>
    <t>Rectangle</t>
  </si>
  <si>
    <t>NPI0298</t>
  </si>
  <si>
    <t>Rotated triangle remains</t>
  </si>
  <si>
    <t>NPI0299</t>
  </si>
  <si>
    <t>Hexagon sides</t>
  </si>
  <si>
    <t>NPI0300</t>
  </si>
  <si>
    <t>Object like sphere</t>
  </si>
  <si>
    <t>Dice</t>
  </si>
  <si>
    <t>Ball</t>
  </si>
  <si>
    <t>Book</t>
  </si>
  <si>
    <t>NPI0301</t>
  </si>
  <si>
    <t>Rectangle folded in half forms</t>
  </si>
  <si>
    <t>Triangles only</t>
  </si>
  <si>
    <t>Equal parts</t>
  </si>
  <si>
    <t>Circles</t>
  </si>
  <si>
    <t>Spheres</t>
  </si>
  <si>
    <t>NPI0302</t>
  </si>
  <si>
    <t>Shape can tile floor easily</t>
  </si>
  <si>
    <t>Sphere</t>
  </si>
  <si>
    <t>Cone</t>
  </si>
  <si>
    <t>NPI0303</t>
  </si>
  <si>
    <t>Map upside down: north at</t>
  </si>
  <si>
    <t>Top</t>
  </si>
  <si>
    <t>Bottom</t>
  </si>
  <si>
    <t>Left</t>
  </si>
  <si>
    <t>Right</t>
  </si>
  <si>
    <t>NPI0304</t>
  </si>
  <si>
    <t>More corners</t>
  </si>
  <si>
    <t>Oval</t>
  </si>
  <si>
    <t>NPI0305</t>
  </si>
  <si>
    <t>Cube net makes</t>
  </si>
  <si>
    <t>Flat circle</t>
  </si>
  <si>
    <t>3D cube</t>
  </si>
  <si>
    <t>NPI0306</t>
  </si>
  <si>
    <t>Square cut diagonally forms two</t>
  </si>
  <si>
    <t>Rectangles</t>
  </si>
  <si>
    <t>Triangles</t>
  </si>
  <si>
    <t>Cubes</t>
  </si>
  <si>
    <t>NPI0307</t>
  </si>
  <si>
    <t>Shape with no corners</t>
  </si>
  <si>
    <t>NPI0308</t>
  </si>
  <si>
    <t>Face east turn right</t>
  </si>
  <si>
    <t>North</t>
  </si>
  <si>
    <t>South</t>
  </si>
  <si>
    <t>West</t>
  </si>
  <si>
    <t>East</t>
  </si>
  <si>
    <t>NPI0309</t>
  </si>
  <si>
    <t>Cylinder looks like</t>
  </si>
  <si>
    <t>Can</t>
  </si>
  <si>
    <t>Pyramid</t>
  </si>
  <si>
    <t>NPI0310</t>
  </si>
  <si>
    <t>Rectangle edges</t>
  </si>
  <si>
    <t>NPI0311</t>
  </si>
  <si>
    <t>Which is 3D</t>
  </si>
  <si>
    <t>NPI0312</t>
  </si>
  <si>
    <t>Mirror b looks like</t>
  </si>
  <si>
    <t>d</t>
  </si>
  <si>
    <t>p</t>
  </si>
  <si>
    <t>q</t>
  </si>
  <si>
    <t>b</t>
  </si>
  <si>
    <t>NPI0313</t>
  </si>
  <si>
    <t>Clock hand at 3 points</t>
  </si>
  <si>
    <t>Up</t>
  </si>
  <si>
    <t>Down</t>
  </si>
  <si>
    <t>NPI0314</t>
  </si>
  <si>
    <t>Pyramid has pointed</t>
  </si>
  <si>
    <t>Base</t>
  </si>
  <si>
    <t>Apex</t>
  </si>
  <si>
    <t>Edge</t>
  </si>
  <si>
    <t>NPI0315</t>
  </si>
  <si>
    <t>Longest: 5cm,50mm,0.6m,20cm</t>
  </si>
  <si>
    <t>5cm</t>
  </si>
  <si>
    <t>50mm</t>
  </si>
  <si>
    <t>0.6m</t>
  </si>
  <si>
    <t>20cm</t>
  </si>
  <si>
    <t>NPI0316</t>
  </si>
  <si>
    <t>Emotional Profile</t>
  </si>
  <si>
    <t>I feel tense before exams.</t>
  </si>
  <si>
    <t>Stress Indicator</t>
  </si>
  <si>
    <t>Interpret with student interview and context.</t>
  </si>
  <si>
    <t>NPI0317</t>
  </si>
  <si>
    <t>I feel overwhelmed by workload.</t>
  </si>
  <si>
    <t>NPI0318</t>
  </si>
  <si>
    <t>I worry about marks after studying.</t>
  </si>
  <si>
    <t>NPI0319</t>
  </si>
  <si>
    <t>I feel pressure from expectations.</t>
  </si>
  <si>
    <t>NPI0320</t>
  </si>
  <si>
    <t>I compare myself with others nervously.</t>
  </si>
  <si>
    <t>NPI0321</t>
  </si>
  <si>
    <t>I feel stress in competition.</t>
  </si>
  <si>
    <t>NPI0322</t>
  </si>
  <si>
    <t>I fear disappointing people.</t>
  </si>
  <si>
    <t>NPI0323</t>
  </si>
  <si>
    <t>I panic when I do not know an answer.</t>
  </si>
  <si>
    <t>NPI0324</t>
  </si>
  <si>
    <t>I overthink after mistakes.</t>
  </si>
  <si>
    <t>NPI0325</t>
  </si>
  <si>
    <t>NPI0326</t>
  </si>
  <si>
    <t>I feel drained after long study.</t>
  </si>
  <si>
    <t>NPI0327</t>
  </si>
  <si>
    <t>I feel anxious about future.</t>
  </si>
  <si>
    <t>NPI0328</t>
  </si>
  <si>
    <t>I feel tense with sudden changes.</t>
  </si>
  <si>
    <t>NPI0329</t>
  </si>
  <si>
    <t>I sleep poorly before tests.</t>
  </si>
  <si>
    <t>NPI0330</t>
  </si>
  <si>
    <t>I feel physical stress signs.</t>
  </si>
  <si>
    <t>NPI0331</t>
  </si>
  <si>
    <t>I avoid tasks due to pressure.</t>
  </si>
  <si>
    <t>NPI0332</t>
  </si>
  <si>
    <t>NPI0333</t>
  </si>
  <si>
    <t>I feel worried about results.</t>
  </si>
  <si>
    <t>NPI0334</t>
  </si>
  <si>
    <t>I feel upset after criticism.</t>
  </si>
  <si>
    <t>NPI0335</t>
  </si>
  <si>
    <t>I feel overloaded by deadlines.</t>
  </si>
  <si>
    <t>NPI0336</t>
  </si>
  <si>
    <t>I believe I can improve.</t>
  </si>
  <si>
    <t>Confidence Indicator</t>
  </si>
  <si>
    <t>NPI0337</t>
  </si>
  <si>
    <t>I feel confident asking doubts.</t>
  </si>
  <si>
    <t>NPI0338</t>
  </si>
  <si>
    <t>I trust my ability to learn.</t>
  </si>
  <si>
    <t>NPI0339</t>
  </si>
  <si>
    <t>I can speak about my strengths.</t>
  </si>
  <si>
    <t>NPI0340</t>
  </si>
  <si>
    <t>I feel capable with clear explanation.</t>
  </si>
  <si>
    <t>NPI0341</t>
  </si>
  <si>
    <t>I feel proud after difficult tasks.</t>
  </si>
  <si>
    <t>NPI0342</t>
  </si>
  <si>
    <t>I attempt challenges.</t>
  </si>
  <si>
    <t>NPI0343</t>
  </si>
  <si>
    <t>I feel my opinions matter.</t>
  </si>
  <si>
    <t>NPI0344</t>
  </si>
  <si>
    <t>I learn from feedback.</t>
  </si>
  <si>
    <t>NPI0345</t>
  </si>
  <si>
    <t>I feel confident in some area.</t>
  </si>
  <si>
    <t>NPI0346</t>
  </si>
  <si>
    <t>I explain what I need to improve.</t>
  </si>
  <si>
    <t>NPI0347</t>
  </si>
  <si>
    <t>I believe mistakes are learning.</t>
  </si>
  <si>
    <t>NPI0348</t>
  </si>
  <si>
    <t>I set reachable goals.</t>
  </si>
  <si>
    <t>NPI0349</t>
  </si>
  <si>
    <t>I try even when unsure.</t>
  </si>
  <si>
    <t>NPI0350</t>
  </si>
  <si>
    <t>I recognize my progress.</t>
  </si>
  <si>
    <t>NPI0351</t>
  </si>
  <si>
    <t>I ask questions without shame.</t>
  </si>
  <si>
    <t>NPI0352</t>
  </si>
  <si>
    <t>I believe effort matters.</t>
  </si>
  <si>
    <t>NPI0353</t>
  </si>
  <si>
    <t>I feel prepared after practice.</t>
  </si>
  <si>
    <t>NPI0354</t>
  </si>
  <si>
    <t>I try new subjects.</t>
  </si>
  <si>
    <t>NPI0355</t>
  </si>
  <si>
    <t>I accept constructive feedback.</t>
  </si>
  <si>
    <t>NPI0356</t>
  </si>
  <si>
    <t>I try again after failure.</t>
  </si>
  <si>
    <t>Resilience Indicator</t>
  </si>
  <si>
    <t>NPI0357</t>
  </si>
  <si>
    <t>I learn from mistakes.</t>
  </si>
  <si>
    <t>NPI0358</t>
  </si>
  <si>
    <t>I keep going when difficult.</t>
  </si>
  <si>
    <t>NPI0359</t>
  </si>
  <si>
    <t>I ask help after struggling.</t>
  </si>
  <si>
    <t>NPI0360</t>
  </si>
  <si>
    <t>I recover after disappointment.</t>
  </si>
  <si>
    <t>NPI0361</t>
  </si>
  <si>
    <t>I break problems into steps.</t>
  </si>
  <si>
    <t>NPI0362</t>
  </si>
  <si>
    <t>I stay motivated after feedback.</t>
  </si>
  <si>
    <t>NPI0363</t>
  </si>
  <si>
    <t>I rebuild confidence after poor marks.</t>
  </si>
  <si>
    <t>NPI0364</t>
  </si>
  <si>
    <t>I see challenges as practice.</t>
  </si>
  <si>
    <t>NPI0365</t>
  </si>
  <si>
    <t>I try different strategies.</t>
  </si>
  <si>
    <t>NPI0366</t>
  </si>
  <si>
    <t>I continue after criticism.</t>
  </si>
  <si>
    <t>NPI0367</t>
  </si>
  <si>
    <t>I celebrate small progress.</t>
  </si>
  <si>
    <t>NPI0368</t>
  </si>
  <si>
    <t>I handle temporary disappointment.</t>
  </si>
  <si>
    <t>NPI0369</t>
  </si>
  <si>
    <t>I believe effort changes outcomes.</t>
  </si>
  <si>
    <t>NPI0370</t>
  </si>
  <si>
    <t>I return to a topic after difficulty.</t>
  </si>
  <si>
    <t>NPI0371</t>
  </si>
  <si>
    <t>I keep practicing.</t>
  </si>
  <si>
    <t>NPI0372</t>
  </si>
  <si>
    <t>I use failure as information.</t>
  </si>
  <si>
    <t>NPI0373</t>
  </si>
  <si>
    <t>I stay patient with progress.</t>
  </si>
  <si>
    <t>NPI0374</t>
  </si>
  <si>
    <t>I can restart after a setback.</t>
  </si>
  <si>
    <t>NPI0375</t>
  </si>
  <si>
    <t>I complete difficult work with support.</t>
  </si>
  <si>
    <t>NPI0376</t>
  </si>
  <si>
    <t>I make a plan when stressed.</t>
  </si>
  <si>
    <t>Coping Indicator</t>
  </si>
  <si>
    <t>NPI0377</t>
  </si>
  <si>
    <t>I talk to someone trusted.</t>
  </si>
  <si>
    <t>NPI0378</t>
  </si>
  <si>
    <t>I use breaks to refresh.</t>
  </si>
  <si>
    <t>NPI0379</t>
  </si>
  <si>
    <t>I ask for clarification.</t>
  </si>
  <si>
    <t>NPI0380</t>
  </si>
  <si>
    <t>I use breathing or calming methods.</t>
  </si>
  <si>
    <t>NPI0381</t>
  </si>
  <si>
    <t>I organize tasks when overloaded.</t>
  </si>
  <si>
    <t>NPI0382</t>
  </si>
  <si>
    <t>I identify what causes stress.</t>
  </si>
  <si>
    <t>NPI0383</t>
  </si>
  <si>
    <t>I use sleep and movement routines.</t>
  </si>
  <si>
    <t>NPI0384</t>
  </si>
  <si>
    <t>I seek guidance for choices.</t>
  </si>
  <si>
    <t>NPI0385</t>
  </si>
  <si>
    <t>I write steps to solve problems.</t>
  </si>
  <si>
    <t>NPI0386</t>
  </si>
  <si>
    <t>I review mistakes after tests.</t>
  </si>
  <si>
    <t>NPI0387</t>
  </si>
  <si>
    <t>I calm down before decisions.</t>
  </si>
  <si>
    <t>NPI0388</t>
  </si>
  <si>
    <t>I use supportive self-talk.</t>
  </si>
  <si>
    <t>NPI0389</t>
  </si>
  <si>
    <t>I know a strategy that helps.</t>
  </si>
  <si>
    <t>NPI0390</t>
  </si>
  <si>
    <t>I prioritize tasks.</t>
  </si>
  <si>
    <t>NPI0391</t>
  </si>
  <si>
    <t>I reduce distractions.</t>
  </si>
  <si>
    <t>NPI0392</t>
  </si>
  <si>
    <t>I reflect before reacting.</t>
  </si>
  <si>
    <t>NPI0393</t>
  </si>
  <si>
    <t>I ask for help early.</t>
  </si>
  <si>
    <t>NPI0394</t>
  </si>
  <si>
    <t>I create a study plan.</t>
  </si>
  <si>
    <t>NPI0395</t>
  </si>
  <si>
    <t>I use positive routines.</t>
  </si>
  <si>
    <t>NPI0396</t>
  </si>
  <si>
    <t>Learning Style</t>
  </si>
  <si>
    <t>I learn well through diagrams or charts.</t>
  </si>
  <si>
    <t>Visual Learning</t>
  </si>
  <si>
    <t>Preference, not fixed label.</t>
  </si>
  <si>
    <t>NPI0397</t>
  </si>
  <si>
    <t>I learn well through mind maps.</t>
  </si>
  <si>
    <t>NPI0398</t>
  </si>
  <si>
    <t>I learn well through pictures or visual examples.</t>
  </si>
  <si>
    <t>NPI0399</t>
  </si>
  <si>
    <t>I learn well through page layout memory.</t>
  </si>
  <si>
    <t>NPI0400</t>
  </si>
  <si>
    <t>I learn well through videos and animations.</t>
  </si>
  <si>
    <t>NPI0401</t>
  </si>
  <si>
    <t>I learn well through color-coded notes.</t>
  </si>
  <si>
    <t>NPI0402</t>
  </si>
  <si>
    <t>I learn well through flowcharts.</t>
  </si>
  <si>
    <t>NPI0403</t>
  </si>
  <si>
    <t>I learn well through visual summaries.</t>
  </si>
  <si>
    <t>NPI0404</t>
  </si>
  <si>
    <t>I learn well through images.</t>
  </si>
  <si>
    <t>NPI0405</t>
  </si>
  <si>
    <t>I learn well through drawing concepts.</t>
  </si>
  <si>
    <t>NPI0406</t>
  </si>
  <si>
    <t>I learn well through graphs.</t>
  </si>
  <si>
    <t>NPI0407</t>
  </si>
  <si>
    <t>I learn well through worked examples.</t>
  </si>
  <si>
    <t>NPI0408</t>
  </si>
  <si>
    <t>I learn well through symbols or sketches.</t>
  </si>
  <si>
    <t>NPI0409</t>
  </si>
  <si>
    <t>I learn well through visual demonstrations.</t>
  </si>
  <si>
    <t>NPI0410</t>
  </si>
  <si>
    <t>I learn well through visual step-by-step explanations.</t>
  </si>
  <si>
    <t>NPI0411</t>
  </si>
  <si>
    <t>I learn well through spoken explanations.</t>
  </si>
  <si>
    <t>Auditory Learning</t>
  </si>
  <si>
    <t>NPI0412</t>
  </si>
  <si>
    <t>I learn well through class discussions.</t>
  </si>
  <si>
    <t>NPI0413</t>
  </si>
  <si>
    <t>I learn well through lectures or audio.</t>
  </si>
  <si>
    <t>NPI0414</t>
  </si>
  <si>
    <t>I learn well through reading aloud.</t>
  </si>
  <si>
    <t>NPI0415</t>
  </si>
  <si>
    <t>I learn well through asking and answering questions.</t>
  </si>
  <si>
    <t>NPI0416</t>
  </si>
  <si>
    <t>I learn well through group discussion.</t>
  </si>
  <si>
    <t>NPI0417</t>
  </si>
  <si>
    <t>I learn well through teacher stories.</t>
  </si>
  <si>
    <t>NPI0418</t>
  </si>
  <si>
    <t>I learn well through verbal explanation to others.</t>
  </si>
  <si>
    <t>NPI0419</t>
  </si>
  <si>
    <t>I learn well through recorded lessons.</t>
  </si>
  <si>
    <t>NPI0420</t>
  </si>
  <si>
    <t>I learn well through spoken instructions.</t>
  </si>
  <si>
    <t>NPI0421</t>
  </si>
  <si>
    <t>I learn well through debates.</t>
  </si>
  <si>
    <t>NPI0422</t>
  </si>
  <si>
    <t>I learn well through talking through problems.</t>
  </si>
  <si>
    <t>NPI0423</t>
  </si>
  <si>
    <t>I learn well through rhymes or verbal cues.</t>
  </si>
  <si>
    <t>NPI0424</t>
  </si>
  <si>
    <t>I learn well through oral examples.</t>
  </si>
  <si>
    <t>NPI0425</t>
  </si>
  <si>
    <t>I learn well through oral summaries.</t>
  </si>
  <si>
    <t>NPI0426</t>
  </si>
  <si>
    <t>I learn well through doing activities.</t>
  </si>
  <si>
    <t>Kinesthetic Learning</t>
  </si>
  <si>
    <t>NPI0427</t>
  </si>
  <si>
    <t>I learn well through experiments.</t>
  </si>
  <si>
    <t>NPI0428</t>
  </si>
  <si>
    <t>I learn well through physical practice.</t>
  </si>
  <si>
    <t>NPI0429</t>
  </si>
  <si>
    <t>I learn well through models or projects.</t>
  </si>
  <si>
    <t>NPI0430</t>
  </si>
  <si>
    <t>I learn well through trying instead of only reading.</t>
  </si>
  <si>
    <t>NPI0431</t>
  </si>
  <si>
    <t>I learn well through role-play.</t>
  </si>
  <si>
    <t>NPI0432</t>
  </si>
  <si>
    <t>I learn well through practical tasks.</t>
  </si>
  <si>
    <t>NPI0433</t>
  </si>
  <si>
    <t>I learn well through solving many examples.</t>
  </si>
  <si>
    <t>NPI0434</t>
  </si>
  <si>
    <t>I learn well through field visits.</t>
  </si>
  <si>
    <t>NPI0435</t>
  </si>
  <si>
    <t>I learn well through movement breaks.</t>
  </si>
  <si>
    <t>NPI0436</t>
  </si>
  <si>
    <t>I learn well through lab learning.</t>
  </si>
  <si>
    <t>NPI0437</t>
  </si>
  <si>
    <t>I learn well through using technology hands-on.</t>
  </si>
  <si>
    <t>NPI0438</t>
  </si>
  <si>
    <t>I learn well through repetition and practice.</t>
  </si>
  <si>
    <t>NPI0439</t>
  </si>
  <si>
    <t>I learn well through hands-on tasks.</t>
  </si>
  <si>
    <t>NPI0440</t>
  </si>
  <si>
    <t>I learn well through immediate application.</t>
  </si>
  <si>
    <t>NPI0441</t>
  </si>
  <si>
    <t>I learn well through textbooks and notes.</t>
  </si>
  <si>
    <t>ReadingWriting Learning</t>
  </si>
  <si>
    <t>NPI0442</t>
  </si>
  <si>
    <t>I learn well through writing summaries.</t>
  </si>
  <si>
    <t>NPI0443</t>
  </si>
  <si>
    <t>I learn well through reading instructions.</t>
  </si>
  <si>
    <t>NPI0444</t>
  </si>
  <si>
    <t>I learn well through lists and bullet points.</t>
  </si>
  <si>
    <t>NPI0445</t>
  </si>
  <si>
    <t>I learn well through detailed notes.</t>
  </si>
  <si>
    <t>NPI0446</t>
  </si>
  <si>
    <t>I learn well through writing definitions.</t>
  </si>
  <si>
    <t>NPI0447</t>
  </si>
  <si>
    <t>I learn well through reading explanations.</t>
  </si>
  <si>
    <t>NPI0448</t>
  </si>
  <si>
    <t>I learn well through rewriting key points.</t>
  </si>
  <si>
    <t>NPI0449</t>
  </si>
  <si>
    <t>I learn well through written assignments.</t>
  </si>
  <si>
    <t>NPI0450</t>
  </si>
  <si>
    <t>I learn well through worksheets.</t>
  </si>
  <si>
    <t>NPI0451</t>
  </si>
  <si>
    <t>I learn well through quiet reading.</t>
  </si>
  <si>
    <t>NPI0452</t>
  </si>
  <si>
    <t>I learn well through written checklists.</t>
  </si>
  <si>
    <t>NPI0453</t>
  </si>
  <si>
    <t>I learn well through flashcards.</t>
  </si>
  <si>
    <t>NPI0454</t>
  </si>
  <si>
    <t>I learn well through annotating text.</t>
  </si>
  <si>
    <t>NPI0455</t>
  </si>
  <si>
    <t>I learn well through written examples.</t>
  </si>
  <si>
    <t>NPI0456</t>
  </si>
  <si>
    <t>Additional NeuroPi Indicators</t>
  </si>
  <si>
    <t>I know why studies matter.</t>
  </si>
  <si>
    <t>Supports action planning.</t>
  </si>
  <si>
    <t>NPI0457</t>
  </si>
  <si>
    <t>I feel motivated by progress.</t>
  </si>
  <si>
    <t>NPI0458</t>
  </si>
  <si>
    <t>I set goals.</t>
  </si>
  <si>
    <t>NPI0459</t>
  </si>
  <si>
    <t>I like growth challenges.</t>
  </si>
  <si>
    <t>NPI0460</t>
  </si>
  <si>
    <t>I feel inspired by role models.</t>
  </si>
  <si>
    <t>NPI0461</t>
  </si>
  <si>
    <t>I enjoy improving skills.</t>
  </si>
  <si>
    <t>NPI0462</t>
  </si>
  <si>
    <t>I feel energized by meaningful goals.</t>
  </si>
  <si>
    <t>NPI0463</t>
  </si>
  <si>
    <t>I connect subjects to life goals.</t>
  </si>
  <si>
    <t>NPI0464</t>
  </si>
  <si>
    <t>I track my progress.</t>
  </si>
  <si>
    <t>NPI0465</t>
  </si>
  <si>
    <t>I continue when work is not exciting.</t>
  </si>
  <si>
    <t>NPI0466</t>
  </si>
  <si>
    <t>I feel proud completing goals.</t>
  </si>
  <si>
    <t>NPI0467</t>
  </si>
  <si>
    <t>I work harder when I understand the reason.</t>
  </si>
  <si>
    <t>NPI0468</t>
  </si>
  <si>
    <t>I like constructive feedback.</t>
  </si>
  <si>
    <t>NPI0469</t>
  </si>
  <si>
    <t>I feel future is within my influence.</t>
  </si>
  <si>
    <t>NPI0470</t>
  </si>
  <si>
    <t>I enjoy purposeful learning.</t>
  </si>
  <si>
    <t>NPI0471</t>
  </si>
  <si>
    <t>I feel motivated by clear plans.</t>
  </si>
  <si>
    <t>NPI0472</t>
  </si>
  <si>
    <t>I like seeing improvement.</t>
  </si>
  <si>
    <t>NPI0473</t>
  </si>
  <si>
    <t>I value effort.</t>
  </si>
  <si>
    <t>NPI0474</t>
  </si>
  <si>
    <t>I can work toward long-term goals.</t>
  </si>
  <si>
    <t>NPI0475</t>
  </si>
  <si>
    <t>I feel learning can change my future.</t>
  </si>
  <si>
    <t>NPI0476</t>
  </si>
  <si>
    <t>I study regularly.</t>
  </si>
  <si>
    <t>NPI0477</t>
  </si>
  <si>
    <t>I revise after class.</t>
  </si>
  <si>
    <t>NPI0478</t>
  </si>
  <si>
    <t>I keep a weekly plan.</t>
  </si>
  <si>
    <t>NPI0479</t>
  </si>
  <si>
    <t>I remove distractions.</t>
  </si>
  <si>
    <t>NPI0480</t>
  </si>
  <si>
    <t>I test myself.</t>
  </si>
  <si>
    <t>NPI0481</t>
  </si>
  <si>
    <t>I solve practice questions.</t>
  </si>
  <si>
    <t>NPI0482</t>
  </si>
  <si>
    <t>I organize my study space.</t>
  </si>
  <si>
    <t>NPI0483</t>
  </si>
  <si>
    <t>I take short breaks.</t>
  </si>
  <si>
    <t>NPI0484</t>
  </si>
  <si>
    <t>I clarify doubts quickly.</t>
  </si>
  <si>
    <t>NPI0485</t>
  </si>
  <si>
    <t>I review mistakes.</t>
  </si>
  <si>
    <t>NPI0486</t>
  </si>
  <si>
    <t>I make notes in my words.</t>
  </si>
  <si>
    <t>NPI0487</t>
  </si>
  <si>
    <t>I use a timetable.</t>
  </si>
  <si>
    <t>NPI0488</t>
  </si>
  <si>
    <t>I sleep enough before tests.</t>
  </si>
  <si>
    <t>NPI0489</t>
  </si>
  <si>
    <t>I plan my day.</t>
  </si>
  <si>
    <t>NPI0490</t>
  </si>
  <si>
    <t>I start difficult topics early.</t>
  </si>
  <si>
    <t>NPI0491</t>
  </si>
  <si>
    <t>I use revision cycles.</t>
  </si>
  <si>
    <t>NPI0492</t>
  </si>
  <si>
    <t>I practice active recall.</t>
  </si>
  <si>
    <t>NPI0493</t>
  </si>
  <si>
    <t>I summarize chapters.</t>
  </si>
  <si>
    <t>NPI0494</t>
  </si>
  <si>
    <t>I track completion.</t>
  </si>
  <si>
    <t>NPI0495</t>
  </si>
  <si>
    <t>I ask for help on weak areas.</t>
  </si>
  <si>
    <t>NPI0496</t>
  </si>
  <si>
    <t>I explored career options.</t>
  </si>
  <si>
    <t>NPI0497</t>
  </si>
  <si>
    <t>I know subjects linked to goals.</t>
  </si>
  <si>
    <t>NPI0498</t>
  </si>
  <si>
    <t>I know my strengths and interests.</t>
  </si>
  <si>
    <t>NPI0499</t>
  </si>
  <si>
    <t>I understand skills needed for careers.</t>
  </si>
  <si>
    <t>NPI0500</t>
  </si>
  <si>
    <t>I spoken about career options.</t>
  </si>
  <si>
    <t>NPI0501</t>
  </si>
  <si>
    <t>I know three possible pathways.</t>
  </si>
  <si>
    <t>NPI0502</t>
  </si>
  <si>
    <t>I can explain why a career interests me.</t>
  </si>
  <si>
    <t>NPI0503</t>
  </si>
  <si>
    <t>I am open to exploring careers.</t>
  </si>
  <si>
    <t>NPI0504</t>
  </si>
  <si>
    <t>I know stream options.</t>
  </si>
  <si>
    <t>NPI0505</t>
  </si>
  <si>
    <t>I know entrance pathways.</t>
  </si>
  <si>
    <t>NPI0506</t>
  </si>
  <si>
    <t>I feel parents and I can discuss future.</t>
  </si>
  <si>
    <t>NPI0507</t>
  </si>
  <si>
    <t>I tried career-related activities.</t>
  </si>
  <si>
    <t>NPI0508</t>
  </si>
  <si>
    <t>I know the work environment I like.</t>
  </si>
  <si>
    <t>NPI0509</t>
  </si>
  <si>
    <t>I feel clearer after counseling.</t>
  </si>
  <si>
    <t>NPI0510</t>
  </si>
  <si>
    <t>I can shortlist careers.</t>
  </si>
  <si>
    <t>NPI0511</t>
  </si>
  <si>
    <t>I know what I do not want.</t>
  </si>
  <si>
    <t>NPI0512</t>
  </si>
  <si>
    <t>I can compare paths.</t>
  </si>
  <si>
    <t>NPI0513</t>
  </si>
  <si>
    <t>I understand trade-offs.</t>
  </si>
  <si>
    <t>NPI0514</t>
  </si>
  <si>
    <t>I have career questions ready.</t>
  </si>
  <si>
    <t>NPI0515</t>
  </si>
  <si>
    <t>I want exposure before deciding.</t>
  </si>
  <si>
    <t>NPI0516</t>
  </si>
  <si>
    <t>Validity &amp; Readiness</t>
  </si>
  <si>
    <t>I answered these questions honestly.</t>
  </si>
  <si>
    <t>Quality check only.</t>
  </si>
  <si>
    <t>NPI0517</t>
  </si>
  <si>
    <t>I read each question carefully before answering.</t>
  </si>
  <si>
    <t>NPI0518</t>
  </si>
  <si>
    <t>I selected random answers without reading.</t>
  </si>
  <si>
    <t>NPI0519</t>
  </si>
  <si>
    <t>I tried to give answers that only look good.</t>
  </si>
  <si>
    <t>NPI0520</t>
  </si>
  <si>
    <t>My answers reflect how I usually behave.</t>
  </si>
  <si>
    <t>NPI0521</t>
  </si>
  <si>
    <t>I was too tired to answer properly.</t>
  </si>
  <si>
    <t>NPI0522</t>
  </si>
  <si>
    <t>I understood most questions clearly.</t>
  </si>
  <si>
    <t>NPI0523</t>
  </si>
  <si>
    <t>I rushed through the test.</t>
  </si>
  <si>
    <t>NPI0524</t>
  </si>
  <si>
    <t>I felt safe answering honestly.</t>
  </si>
  <si>
    <t>NPI0525</t>
  </si>
  <si>
    <t>I would like to discuss my results with a counselor.</t>
  </si>
  <si>
    <t>Student_Responses</t>
  </si>
  <si>
    <t>Student Response Entry</t>
  </si>
  <si>
    <t>Enter responses in column M only</t>
  </si>
  <si>
    <t>Student Name</t>
  </si>
  <si>
    <t>Grade</t>
  </si>
  <si>
    <t>Assessment Date</t>
  </si>
  <si>
    <t>Counselor</t>
  </si>
  <si>
    <t>Student Response</t>
  </si>
  <si>
    <t>Score</t>
  </si>
  <si>
    <t>Reverse</t>
  </si>
  <si>
    <t>Max Score</t>
  </si>
  <si>
    <r>
      <rPr>
        <sz val="12"/>
        <color indexed="12"/>
        <rFont val="Aptos"/>
      </rPr>
      <t>QID</t>
    </r>
  </si>
  <si>
    <r>
      <rPr>
        <sz val="12"/>
        <color indexed="12"/>
        <rFont val="Aptos"/>
      </rPr>
      <t>Grade Band</t>
    </r>
  </si>
  <si>
    <r>
      <rPr>
        <sz val="12"/>
        <color indexed="12"/>
        <rFont val="Aptos"/>
      </rPr>
      <t>Domain</t>
    </r>
  </si>
  <si>
    <r>
      <rPr>
        <sz val="12"/>
        <color indexed="12"/>
        <rFont val="Aptos"/>
      </rPr>
      <t>Subdomain</t>
    </r>
  </si>
  <si>
    <r>
      <rPr>
        <sz val="12"/>
        <color indexed="12"/>
        <rFont val="Aptos"/>
      </rPr>
      <t>Trait/Code</t>
    </r>
  </si>
  <si>
    <r>
      <rPr>
        <sz val="12"/>
        <color indexed="12"/>
        <rFont val="Aptos"/>
      </rPr>
      <t>Question Type</t>
    </r>
  </si>
  <si>
    <r>
      <rPr>
        <sz val="12"/>
        <color indexed="12"/>
        <rFont val="Aptos"/>
      </rPr>
      <t>Question</t>
    </r>
  </si>
  <si>
    <r>
      <rPr>
        <sz val="12"/>
        <color indexed="12"/>
        <rFont val="Aptos"/>
      </rPr>
      <t>Option A</t>
    </r>
  </si>
  <si>
    <r>
      <rPr>
        <sz val="12"/>
        <color indexed="12"/>
        <rFont val="Aptos"/>
      </rPr>
      <t>Option B</t>
    </r>
  </si>
  <si>
    <r>
      <rPr>
        <sz val="12"/>
        <color indexed="12"/>
        <rFont val="Aptos"/>
      </rPr>
      <t>Option C</t>
    </r>
  </si>
  <si>
    <r>
      <rPr>
        <sz val="12"/>
        <color indexed="12"/>
        <rFont val="Aptos"/>
      </rPr>
      <t>Option D</t>
    </r>
  </si>
  <si>
    <r>
      <rPr>
        <sz val="12"/>
        <color indexed="12"/>
        <rFont val="Aptos"/>
      </rPr>
      <t>Correct/Key</t>
    </r>
  </si>
  <si>
    <r>
      <rPr>
        <sz val="12"/>
        <color indexed="12"/>
        <rFont val="Aptos"/>
      </rPr>
      <t>Reverse Scored</t>
    </r>
  </si>
  <si>
    <r>
      <rPr>
        <sz val="12"/>
        <color indexed="12"/>
        <rFont val="Aptos"/>
      </rPr>
      <t>NPI0001</t>
    </r>
  </si>
  <si>
    <r>
      <rPr>
        <sz val="12"/>
        <color indexed="12"/>
        <rFont val="Aptos"/>
      </rPr>
      <t>8-12</t>
    </r>
  </si>
  <si>
    <r>
      <rPr>
        <sz val="12"/>
        <color indexed="12"/>
        <rFont val="Aptos"/>
      </rPr>
      <t>RIASEC Interest</t>
    </r>
  </si>
  <si>
    <r>
      <rPr>
        <sz val="12"/>
        <color indexed="12"/>
        <rFont val="Aptos"/>
      </rPr>
      <t>Realistic</t>
    </r>
  </si>
  <si>
    <r>
      <rPr>
        <sz val="12"/>
        <color indexed="12"/>
        <rFont val="Aptos"/>
      </rPr>
      <t>R</t>
    </r>
  </si>
  <si>
    <r>
      <rPr>
        <sz val="12"/>
        <color indexed="12"/>
        <rFont val="Aptos"/>
      </rPr>
      <t>Likert</t>
    </r>
  </si>
  <si>
    <r>
      <rPr>
        <sz val="12"/>
        <color indexed="12"/>
        <rFont val="Aptos"/>
      </rPr>
      <t>I enjoy activities involving building or fixing things.</t>
    </r>
  </si>
  <si>
    <r>
      <rPr>
        <sz val="12"/>
        <color indexed="12"/>
        <rFont val="Aptos"/>
      </rPr>
      <t>No</t>
    </r>
  </si>
  <si>
    <r>
      <rPr>
        <sz val="12"/>
        <color indexed="12"/>
        <rFont val="Aptos"/>
      </rPr>
      <t>NPI0002</t>
    </r>
  </si>
  <si>
    <r>
      <rPr>
        <sz val="12"/>
        <color indexed="12"/>
        <rFont val="Aptos"/>
      </rPr>
      <t>I enjoy activities involving using tools or equipment.</t>
    </r>
  </si>
  <si>
    <r>
      <rPr>
        <sz val="12"/>
        <color indexed="12"/>
        <rFont val="Aptos"/>
      </rPr>
      <t>NPI0003</t>
    </r>
  </si>
  <si>
    <r>
      <rPr>
        <sz val="12"/>
        <color indexed="12"/>
        <rFont val="Aptos"/>
      </rPr>
      <t>I enjoy activities involving robotics or electronics.</t>
    </r>
  </si>
  <si>
    <r>
      <rPr>
        <sz val="12"/>
        <color indexed="12"/>
        <rFont val="Aptos"/>
      </rPr>
      <t>NPI0004</t>
    </r>
  </si>
  <si>
    <r>
      <rPr>
        <sz val="12"/>
        <color indexed="12"/>
        <rFont val="Aptos"/>
      </rPr>
      <t>I enjoy activities involving field activities.</t>
    </r>
  </si>
  <si>
    <r>
      <rPr>
        <sz val="12"/>
        <color indexed="12"/>
        <rFont val="Aptos"/>
      </rPr>
      <t>NPI0005</t>
    </r>
  </si>
  <si>
    <r>
      <rPr>
        <sz val="12"/>
        <color indexed="12"/>
        <rFont val="Aptos"/>
      </rPr>
      <t>I enjoy activities involving technical workshops.</t>
    </r>
  </si>
  <si>
    <r>
      <rPr>
        <sz val="12"/>
        <color indexed="12"/>
        <rFont val="Aptos"/>
      </rPr>
      <t>NPI0006</t>
    </r>
  </si>
  <si>
    <r>
      <rPr>
        <sz val="12"/>
        <color indexed="12"/>
        <rFont val="Aptos"/>
      </rPr>
      <t>I enjoy activities involving hands-on science labs.</t>
    </r>
  </si>
  <si>
    <r>
      <rPr>
        <sz val="12"/>
        <color indexed="12"/>
        <rFont val="Aptos"/>
      </rPr>
      <t>NPI0007</t>
    </r>
  </si>
  <si>
    <r>
      <rPr>
        <sz val="12"/>
        <color indexed="12"/>
        <rFont val="Aptos"/>
      </rPr>
      <t>I enjoy activities involving repairing devices.</t>
    </r>
  </si>
  <si>
    <r>
      <rPr>
        <sz val="12"/>
        <color indexed="12"/>
        <rFont val="Aptos"/>
      </rPr>
      <t>NPI0008</t>
    </r>
  </si>
  <si>
    <r>
      <rPr>
        <sz val="12"/>
        <color indexed="12"/>
        <rFont val="Aptos"/>
      </rPr>
      <t>I enjoy activities involving making useful models.</t>
    </r>
  </si>
  <si>
    <r>
      <rPr>
        <sz val="12"/>
        <color indexed="12"/>
        <rFont val="Aptos"/>
      </rPr>
      <t>NPI0009</t>
    </r>
  </si>
  <si>
    <r>
      <rPr>
        <sz val="12"/>
        <color indexed="12"/>
        <rFont val="Aptos"/>
      </rPr>
      <t>I enjoy activities involving practical experiments.</t>
    </r>
  </si>
  <si>
    <r>
      <rPr>
        <sz val="12"/>
        <color indexed="12"/>
        <rFont val="Aptos"/>
      </rPr>
      <t>NPI0010</t>
    </r>
  </si>
  <si>
    <r>
      <rPr>
        <sz val="12"/>
        <color indexed="12"/>
        <rFont val="Aptos"/>
      </rPr>
      <t>I enjoy activities involving engineering activities.</t>
    </r>
  </si>
  <si>
    <r>
      <rPr>
        <sz val="12"/>
        <color indexed="12"/>
        <rFont val="Aptos"/>
      </rPr>
      <t>NPI0011</t>
    </r>
  </si>
  <si>
    <r>
      <rPr>
        <sz val="12"/>
        <color indexed="12"/>
        <rFont val="Aptos"/>
      </rPr>
      <t>I enjoy activities involving machines and systems.</t>
    </r>
  </si>
  <si>
    <r>
      <rPr>
        <sz val="12"/>
        <color indexed="12"/>
        <rFont val="Aptos"/>
      </rPr>
      <t>NPI0012</t>
    </r>
  </si>
  <si>
    <r>
      <rPr>
        <sz val="12"/>
        <color indexed="12"/>
        <rFont val="Aptos"/>
      </rPr>
      <t>I enjoy activities involving outdoor problem-solving.</t>
    </r>
  </si>
  <si>
    <r>
      <rPr>
        <sz val="12"/>
        <color indexed="12"/>
        <rFont val="Aptos"/>
      </rPr>
      <t>NPI0013</t>
    </r>
  </si>
  <si>
    <r>
      <rPr>
        <sz val="12"/>
        <color indexed="12"/>
        <rFont val="Aptos"/>
      </rPr>
      <t>I enjoy activities involving working with materials.</t>
    </r>
  </si>
  <si>
    <r>
      <rPr>
        <sz val="12"/>
        <color indexed="12"/>
        <rFont val="Aptos"/>
      </rPr>
      <t>NPI0014</t>
    </r>
  </si>
  <si>
    <r>
      <rPr>
        <sz val="12"/>
        <color indexed="12"/>
        <rFont val="Aptos"/>
      </rPr>
      <t>I enjoy activities involving physical precision tasks.</t>
    </r>
  </si>
  <si>
    <r>
      <rPr>
        <sz val="12"/>
        <color indexed="12"/>
        <rFont val="Aptos"/>
      </rPr>
      <t>NPI0015</t>
    </r>
  </si>
  <si>
    <r>
      <rPr>
        <sz val="12"/>
        <color indexed="12"/>
        <rFont val="Aptos"/>
      </rPr>
      <t>I enjoy activities involving applied technology.</t>
    </r>
  </si>
  <si>
    <r>
      <rPr>
        <sz val="12"/>
        <color indexed="12"/>
        <rFont val="Aptos"/>
      </rPr>
      <t>NPI0016</t>
    </r>
  </si>
  <si>
    <r>
      <rPr>
        <sz val="12"/>
        <color indexed="12"/>
        <rFont val="Aptos"/>
      </rPr>
      <t>Investigative</t>
    </r>
  </si>
  <si>
    <r>
      <rPr>
        <sz val="12"/>
        <color indexed="12"/>
        <rFont val="Aptos"/>
      </rPr>
      <t>I</t>
    </r>
  </si>
  <si>
    <r>
      <rPr>
        <sz val="12"/>
        <color indexed="12"/>
        <rFont val="Aptos"/>
      </rPr>
      <t>I enjoy activities involving solving puzzles.</t>
    </r>
  </si>
  <si>
    <r>
      <rPr>
        <sz val="12"/>
        <color indexed="12"/>
        <rFont val="Aptos"/>
      </rPr>
      <t>NPI0017</t>
    </r>
  </si>
  <si>
    <r>
      <rPr>
        <sz val="12"/>
        <color indexed="12"/>
        <rFont val="Aptos"/>
      </rPr>
      <t>I enjoy activities involving asking why things happen.</t>
    </r>
  </si>
  <si>
    <r>
      <rPr>
        <sz val="12"/>
        <color indexed="12"/>
        <rFont val="Aptos"/>
      </rPr>
      <t>NPI0018</t>
    </r>
  </si>
  <si>
    <r>
      <rPr>
        <sz val="12"/>
        <color indexed="12"/>
        <rFont val="Aptos"/>
      </rPr>
      <t>I enjoy activities involving science experiments.</t>
    </r>
  </si>
  <si>
    <r>
      <rPr>
        <sz val="12"/>
        <color indexed="12"/>
        <rFont val="Aptos"/>
      </rPr>
      <t>NPI0019</t>
    </r>
  </si>
  <si>
    <r>
      <rPr>
        <sz val="12"/>
        <color indexed="12"/>
        <rFont val="Aptos"/>
      </rPr>
      <t>I enjoy activities involving analyzing data.</t>
    </r>
  </si>
  <si>
    <r>
      <rPr>
        <sz val="12"/>
        <color indexed="12"/>
        <rFont val="Aptos"/>
      </rPr>
      <t>NPI0020</t>
    </r>
  </si>
  <si>
    <r>
      <rPr>
        <sz val="12"/>
        <color indexed="12"/>
        <rFont val="Aptos"/>
      </rPr>
      <t>I enjoy activities involving research projects.</t>
    </r>
  </si>
  <si>
    <r>
      <rPr>
        <sz val="12"/>
        <color indexed="12"/>
        <rFont val="Aptos"/>
      </rPr>
      <t>NPI0021</t>
    </r>
  </si>
  <si>
    <r>
      <rPr>
        <sz val="12"/>
        <color indexed="12"/>
        <rFont val="Aptos"/>
      </rPr>
      <t>I enjoy activities involving deep-thinking subjects.</t>
    </r>
  </si>
  <si>
    <r>
      <rPr>
        <sz val="12"/>
        <color indexed="12"/>
        <rFont val="Aptos"/>
      </rPr>
      <t>NPI0022</t>
    </r>
  </si>
  <si>
    <r>
      <rPr>
        <sz val="12"/>
        <color indexed="12"/>
        <rFont val="Aptos"/>
      </rPr>
      <t>I enjoy activities involving finding patterns.</t>
    </r>
  </si>
  <si>
    <r>
      <rPr>
        <sz val="12"/>
        <color indexed="12"/>
        <rFont val="Aptos"/>
      </rPr>
      <t>NPI0023</t>
    </r>
  </si>
  <si>
    <r>
      <rPr>
        <sz val="12"/>
        <color indexed="12"/>
        <rFont val="Aptos"/>
      </rPr>
      <t>I enjoy activities involving medical or technology topics.</t>
    </r>
  </si>
  <si>
    <r>
      <rPr>
        <sz val="12"/>
        <color indexed="12"/>
        <rFont val="Aptos"/>
      </rPr>
      <t>NPI0024</t>
    </r>
  </si>
  <si>
    <r>
      <rPr>
        <sz val="12"/>
        <color indexed="12"/>
        <rFont val="Aptos"/>
      </rPr>
      <t>I enjoy activities involving evidence-based decisions.</t>
    </r>
  </si>
  <si>
    <r>
      <rPr>
        <sz val="12"/>
        <color indexed="12"/>
        <rFont val="Aptos"/>
      </rPr>
      <t>NPI0025</t>
    </r>
  </si>
  <si>
    <r>
      <rPr>
        <sz val="12"/>
        <color indexed="12"/>
        <rFont val="Aptos"/>
      </rPr>
      <t>I enjoy activities involving mathematical challenges.</t>
    </r>
  </si>
  <si>
    <r>
      <rPr>
        <sz val="12"/>
        <color indexed="12"/>
        <rFont val="Aptos"/>
      </rPr>
      <t>NPI0026</t>
    </r>
  </si>
  <si>
    <r>
      <rPr>
        <sz val="12"/>
        <color indexed="12"/>
        <rFont val="Aptos"/>
      </rPr>
      <t>I enjoy activities involving independent inquiry.</t>
    </r>
  </si>
  <si>
    <r>
      <rPr>
        <sz val="12"/>
        <color indexed="12"/>
        <rFont val="Aptos"/>
      </rPr>
      <t>NPI0027</t>
    </r>
  </si>
  <si>
    <r>
      <rPr>
        <sz val="12"/>
        <color indexed="12"/>
        <rFont val="Aptos"/>
      </rPr>
      <t>I enjoy activities involving understanding causes.</t>
    </r>
  </si>
  <si>
    <r>
      <rPr>
        <sz val="12"/>
        <color indexed="12"/>
        <rFont val="Aptos"/>
      </rPr>
      <t>NPI0028</t>
    </r>
  </si>
  <si>
    <r>
      <rPr>
        <sz val="12"/>
        <color indexed="12"/>
        <rFont val="Aptos"/>
      </rPr>
      <t>I enjoy activities involving testing ideas.</t>
    </r>
  </si>
  <si>
    <r>
      <rPr>
        <sz val="12"/>
        <color indexed="12"/>
        <rFont val="Aptos"/>
      </rPr>
      <t>NPI0029</t>
    </r>
  </si>
  <si>
    <r>
      <rPr>
        <sz val="12"/>
        <color indexed="12"/>
        <rFont val="Aptos"/>
      </rPr>
      <t>I enjoy activities involving logic problems.</t>
    </r>
  </si>
  <si>
    <r>
      <rPr>
        <sz val="12"/>
        <color indexed="12"/>
        <rFont val="Aptos"/>
      </rPr>
      <t>NPI0030</t>
    </r>
  </si>
  <si>
    <r>
      <rPr>
        <sz val="12"/>
        <color indexed="12"/>
        <rFont val="Aptos"/>
      </rPr>
      <t>I enjoy activities involving scientific discovery.</t>
    </r>
  </si>
  <si>
    <r>
      <rPr>
        <sz val="12"/>
        <color indexed="12"/>
        <rFont val="Aptos"/>
      </rPr>
      <t>NPI0031</t>
    </r>
  </si>
  <si>
    <r>
      <rPr>
        <sz val="12"/>
        <color indexed="12"/>
        <rFont val="Aptos"/>
      </rPr>
      <t>Artistic</t>
    </r>
  </si>
  <si>
    <r>
      <rPr>
        <sz val="12"/>
        <color indexed="12"/>
        <rFont val="Aptos"/>
      </rPr>
      <t>A</t>
    </r>
  </si>
  <si>
    <r>
      <rPr>
        <sz val="12"/>
        <color indexed="12"/>
        <rFont val="Aptos"/>
      </rPr>
      <t>I enjoy activities involving drawing or design.</t>
    </r>
  </si>
  <si>
    <r>
      <rPr>
        <sz val="12"/>
        <color indexed="12"/>
        <rFont val="Aptos"/>
      </rPr>
      <t>NPI0032</t>
    </r>
  </si>
  <si>
    <r>
      <rPr>
        <sz val="12"/>
        <color indexed="12"/>
        <rFont val="Aptos"/>
      </rPr>
      <t>I enjoy activities involving music or performance.</t>
    </r>
  </si>
  <si>
    <r>
      <rPr>
        <sz val="12"/>
        <color indexed="12"/>
        <rFont val="Aptos"/>
      </rPr>
      <t>NPI0033</t>
    </r>
  </si>
  <si>
    <r>
      <rPr>
        <sz val="12"/>
        <color indexed="12"/>
        <rFont val="Aptos"/>
      </rPr>
      <t>I enjoy activities involving creative writing.</t>
    </r>
  </si>
  <si>
    <r>
      <rPr>
        <sz val="12"/>
        <color indexed="12"/>
        <rFont val="Aptos"/>
      </rPr>
      <t>NPI0034</t>
    </r>
  </si>
  <si>
    <r>
      <rPr>
        <sz val="12"/>
        <color indexed="12"/>
        <rFont val="Aptos"/>
      </rPr>
      <t>I enjoy activities involving making original work.</t>
    </r>
  </si>
  <si>
    <r>
      <rPr>
        <sz val="12"/>
        <color indexed="12"/>
        <rFont val="Aptos"/>
      </rPr>
      <t>NPI0035</t>
    </r>
  </si>
  <si>
    <r>
      <rPr>
        <sz val="12"/>
        <color indexed="12"/>
        <rFont val="Aptos"/>
      </rPr>
      <t>I enjoy activities involving visual communication.</t>
    </r>
  </si>
  <si>
    <r>
      <rPr>
        <sz val="12"/>
        <color indexed="12"/>
        <rFont val="Aptos"/>
      </rPr>
      <t>NPI0036</t>
    </r>
  </si>
  <si>
    <r>
      <rPr>
        <sz val="12"/>
        <color indexed="12"/>
        <rFont val="Aptos"/>
      </rPr>
      <t>I enjoy activities involving storytelling.</t>
    </r>
  </si>
  <si>
    <r>
      <rPr>
        <sz val="12"/>
        <color indexed="12"/>
        <rFont val="Aptos"/>
      </rPr>
      <t>NPI0037</t>
    </r>
  </si>
  <si>
    <r>
      <rPr>
        <sz val="12"/>
        <color indexed="12"/>
        <rFont val="Aptos"/>
      </rPr>
      <t>I enjoy activities involving media creation.</t>
    </r>
  </si>
  <si>
    <r>
      <rPr>
        <sz val="12"/>
        <color indexed="12"/>
        <rFont val="Aptos"/>
      </rPr>
      <t>NPI0038</t>
    </r>
  </si>
  <si>
    <r>
      <rPr>
        <sz val="12"/>
        <color indexed="12"/>
        <rFont val="Aptos"/>
      </rPr>
      <t>I enjoy activities involving open-ended projects.</t>
    </r>
  </si>
  <si>
    <r>
      <rPr>
        <sz val="12"/>
        <color indexed="12"/>
        <rFont val="Aptos"/>
      </rPr>
      <t>NPI0039</t>
    </r>
  </si>
  <si>
    <r>
      <rPr>
        <sz val="12"/>
        <color indexed="12"/>
        <rFont val="Aptos"/>
      </rPr>
      <t>I enjoy activities involving aesthetic choices.</t>
    </r>
  </si>
  <si>
    <r>
      <rPr>
        <sz val="12"/>
        <color indexed="12"/>
        <rFont val="Aptos"/>
      </rPr>
      <t>NPI0040</t>
    </r>
  </si>
  <si>
    <r>
      <rPr>
        <sz val="12"/>
        <color indexed="12"/>
        <rFont val="Aptos"/>
      </rPr>
      <t>I enjoy activities involving imaginative assignments.</t>
    </r>
  </si>
  <si>
    <r>
      <rPr>
        <sz val="12"/>
        <color indexed="12"/>
        <rFont val="Aptos"/>
      </rPr>
      <t>NPI0041</t>
    </r>
  </si>
  <si>
    <r>
      <rPr>
        <sz val="12"/>
        <color indexed="12"/>
        <rFont val="Aptos"/>
      </rPr>
      <t>I enjoy activities involving designing posters.</t>
    </r>
  </si>
  <si>
    <r>
      <rPr>
        <sz val="12"/>
        <color indexed="12"/>
        <rFont val="Aptos"/>
      </rPr>
      <t>NPI0042</t>
    </r>
  </si>
  <si>
    <r>
      <rPr>
        <sz val="12"/>
        <color indexed="12"/>
        <rFont val="Aptos"/>
      </rPr>
      <t>I enjoy activities involving creating videos.</t>
    </r>
  </si>
  <si>
    <r>
      <rPr>
        <sz val="12"/>
        <color indexed="12"/>
        <rFont val="Aptos"/>
      </rPr>
      <t>NPI0043</t>
    </r>
  </si>
  <si>
    <r>
      <rPr>
        <sz val="12"/>
        <color indexed="12"/>
        <rFont val="Aptos"/>
      </rPr>
      <t>I enjoy activities involving expressing emotions.</t>
    </r>
  </si>
  <si>
    <r>
      <rPr>
        <sz val="12"/>
        <color indexed="12"/>
        <rFont val="Aptos"/>
      </rPr>
      <t>NPI0044</t>
    </r>
  </si>
  <si>
    <r>
      <rPr>
        <sz val="12"/>
        <color indexed="12"/>
        <rFont val="Aptos"/>
      </rPr>
      <t>I enjoy activities involving creative technology.</t>
    </r>
  </si>
  <si>
    <r>
      <rPr>
        <sz val="12"/>
        <color indexed="12"/>
        <rFont val="Aptos"/>
      </rPr>
      <t>NPI0045</t>
    </r>
  </si>
  <si>
    <r>
      <rPr>
        <sz val="12"/>
        <color indexed="12"/>
        <rFont val="Aptos"/>
      </rPr>
      <t>I enjoy activities involving portfolio work.</t>
    </r>
  </si>
  <si>
    <r>
      <rPr>
        <sz val="12"/>
        <color indexed="12"/>
        <rFont val="Aptos"/>
      </rPr>
      <t>NPI0046</t>
    </r>
  </si>
  <si>
    <r>
      <rPr>
        <sz val="12"/>
        <color indexed="12"/>
        <rFont val="Aptos"/>
      </rPr>
      <t>Social</t>
    </r>
  </si>
  <si>
    <r>
      <rPr>
        <sz val="12"/>
        <color indexed="12"/>
        <rFont val="Aptos"/>
      </rPr>
      <t>S</t>
    </r>
  </si>
  <si>
    <r>
      <rPr>
        <sz val="12"/>
        <color indexed="12"/>
        <rFont val="Aptos"/>
      </rPr>
      <t>I enjoy activities involving helping classmates.</t>
    </r>
  </si>
  <si>
    <r>
      <rPr>
        <sz val="12"/>
        <color indexed="12"/>
        <rFont val="Aptos"/>
      </rPr>
      <t>NPI0047</t>
    </r>
  </si>
  <si>
    <r>
      <rPr>
        <sz val="12"/>
        <color indexed="12"/>
        <rFont val="Aptos"/>
      </rPr>
      <t>I enjoy activities involving listening to others.</t>
    </r>
  </si>
  <si>
    <r>
      <rPr>
        <sz val="12"/>
        <color indexed="12"/>
        <rFont val="Aptos"/>
      </rPr>
      <t>NPI0048</t>
    </r>
  </si>
  <si>
    <r>
      <rPr>
        <sz val="12"/>
        <color indexed="12"/>
        <rFont val="Aptos"/>
      </rPr>
      <t>I enjoy activities involving teaching younger students.</t>
    </r>
  </si>
  <si>
    <r>
      <rPr>
        <sz val="12"/>
        <color indexed="12"/>
        <rFont val="Aptos"/>
      </rPr>
      <t>NPI0049</t>
    </r>
  </si>
  <si>
    <r>
      <rPr>
        <sz val="12"/>
        <color indexed="12"/>
        <rFont val="Aptos"/>
      </rPr>
      <t>I enjoy activities involving counseling or mentoring.</t>
    </r>
  </si>
  <si>
    <r>
      <rPr>
        <sz val="12"/>
        <color indexed="12"/>
        <rFont val="Aptos"/>
      </rPr>
      <t>NPI0050</t>
    </r>
  </si>
  <si>
    <r>
      <rPr>
        <sz val="12"/>
        <color indexed="12"/>
        <rFont val="Aptos"/>
      </rPr>
      <t>I enjoy activities involving team support.</t>
    </r>
  </si>
  <si>
    <r>
      <rPr>
        <sz val="12"/>
        <color indexed="12"/>
        <rFont val="Aptos"/>
      </rPr>
      <t>NPI0051</t>
    </r>
  </si>
  <si>
    <r>
      <rPr>
        <sz val="12"/>
        <color indexed="12"/>
        <rFont val="Aptos"/>
      </rPr>
      <t>I enjoy activities involving community service.</t>
    </r>
  </si>
  <si>
    <r>
      <rPr>
        <sz val="12"/>
        <color indexed="12"/>
        <rFont val="Aptos"/>
      </rPr>
      <t>NPI0052</t>
    </r>
  </si>
  <si>
    <r>
      <rPr>
        <sz val="12"/>
        <color indexed="12"/>
        <rFont val="Aptos"/>
      </rPr>
      <t>I enjoy activities involving patient explanation.</t>
    </r>
  </si>
  <si>
    <r>
      <rPr>
        <sz val="12"/>
        <color indexed="12"/>
        <rFont val="Aptos"/>
      </rPr>
      <t>NPI0053</t>
    </r>
  </si>
  <si>
    <r>
      <rPr>
        <sz val="12"/>
        <color indexed="12"/>
        <rFont val="Aptos"/>
      </rPr>
      <t>I enjoy activities involving including others.</t>
    </r>
  </si>
  <si>
    <r>
      <rPr>
        <sz val="12"/>
        <color indexed="12"/>
        <rFont val="Aptos"/>
      </rPr>
      <t>NPI0054</t>
    </r>
  </si>
  <si>
    <r>
      <rPr>
        <sz val="12"/>
        <color indexed="12"/>
        <rFont val="Aptos"/>
      </rPr>
      <t>I enjoy activities involving understanding feelings.</t>
    </r>
  </si>
  <si>
    <r>
      <rPr>
        <sz val="12"/>
        <color indexed="12"/>
        <rFont val="Aptos"/>
      </rPr>
      <t>NPI0055</t>
    </r>
  </si>
  <si>
    <r>
      <rPr>
        <sz val="12"/>
        <color indexed="12"/>
        <rFont val="Aptos"/>
      </rPr>
      <t>I enjoy activities involving healthcare roles.</t>
    </r>
  </si>
  <si>
    <r>
      <rPr>
        <sz val="12"/>
        <color indexed="12"/>
        <rFont val="Aptos"/>
      </rPr>
      <t>NPI0056</t>
    </r>
  </si>
  <si>
    <r>
      <rPr>
        <sz val="12"/>
        <color indexed="12"/>
        <rFont val="Aptos"/>
      </rPr>
      <t>I enjoy activities involving psychology topics.</t>
    </r>
  </si>
  <si>
    <r>
      <rPr>
        <sz val="12"/>
        <color indexed="12"/>
        <rFont val="Aptos"/>
      </rPr>
      <t>NPI0057</t>
    </r>
  </si>
  <si>
    <r>
      <rPr>
        <sz val="12"/>
        <color indexed="12"/>
        <rFont val="Aptos"/>
      </rPr>
      <t>I enjoy activities involving peer support.</t>
    </r>
  </si>
  <si>
    <r>
      <rPr>
        <sz val="12"/>
        <color indexed="12"/>
        <rFont val="Aptos"/>
      </rPr>
      <t>NPI0058</t>
    </r>
  </si>
  <si>
    <r>
      <rPr>
        <sz val="12"/>
        <color indexed="12"/>
        <rFont val="Aptos"/>
      </rPr>
      <t>I enjoy activities involving volunteering.</t>
    </r>
  </si>
  <si>
    <r>
      <rPr>
        <sz val="12"/>
        <color indexed="12"/>
        <rFont val="Aptos"/>
      </rPr>
      <t>NPI0059</t>
    </r>
  </si>
  <si>
    <r>
      <rPr>
        <sz val="12"/>
        <color indexed="12"/>
        <rFont val="Aptos"/>
      </rPr>
      <t>I enjoy activities involving conflict resolution.</t>
    </r>
  </si>
  <si>
    <r>
      <rPr>
        <sz val="12"/>
        <color indexed="12"/>
        <rFont val="Aptos"/>
      </rPr>
      <t>NPI0060</t>
    </r>
  </si>
  <si>
    <r>
      <rPr>
        <sz val="12"/>
        <color indexed="12"/>
        <rFont val="Aptos"/>
      </rPr>
      <t>I enjoy activities involving cooperative projects.</t>
    </r>
  </si>
  <si>
    <r>
      <rPr>
        <sz val="12"/>
        <color indexed="12"/>
        <rFont val="Aptos"/>
      </rPr>
      <t>NPI0061</t>
    </r>
  </si>
  <si>
    <r>
      <rPr>
        <sz val="12"/>
        <color indexed="12"/>
        <rFont val="Aptos"/>
      </rPr>
      <t>Enterprising</t>
    </r>
  </si>
  <si>
    <r>
      <rPr>
        <sz val="12"/>
        <color indexed="12"/>
        <rFont val="Aptos"/>
      </rPr>
      <t>E</t>
    </r>
  </si>
  <si>
    <r>
      <rPr>
        <sz val="12"/>
        <color indexed="12"/>
        <rFont val="Aptos"/>
      </rPr>
      <t>I enjoy activities involving leading groups.</t>
    </r>
  </si>
  <si>
    <r>
      <rPr>
        <sz val="12"/>
        <color indexed="12"/>
        <rFont val="Aptos"/>
      </rPr>
      <t>NPI0062</t>
    </r>
  </si>
  <si>
    <r>
      <rPr>
        <sz val="12"/>
        <color indexed="12"/>
        <rFont val="Aptos"/>
      </rPr>
      <t>I enjoy activities involving presenting ideas.</t>
    </r>
  </si>
  <si>
    <r>
      <rPr>
        <sz val="12"/>
        <color indexed="12"/>
        <rFont val="Aptos"/>
      </rPr>
      <t>NPI0063</t>
    </r>
  </si>
  <si>
    <r>
      <rPr>
        <sz val="12"/>
        <color indexed="12"/>
        <rFont val="Aptos"/>
      </rPr>
      <t>I enjoy activities involving persuading others.</t>
    </r>
  </si>
  <si>
    <r>
      <rPr>
        <sz val="12"/>
        <color indexed="12"/>
        <rFont val="Aptos"/>
      </rPr>
      <t>NPI0064</t>
    </r>
  </si>
  <si>
    <r>
      <rPr>
        <sz val="12"/>
        <color indexed="12"/>
        <rFont val="Aptos"/>
      </rPr>
      <t>I enjoy activities involving starting initiatives.</t>
    </r>
  </si>
  <si>
    <r>
      <rPr>
        <sz val="12"/>
        <color indexed="12"/>
        <rFont val="Aptos"/>
      </rPr>
      <t>NPI0065</t>
    </r>
  </si>
  <si>
    <r>
      <rPr>
        <sz val="12"/>
        <color indexed="12"/>
        <rFont val="Aptos"/>
      </rPr>
      <t>I enjoy activities involving business activities.</t>
    </r>
  </si>
  <si>
    <r>
      <rPr>
        <sz val="12"/>
        <color indexed="12"/>
        <rFont val="Aptos"/>
      </rPr>
      <t>NPI0066</t>
    </r>
  </si>
  <si>
    <r>
      <rPr>
        <sz val="12"/>
        <color indexed="12"/>
        <rFont val="Aptos"/>
      </rPr>
      <t>I enjoy activities involving debates.</t>
    </r>
  </si>
  <si>
    <r>
      <rPr>
        <sz val="12"/>
        <color indexed="12"/>
        <rFont val="Aptos"/>
      </rPr>
      <t>NPI0067</t>
    </r>
  </si>
  <si>
    <r>
      <rPr>
        <sz val="12"/>
        <color indexed="12"/>
        <rFont val="Aptos"/>
      </rPr>
      <t>I enjoy activities involving campaign planning.</t>
    </r>
  </si>
  <si>
    <r>
      <rPr>
        <sz val="12"/>
        <color indexed="12"/>
        <rFont val="Aptos"/>
      </rPr>
      <t>NPI0068</t>
    </r>
  </si>
  <si>
    <r>
      <rPr>
        <sz val="12"/>
        <color indexed="12"/>
        <rFont val="Aptos"/>
      </rPr>
      <t>I enjoy activities involving decision-making.</t>
    </r>
  </si>
  <si>
    <r>
      <rPr>
        <sz val="12"/>
        <color indexed="12"/>
        <rFont val="Aptos"/>
      </rPr>
      <t>NPI0069</t>
    </r>
  </si>
  <si>
    <r>
      <rPr>
        <sz val="12"/>
        <color indexed="12"/>
        <rFont val="Aptos"/>
      </rPr>
      <t>I enjoy activities involving entrepreneurship.</t>
    </r>
  </si>
  <si>
    <r>
      <rPr>
        <sz val="12"/>
        <color indexed="12"/>
        <rFont val="Aptos"/>
      </rPr>
      <t>NPI0070</t>
    </r>
  </si>
  <si>
    <r>
      <rPr>
        <sz val="12"/>
        <color indexed="12"/>
        <rFont val="Aptos"/>
      </rPr>
      <t>I enjoy activities involving public speaking.</t>
    </r>
  </si>
  <si>
    <r>
      <rPr>
        <sz val="12"/>
        <color indexed="12"/>
        <rFont val="Aptos"/>
      </rPr>
      <t>NPI0071</t>
    </r>
  </si>
  <si>
    <r>
      <rPr>
        <sz val="12"/>
        <color indexed="12"/>
        <rFont val="Aptos"/>
      </rPr>
      <t>I enjoy activities involving organizing events.</t>
    </r>
  </si>
  <si>
    <r>
      <rPr>
        <sz val="12"/>
        <color indexed="12"/>
        <rFont val="Aptos"/>
      </rPr>
      <t>NPI0072</t>
    </r>
  </si>
  <si>
    <r>
      <rPr>
        <sz val="12"/>
        <color indexed="12"/>
        <rFont val="Aptos"/>
      </rPr>
      <t>I enjoy activities involving negotiating respectfully.</t>
    </r>
  </si>
  <si>
    <r>
      <rPr>
        <sz val="12"/>
        <color indexed="12"/>
        <rFont val="Aptos"/>
      </rPr>
      <t>NPI0073</t>
    </r>
  </si>
  <si>
    <r>
      <rPr>
        <sz val="12"/>
        <color indexed="12"/>
        <rFont val="Aptos"/>
      </rPr>
      <t>I enjoy activities involving goal achievement.</t>
    </r>
  </si>
  <si>
    <r>
      <rPr>
        <sz val="12"/>
        <color indexed="12"/>
        <rFont val="Aptos"/>
      </rPr>
      <t>NPI0074</t>
    </r>
  </si>
  <si>
    <r>
      <rPr>
        <sz val="12"/>
        <color indexed="12"/>
        <rFont val="Aptos"/>
      </rPr>
      <t>I enjoy activities involving taking initiative.</t>
    </r>
  </si>
  <si>
    <r>
      <rPr>
        <sz val="12"/>
        <color indexed="12"/>
        <rFont val="Aptos"/>
      </rPr>
      <t>NPI0075</t>
    </r>
  </si>
  <si>
    <r>
      <rPr>
        <sz val="12"/>
        <color indexed="12"/>
        <rFont val="Aptos"/>
      </rPr>
      <t>I enjoy activities involving solving people-and-decision problems.</t>
    </r>
  </si>
  <si>
    <r>
      <rPr>
        <sz val="12"/>
        <color indexed="12"/>
        <rFont val="Aptos"/>
      </rPr>
      <t>NPI0076</t>
    </r>
  </si>
  <si>
    <r>
      <rPr>
        <sz val="12"/>
        <color indexed="12"/>
        <rFont val="Aptos"/>
      </rPr>
      <t>Conventional</t>
    </r>
  </si>
  <si>
    <r>
      <rPr>
        <sz val="12"/>
        <color indexed="12"/>
        <rFont val="Aptos"/>
      </rPr>
      <t>C</t>
    </r>
  </si>
  <si>
    <r>
      <rPr>
        <sz val="12"/>
        <color indexed="12"/>
        <rFont val="Aptos"/>
      </rPr>
      <t>I enjoy activities involving organizing information.</t>
    </r>
  </si>
  <si>
    <r>
      <rPr>
        <sz val="12"/>
        <color indexed="12"/>
        <rFont val="Aptos"/>
      </rPr>
      <t>NPI0077</t>
    </r>
  </si>
  <si>
    <r>
      <rPr>
        <sz val="12"/>
        <color indexed="12"/>
        <rFont val="Aptos"/>
      </rPr>
      <t>I enjoy activities involving working with schedules.</t>
    </r>
  </si>
  <si>
    <r>
      <rPr>
        <sz val="12"/>
        <color indexed="12"/>
        <rFont val="Aptos"/>
      </rPr>
      <t>NPI0078</t>
    </r>
  </si>
  <si>
    <r>
      <rPr>
        <sz val="12"/>
        <color indexed="12"/>
        <rFont val="Aptos"/>
      </rPr>
      <t>I enjoy activities involving following instructions.</t>
    </r>
  </si>
  <si>
    <r>
      <rPr>
        <sz val="12"/>
        <color indexed="12"/>
        <rFont val="Aptos"/>
      </rPr>
      <t>NPI0079</t>
    </r>
  </si>
  <si>
    <r>
      <rPr>
        <sz val="12"/>
        <color indexed="12"/>
        <rFont val="Aptos"/>
      </rPr>
      <t>I enjoy activities involving accuracy and details.</t>
    </r>
  </si>
  <si>
    <r>
      <rPr>
        <sz val="12"/>
        <color indexed="12"/>
        <rFont val="Aptos"/>
      </rPr>
      <t>NPI0080</t>
    </r>
  </si>
  <si>
    <r>
      <rPr>
        <sz val="12"/>
        <color indexed="12"/>
        <rFont val="Aptos"/>
      </rPr>
      <t>I enjoy activities involving keeping records.</t>
    </r>
  </si>
  <si>
    <r>
      <rPr>
        <sz val="12"/>
        <color indexed="12"/>
        <rFont val="Aptos"/>
      </rPr>
      <t>NPI0081</t>
    </r>
  </si>
  <si>
    <r>
      <rPr>
        <sz val="12"/>
        <color indexed="12"/>
        <rFont val="Aptos"/>
      </rPr>
      <t>I enjoy activities involving spreadsheets.</t>
    </r>
  </si>
  <si>
    <r>
      <rPr>
        <sz val="12"/>
        <color indexed="12"/>
        <rFont val="Aptos"/>
      </rPr>
      <t>NPI0082</t>
    </r>
  </si>
  <si>
    <r>
      <rPr>
        <sz val="12"/>
        <color indexed="12"/>
        <rFont val="Aptos"/>
      </rPr>
      <t>I enjoy activities involving step-by-step work.</t>
    </r>
  </si>
  <si>
    <r>
      <rPr>
        <sz val="12"/>
        <color indexed="12"/>
        <rFont val="Aptos"/>
      </rPr>
      <t>NPI0083</t>
    </r>
  </si>
  <si>
    <r>
      <rPr>
        <sz val="12"/>
        <color indexed="12"/>
        <rFont val="Aptos"/>
      </rPr>
      <t>I enjoy activities involving checking work.</t>
    </r>
  </si>
  <si>
    <r>
      <rPr>
        <sz val="12"/>
        <color indexed="12"/>
        <rFont val="Aptos"/>
      </rPr>
      <t>NPI0084</t>
    </r>
  </si>
  <si>
    <r>
      <rPr>
        <sz val="12"/>
        <color indexed="12"/>
        <rFont val="Aptos"/>
      </rPr>
      <t>I enjoy activities involving structured routines.</t>
    </r>
  </si>
  <si>
    <r>
      <rPr>
        <sz val="12"/>
        <color indexed="12"/>
        <rFont val="Aptos"/>
      </rPr>
      <t>NPI0085</t>
    </r>
  </si>
  <si>
    <r>
      <rPr>
        <sz val="12"/>
        <color indexed="12"/>
        <rFont val="Aptos"/>
      </rPr>
      <t>I enjoy activities involving finance tasks.</t>
    </r>
  </si>
  <si>
    <r>
      <rPr>
        <sz val="12"/>
        <color indexed="12"/>
        <rFont val="Aptos"/>
      </rPr>
      <t>NPI0086</t>
    </r>
  </si>
  <si>
    <r>
      <rPr>
        <sz val="12"/>
        <color indexed="12"/>
        <rFont val="Aptos"/>
      </rPr>
      <t>I enjoy activities involving data entry.</t>
    </r>
  </si>
  <si>
    <r>
      <rPr>
        <sz val="12"/>
        <color indexed="12"/>
        <rFont val="Aptos"/>
      </rPr>
      <t>NPI0087</t>
    </r>
  </si>
  <si>
    <r>
      <rPr>
        <sz val="12"/>
        <color indexed="12"/>
        <rFont val="Aptos"/>
      </rPr>
      <t>I enjoy activities involving procedures.</t>
    </r>
  </si>
  <si>
    <r>
      <rPr>
        <sz val="12"/>
        <color indexed="12"/>
        <rFont val="Aptos"/>
      </rPr>
      <t>NPI0088</t>
    </r>
  </si>
  <si>
    <r>
      <rPr>
        <sz val="12"/>
        <color indexed="12"/>
        <rFont val="Aptos"/>
      </rPr>
      <t>I enjoy activities involving planning ahead.</t>
    </r>
  </si>
  <si>
    <r>
      <rPr>
        <sz val="12"/>
        <color indexed="12"/>
        <rFont val="Aptos"/>
      </rPr>
      <t>NPI0089</t>
    </r>
  </si>
  <si>
    <r>
      <rPr>
        <sz val="12"/>
        <color indexed="12"/>
        <rFont val="Aptos"/>
      </rPr>
      <t>I enjoy activities involving administration.</t>
    </r>
  </si>
  <si>
    <r>
      <rPr>
        <sz val="12"/>
        <color indexed="12"/>
        <rFont val="Aptos"/>
      </rPr>
      <t>NPI0090</t>
    </r>
  </si>
  <si>
    <r>
      <rPr>
        <sz val="12"/>
        <color indexed="12"/>
        <rFont val="Aptos"/>
      </rPr>
      <t>I enjoy activities involving clear rules.</t>
    </r>
  </si>
  <si>
    <r>
      <rPr>
        <sz val="12"/>
        <color indexed="12"/>
        <rFont val="Aptos"/>
      </rPr>
      <t>NPI0091</t>
    </r>
  </si>
  <si>
    <r>
      <rPr>
        <sz val="12"/>
        <color indexed="12"/>
        <rFont val="Aptos"/>
      </rPr>
      <t>Big Five Personality</t>
    </r>
  </si>
  <si>
    <r>
      <rPr>
        <sz val="12"/>
        <color indexed="12"/>
        <rFont val="Aptos"/>
      </rPr>
      <t>Openness</t>
    </r>
  </si>
  <si>
    <r>
      <rPr>
        <sz val="12"/>
        <color indexed="12"/>
        <rFont val="Aptos"/>
      </rPr>
      <t>I enjoy trying new learning methods.</t>
    </r>
  </si>
  <si>
    <r>
      <rPr>
        <sz val="12"/>
        <color indexed="12"/>
        <rFont val="Aptos"/>
      </rPr>
      <t>NPI0092</t>
    </r>
  </si>
  <si>
    <r>
      <rPr>
        <sz val="12"/>
        <color indexed="12"/>
        <rFont val="Aptos"/>
      </rPr>
      <t>I enjoy exploring unfamiliar ideas.</t>
    </r>
  </si>
  <si>
    <r>
      <rPr>
        <sz val="12"/>
        <color indexed="12"/>
        <rFont val="Aptos"/>
      </rPr>
      <t>NPI0093</t>
    </r>
  </si>
  <si>
    <r>
      <rPr>
        <sz val="12"/>
        <color indexed="12"/>
        <rFont val="Aptos"/>
      </rPr>
      <t>I enjoy creative assignments.</t>
    </r>
  </si>
  <si>
    <r>
      <rPr>
        <sz val="12"/>
        <color indexed="12"/>
        <rFont val="Aptos"/>
      </rPr>
      <t>NPI0094</t>
    </r>
  </si>
  <si>
    <r>
      <rPr>
        <sz val="12"/>
        <color indexed="12"/>
        <rFont val="Aptos"/>
      </rPr>
      <t>I enjoy thinking about future possibilities.</t>
    </r>
  </si>
  <si>
    <r>
      <rPr>
        <sz val="12"/>
        <color indexed="12"/>
        <rFont val="Aptos"/>
      </rPr>
      <t>NPI0095</t>
    </r>
  </si>
  <si>
    <r>
      <rPr>
        <sz val="12"/>
        <color indexed="12"/>
        <rFont val="Aptos"/>
      </rPr>
      <t>I enjoy connecting different subjects.</t>
    </r>
  </si>
  <si>
    <r>
      <rPr>
        <sz val="12"/>
        <color indexed="12"/>
        <rFont val="Aptos"/>
      </rPr>
      <t>NPI0096</t>
    </r>
  </si>
  <si>
    <r>
      <rPr>
        <sz val="12"/>
        <color indexed="12"/>
        <rFont val="Aptos"/>
      </rPr>
      <t>I enjoy asking unusual questions.</t>
    </r>
  </si>
  <si>
    <r>
      <rPr>
        <sz val="12"/>
        <color indexed="12"/>
        <rFont val="Aptos"/>
      </rPr>
      <t>NPI0097</t>
    </r>
  </si>
  <si>
    <r>
      <rPr>
        <sz val="12"/>
        <color indexed="12"/>
        <rFont val="Aptos"/>
      </rPr>
      <t>I enjoy learning beyond the textbook.</t>
    </r>
  </si>
  <si>
    <r>
      <rPr>
        <sz val="12"/>
        <color indexed="12"/>
        <rFont val="Aptos"/>
      </rPr>
      <t>NPI0098</t>
    </r>
  </si>
  <si>
    <r>
      <rPr>
        <sz val="12"/>
        <color indexed="12"/>
        <rFont val="Aptos"/>
      </rPr>
      <t>I enjoy innovation and discovery.</t>
    </r>
  </si>
  <si>
    <r>
      <rPr>
        <sz val="12"/>
        <color indexed="12"/>
        <rFont val="Aptos"/>
      </rPr>
      <t>NPI0099</t>
    </r>
  </si>
  <si>
    <r>
      <rPr>
        <sz val="12"/>
        <color indexed="12"/>
        <rFont val="Aptos"/>
      </rPr>
      <t>I enjoy imagining new solutions.</t>
    </r>
  </si>
  <si>
    <r>
      <rPr>
        <sz val="12"/>
        <color indexed="12"/>
        <rFont val="Aptos"/>
      </rPr>
      <t>NPI0100</t>
    </r>
  </si>
  <si>
    <r>
      <rPr>
        <sz val="12"/>
        <color indexed="12"/>
        <rFont val="Aptos"/>
      </rPr>
      <t>I enjoy understanding different viewpoints.</t>
    </r>
  </si>
  <si>
    <r>
      <rPr>
        <sz val="12"/>
        <color indexed="12"/>
        <rFont val="Aptos"/>
      </rPr>
      <t>NPI0101</t>
    </r>
  </si>
  <si>
    <r>
      <rPr>
        <sz val="12"/>
        <color indexed="12"/>
        <rFont val="Aptos"/>
      </rPr>
      <t>I enjoy open-ended projects.</t>
    </r>
  </si>
  <si>
    <r>
      <rPr>
        <sz val="12"/>
        <color indexed="12"/>
        <rFont val="Aptos"/>
      </rPr>
      <t>NPI0102</t>
    </r>
  </si>
  <si>
    <r>
      <rPr>
        <sz val="12"/>
        <color indexed="12"/>
        <rFont val="Aptos"/>
      </rPr>
      <t>I enjoy new hobbies.</t>
    </r>
  </si>
  <si>
    <r>
      <rPr>
        <sz val="12"/>
        <color indexed="12"/>
        <rFont val="Aptos"/>
      </rPr>
      <t>NPI0103</t>
    </r>
  </si>
  <si>
    <r>
      <rPr>
        <sz val="12"/>
        <color indexed="12"/>
        <rFont val="Aptos"/>
      </rPr>
      <t>I enjoy reading about new topics.</t>
    </r>
  </si>
  <si>
    <r>
      <rPr>
        <sz val="12"/>
        <color indexed="12"/>
        <rFont val="Aptos"/>
      </rPr>
      <t>NPI0104</t>
    </r>
  </si>
  <si>
    <r>
      <rPr>
        <sz val="12"/>
        <color indexed="12"/>
        <rFont val="Aptos"/>
      </rPr>
      <t>I enjoy designing new approaches.</t>
    </r>
  </si>
  <si>
    <r>
      <rPr>
        <sz val="12"/>
        <color indexed="12"/>
        <rFont val="Aptos"/>
      </rPr>
      <t>NPI0105</t>
    </r>
  </si>
  <si>
    <r>
      <rPr>
        <sz val="12"/>
        <color indexed="12"/>
        <rFont val="Aptos"/>
      </rPr>
      <t>I enjoy changing my opinion when evidence changes.</t>
    </r>
  </si>
  <si>
    <r>
      <rPr>
        <sz val="12"/>
        <color indexed="12"/>
        <rFont val="Aptos"/>
      </rPr>
      <t>NPI0106</t>
    </r>
  </si>
  <si>
    <r>
      <rPr>
        <sz val="12"/>
        <color indexed="12"/>
        <rFont val="Aptos"/>
      </rPr>
      <t>I enjoy curious discussions.</t>
    </r>
  </si>
  <si>
    <r>
      <rPr>
        <sz val="12"/>
        <color indexed="12"/>
        <rFont val="Aptos"/>
      </rPr>
      <t>NPI0107</t>
    </r>
  </si>
  <si>
    <r>
      <rPr>
        <sz val="12"/>
        <color indexed="12"/>
        <rFont val="Aptos"/>
      </rPr>
      <t>I enjoy creative problem-solving.</t>
    </r>
  </si>
  <si>
    <r>
      <rPr>
        <sz val="12"/>
        <color indexed="12"/>
        <rFont val="Aptos"/>
      </rPr>
      <t>NPI0108</t>
    </r>
  </si>
  <si>
    <r>
      <rPr>
        <sz val="12"/>
        <color indexed="12"/>
        <rFont val="Aptos"/>
      </rPr>
      <t>I enjoy exploring career possibilities.</t>
    </r>
  </si>
  <si>
    <r>
      <rPr>
        <sz val="12"/>
        <color indexed="12"/>
        <rFont val="Aptos"/>
      </rPr>
      <t>NPI0109</t>
    </r>
  </si>
  <si>
    <r>
      <rPr>
        <sz val="12"/>
        <color indexed="12"/>
        <rFont val="Aptos"/>
      </rPr>
      <t>I prefer only familiar methods.</t>
    </r>
  </si>
  <si>
    <r>
      <rPr>
        <sz val="12"/>
        <color indexed="12"/>
        <rFont val="Aptos"/>
      </rPr>
      <t>Yes</t>
    </r>
  </si>
  <si>
    <r>
      <rPr>
        <sz val="12"/>
        <color indexed="12"/>
        <rFont val="Aptos"/>
      </rPr>
      <t>NPI0110</t>
    </r>
  </si>
  <si>
    <r>
      <rPr>
        <sz val="12"/>
        <color indexed="12"/>
        <rFont val="Aptos"/>
      </rPr>
      <t>I prefer fixed answers always.</t>
    </r>
  </si>
  <si>
    <r>
      <rPr>
        <sz val="12"/>
        <color indexed="12"/>
        <rFont val="Aptos"/>
      </rPr>
      <t>NPI0111</t>
    </r>
  </si>
  <si>
    <r>
      <rPr>
        <sz val="12"/>
        <color indexed="12"/>
        <rFont val="Aptos"/>
      </rPr>
      <t>I prefer avoiding unfamiliar topics.</t>
    </r>
  </si>
  <si>
    <r>
      <rPr>
        <sz val="12"/>
        <color indexed="12"/>
        <rFont val="Aptos"/>
      </rPr>
      <t>NPI0112</t>
    </r>
  </si>
  <si>
    <r>
      <rPr>
        <sz val="12"/>
        <color indexed="12"/>
        <rFont val="Aptos"/>
      </rPr>
      <t>I prefer routine tasks only.</t>
    </r>
  </si>
  <si>
    <r>
      <rPr>
        <sz val="12"/>
        <color indexed="12"/>
        <rFont val="Aptos"/>
      </rPr>
      <t>NPI0113</t>
    </r>
  </si>
  <si>
    <r>
      <rPr>
        <sz val="12"/>
        <color indexed="12"/>
        <rFont val="Aptos"/>
      </rPr>
      <t>I prefer not trying new methods.</t>
    </r>
  </si>
  <si>
    <r>
      <rPr>
        <sz val="12"/>
        <color indexed="12"/>
        <rFont val="Aptos"/>
      </rPr>
      <t>NPI0114</t>
    </r>
  </si>
  <si>
    <r>
      <rPr>
        <sz val="12"/>
        <color indexed="12"/>
        <rFont val="Aptos"/>
      </rPr>
      <t>I prefer avoiding creative expression.</t>
    </r>
  </si>
  <si>
    <r>
      <rPr>
        <sz val="12"/>
        <color indexed="12"/>
        <rFont val="Aptos"/>
      </rPr>
      <t>NPI0115</t>
    </r>
  </si>
  <si>
    <r>
      <rPr>
        <sz val="12"/>
        <color indexed="12"/>
        <rFont val="Aptos"/>
      </rPr>
      <t>I prefer not changing my view even with evidence.</t>
    </r>
  </si>
  <si>
    <r>
      <rPr>
        <sz val="12"/>
        <color indexed="12"/>
        <rFont val="Aptos"/>
      </rPr>
      <t>NPI0116</t>
    </r>
  </si>
  <si>
    <r>
      <rPr>
        <sz val="12"/>
        <color indexed="12"/>
        <rFont val="Aptos"/>
      </rPr>
      <t>Conscientiousness</t>
    </r>
  </si>
  <si>
    <r>
      <rPr>
        <sz val="12"/>
        <color indexed="12"/>
        <rFont val="Aptos"/>
      </rPr>
      <t>I complete assignments on time.</t>
    </r>
  </si>
  <si>
    <r>
      <rPr>
        <sz val="12"/>
        <color indexed="12"/>
        <rFont val="Aptos"/>
      </rPr>
      <t>NPI0117</t>
    </r>
  </si>
  <si>
    <r>
      <rPr>
        <sz val="12"/>
        <color indexed="12"/>
        <rFont val="Aptos"/>
      </rPr>
      <t>I plan before important tasks.</t>
    </r>
  </si>
  <si>
    <r>
      <rPr>
        <sz val="12"/>
        <color indexed="12"/>
        <rFont val="Aptos"/>
      </rPr>
      <t>NPI0118</t>
    </r>
  </si>
  <si>
    <r>
      <rPr>
        <sz val="12"/>
        <color indexed="12"/>
        <rFont val="Aptos"/>
      </rPr>
      <t>I keep study materials organized.</t>
    </r>
  </si>
  <si>
    <r>
      <rPr>
        <sz val="12"/>
        <color indexed="12"/>
        <rFont val="Aptos"/>
      </rPr>
      <t>NPI0119</t>
    </r>
  </si>
  <si>
    <r>
      <rPr>
        <sz val="12"/>
        <color indexed="12"/>
        <rFont val="Aptos"/>
      </rPr>
      <t>I check my work for mistakes.</t>
    </r>
  </si>
  <si>
    <r>
      <rPr>
        <sz val="12"/>
        <color indexed="12"/>
        <rFont val="Aptos"/>
      </rPr>
      <t>NPI0120</t>
    </r>
  </si>
  <si>
    <r>
      <rPr>
        <sz val="12"/>
        <color indexed="12"/>
        <rFont val="Aptos"/>
      </rPr>
      <t>I follow a study schedule.</t>
    </r>
  </si>
  <si>
    <r>
      <rPr>
        <sz val="12"/>
        <color indexed="12"/>
        <rFont val="Aptos"/>
      </rPr>
      <t>NPI0121</t>
    </r>
  </si>
  <si>
    <r>
      <rPr>
        <sz val="12"/>
        <color indexed="12"/>
        <rFont val="Aptos"/>
      </rPr>
      <t>I break big tasks into steps.</t>
    </r>
  </si>
  <si>
    <r>
      <rPr>
        <sz val="12"/>
        <color indexed="12"/>
        <rFont val="Aptos"/>
      </rPr>
      <t>NPI0122</t>
    </r>
  </si>
  <si>
    <r>
      <rPr>
        <sz val="12"/>
        <color indexed="12"/>
        <rFont val="Aptos"/>
      </rPr>
      <t>I prepare for tests in advance.</t>
    </r>
  </si>
  <si>
    <r>
      <rPr>
        <sz val="12"/>
        <color indexed="12"/>
        <rFont val="Aptos"/>
      </rPr>
      <t>NPI0123</t>
    </r>
  </si>
  <si>
    <r>
      <rPr>
        <sz val="12"/>
        <color indexed="12"/>
        <rFont val="Aptos"/>
      </rPr>
      <t>I manage time well.</t>
    </r>
  </si>
  <si>
    <r>
      <rPr>
        <sz val="12"/>
        <color indexed="12"/>
        <rFont val="Aptos"/>
      </rPr>
      <t>NPI0124</t>
    </r>
  </si>
  <si>
    <r>
      <rPr>
        <sz val="12"/>
        <color indexed="12"/>
        <rFont val="Aptos"/>
      </rPr>
      <t>I set goals for myself.</t>
    </r>
  </si>
  <si>
    <r>
      <rPr>
        <sz val="12"/>
        <color indexed="12"/>
        <rFont val="Aptos"/>
      </rPr>
      <t>NPI0125</t>
    </r>
  </si>
  <si>
    <r>
      <rPr>
        <sz val="12"/>
        <color indexed="12"/>
        <rFont val="Aptos"/>
      </rPr>
      <t>I keep responsibilities.</t>
    </r>
  </si>
  <si>
    <r>
      <rPr>
        <sz val="12"/>
        <color indexed="12"/>
        <rFont val="Aptos"/>
      </rPr>
      <t>NPI0126</t>
    </r>
  </si>
  <si>
    <r>
      <rPr>
        <sz val="12"/>
        <color indexed="12"/>
        <rFont val="Aptos"/>
      </rPr>
      <t>I make to-do lists.</t>
    </r>
  </si>
  <si>
    <r>
      <rPr>
        <sz val="12"/>
        <color indexed="12"/>
        <rFont val="Aptos"/>
      </rPr>
      <t>NPI0127</t>
    </r>
  </si>
  <si>
    <r>
      <rPr>
        <sz val="12"/>
        <color indexed="12"/>
        <rFont val="Aptos"/>
      </rPr>
      <t>I stay consistent.</t>
    </r>
  </si>
  <si>
    <r>
      <rPr>
        <sz val="12"/>
        <color indexed="12"/>
        <rFont val="Aptos"/>
      </rPr>
      <t>NPI0128</t>
    </r>
  </si>
  <si>
    <r>
      <rPr>
        <sz val="12"/>
        <color indexed="12"/>
        <rFont val="Aptos"/>
      </rPr>
      <t>I revise regularly.</t>
    </r>
  </si>
  <si>
    <r>
      <rPr>
        <sz val="12"/>
        <color indexed="12"/>
        <rFont val="Aptos"/>
      </rPr>
      <t>NPI0129</t>
    </r>
  </si>
  <si>
    <r>
      <rPr>
        <sz val="12"/>
        <color indexed="12"/>
        <rFont val="Aptos"/>
      </rPr>
      <t>I take responsibility for performance.</t>
    </r>
  </si>
  <si>
    <r>
      <rPr>
        <sz val="12"/>
        <color indexed="12"/>
        <rFont val="Aptos"/>
      </rPr>
      <t>NPI0130</t>
    </r>
  </si>
  <si>
    <r>
      <rPr>
        <sz val="12"/>
        <color indexed="12"/>
        <rFont val="Aptos"/>
      </rPr>
      <t>I organize my day.</t>
    </r>
  </si>
  <si>
    <r>
      <rPr>
        <sz val="12"/>
        <color indexed="12"/>
        <rFont val="Aptos"/>
      </rPr>
      <t>NPI0131</t>
    </r>
  </si>
  <si>
    <r>
      <rPr>
        <sz val="12"/>
        <color indexed="12"/>
        <rFont val="Aptos"/>
      </rPr>
      <t>I finish one task before another.</t>
    </r>
  </si>
  <si>
    <r>
      <rPr>
        <sz val="12"/>
        <color indexed="12"/>
        <rFont val="Aptos"/>
      </rPr>
      <t>NPI0132</t>
    </r>
  </si>
  <si>
    <r>
      <rPr>
        <sz val="12"/>
        <color indexed="12"/>
        <rFont val="Aptos"/>
      </rPr>
      <t>I track deadlines.</t>
    </r>
  </si>
  <si>
    <r>
      <rPr>
        <sz val="12"/>
        <color indexed="12"/>
        <rFont val="Aptos"/>
      </rPr>
      <t>NPI0133</t>
    </r>
  </si>
  <si>
    <r>
      <rPr>
        <sz val="12"/>
        <color indexed="12"/>
        <rFont val="Aptos"/>
      </rPr>
      <t>I use routines.</t>
    </r>
  </si>
  <si>
    <r>
      <rPr>
        <sz val="12"/>
        <color indexed="12"/>
        <rFont val="Aptos"/>
      </rPr>
      <t>NPI0134</t>
    </r>
  </si>
  <si>
    <r>
      <rPr>
        <sz val="12"/>
        <color indexed="12"/>
        <rFont val="Aptos"/>
      </rPr>
      <t>I delay work until the last moment.</t>
    </r>
  </si>
  <si>
    <r>
      <rPr>
        <sz val="12"/>
        <color indexed="12"/>
        <rFont val="Aptos"/>
      </rPr>
      <t>NPI0135</t>
    </r>
  </si>
  <si>
    <r>
      <rPr>
        <sz val="12"/>
        <color indexed="12"/>
        <rFont val="Aptos"/>
      </rPr>
      <t>I lose track of deadlines.</t>
    </r>
  </si>
  <si>
    <r>
      <rPr>
        <sz val="12"/>
        <color indexed="12"/>
        <rFont val="Aptos"/>
      </rPr>
      <t>NPI0136</t>
    </r>
  </si>
  <si>
    <r>
      <rPr>
        <sz val="12"/>
        <color indexed="12"/>
        <rFont val="Aptos"/>
      </rPr>
      <t>I leave tasks incomplete.</t>
    </r>
  </si>
  <si>
    <r>
      <rPr>
        <sz val="12"/>
        <color indexed="12"/>
        <rFont val="Aptos"/>
      </rPr>
      <t>NPI0137</t>
    </r>
  </si>
  <si>
    <r>
      <rPr>
        <sz val="12"/>
        <color indexed="12"/>
        <rFont val="Aptos"/>
      </rPr>
      <t>I am careless with details.</t>
    </r>
  </si>
  <si>
    <r>
      <rPr>
        <sz val="12"/>
        <color indexed="12"/>
        <rFont val="Aptos"/>
      </rPr>
      <t>NPI0138</t>
    </r>
  </si>
  <si>
    <r>
      <rPr>
        <sz val="12"/>
        <color indexed="12"/>
        <rFont val="Aptos"/>
      </rPr>
      <t>I study only when reminded.</t>
    </r>
  </si>
  <si>
    <r>
      <rPr>
        <sz val="12"/>
        <color indexed="12"/>
        <rFont val="Aptos"/>
      </rPr>
      <t>NPI0139</t>
    </r>
  </si>
  <si>
    <r>
      <rPr>
        <sz val="12"/>
        <color indexed="12"/>
        <rFont val="Aptos"/>
      </rPr>
      <t>I often forget materials.</t>
    </r>
  </si>
  <si>
    <r>
      <rPr>
        <sz val="12"/>
        <color indexed="12"/>
        <rFont val="Aptos"/>
      </rPr>
      <t>NPI0140</t>
    </r>
  </si>
  <si>
    <r>
      <rPr>
        <sz val="12"/>
        <color indexed="12"/>
        <rFont val="Aptos"/>
      </rPr>
      <t>I act without planning.</t>
    </r>
  </si>
  <si>
    <r>
      <rPr>
        <sz val="12"/>
        <color indexed="12"/>
        <rFont val="Aptos"/>
      </rPr>
      <t>NPI0141</t>
    </r>
  </si>
  <si>
    <r>
      <rPr>
        <sz val="12"/>
        <color indexed="12"/>
        <rFont val="Aptos"/>
      </rPr>
      <t>Extraversion</t>
    </r>
  </si>
  <si>
    <r>
      <rPr>
        <sz val="12"/>
        <color indexed="12"/>
        <rFont val="Aptos"/>
      </rPr>
      <t>I feel energized working with others.</t>
    </r>
  </si>
  <si>
    <r>
      <rPr>
        <sz val="12"/>
        <color indexed="12"/>
        <rFont val="Aptos"/>
      </rPr>
      <t>NPI0142</t>
    </r>
  </si>
  <si>
    <r>
      <rPr>
        <sz val="12"/>
        <color indexed="12"/>
        <rFont val="Aptos"/>
      </rPr>
      <t>I enjoy group discussions.</t>
    </r>
  </si>
  <si>
    <r>
      <rPr>
        <sz val="12"/>
        <color indexed="12"/>
        <rFont val="Aptos"/>
      </rPr>
      <t>NPI0143</t>
    </r>
  </si>
  <si>
    <r>
      <rPr>
        <sz val="12"/>
        <color indexed="12"/>
        <rFont val="Aptos"/>
      </rPr>
      <t>I like meeting new people.</t>
    </r>
  </si>
  <si>
    <r>
      <rPr>
        <sz val="12"/>
        <color indexed="12"/>
        <rFont val="Aptos"/>
      </rPr>
      <t>NPI0144</t>
    </r>
  </si>
  <si>
    <r>
      <rPr>
        <sz val="12"/>
        <color indexed="12"/>
        <rFont val="Aptos"/>
      </rPr>
      <t>I feel comfortable asking questions.</t>
    </r>
  </si>
  <si>
    <r>
      <rPr>
        <sz val="12"/>
        <color indexed="12"/>
        <rFont val="Aptos"/>
      </rPr>
      <t>NPI0145</t>
    </r>
  </si>
  <si>
    <r>
      <rPr>
        <sz val="12"/>
        <color indexed="12"/>
        <rFont val="Aptos"/>
      </rPr>
      <t>I enjoy leadership roles.</t>
    </r>
  </si>
  <si>
    <r>
      <rPr>
        <sz val="12"/>
        <color indexed="12"/>
        <rFont val="Aptos"/>
      </rPr>
      <t>NPI0146</t>
    </r>
  </si>
  <si>
    <r>
      <rPr>
        <sz val="12"/>
        <color indexed="12"/>
        <rFont val="Aptos"/>
      </rPr>
      <t>I like events and competitions.</t>
    </r>
  </si>
  <si>
    <r>
      <rPr>
        <sz val="12"/>
        <color indexed="12"/>
        <rFont val="Aptos"/>
      </rPr>
      <t>NPI0147</t>
    </r>
  </si>
  <si>
    <r>
      <rPr>
        <sz val="12"/>
        <color indexed="12"/>
        <rFont val="Aptos"/>
      </rPr>
      <t>I feel confident presenting ideas.</t>
    </r>
  </si>
  <si>
    <r>
      <rPr>
        <sz val="12"/>
        <color indexed="12"/>
        <rFont val="Aptos"/>
      </rPr>
      <t>NPI0148</t>
    </r>
  </si>
  <si>
    <r>
      <rPr>
        <sz val="12"/>
        <color indexed="12"/>
        <rFont val="Aptos"/>
      </rPr>
      <t>I enjoy teamwork.</t>
    </r>
  </si>
  <si>
    <r>
      <rPr>
        <sz val="12"/>
        <color indexed="12"/>
        <rFont val="Aptos"/>
      </rPr>
      <t>NPI0149</t>
    </r>
  </si>
  <si>
    <r>
      <rPr>
        <sz val="12"/>
        <color indexed="12"/>
        <rFont val="Aptos"/>
      </rPr>
      <t>I encourage others in groups.</t>
    </r>
  </si>
  <si>
    <r>
      <rPr>
        <sz val="12"/>
        <color indexed="12"/>
        <rFont val="Aptos"/>
      </rPr>
      <t>NPI0150</t>
    </r>
  </si>
  <si>
    <r>
      <rPr>
        <sz val="12"/>
        <color indexed="12"/>
        <rFont val="Aptos"/>
      </rPr>
      <t>I participate actively in class.</t>
    </r>
  </si>
  <si>
    <r>
      <rPr>
        <sz val="12"/>
        <color indexed="12"/>
        <rFont val="Aptos"/>
      </rPr>
      <t>NPI0151</t>
    </r>
  </si>
  <si>
    <r>
      <rPr>
        <sz val="12"/>
        <color indexed="12"/>
        <rFont val="Aptos"/>
      </rPr>
      <t>I like group projects.</t>
    </r>
  </si>
  <si>
    <r>
      <rPr>
        <sz val="12"/>
        <color indexed="12"/>
        <rFont val="Aptos"/>
      </rPr>
      <t>NPI0152</t>
    </r>
  </si>
  <si>
    <r>
      <rPr>
        <sz val="12"/>
        <color indexed="12"/>
        <rFont val="Aptos"/>
      </rPr>
      <t>I start conversations easily.</t>
    </r>
  </si>
  <si>
    <r>
      <rPr>
        <sz val="12"/>
        <color indexed="12"/>
        <rFont val="Aptos"/>
      </rPr>
      <t>NPI0153</t>
    </r>
  </si>
  <si>
    <r>
      <rPr>
        <sz val="12"/>
        <color indexed="12"/>
        <rFont val="Aptos"/>
      </rPr>
      <t>I enjoy clubs or teams.</t>
    </r>
  </si>
  <si>
    <r>
      <rPr>
        <sz val="12"/>
        <color indexed="12"/>
        <rFont val="Aptos"/>
      </rPr>
      <t>NPI0154</t>
    </r>
  </si>
  <si>
    <r>
      <rPr>
        <sz val="12"/>
        <color indexed="12"/>
        <rFont val="Aptos"/>
      </rPr>
      <t>I like sharing opinions.</t>
    </r>
  </si>
  <si>
    <r>
      <rPr>
        <sz val="12"/>
        <color indexed="12"/>
        <rFont val="Aptos"/>
      </rPr>
      <t>NPI0155</t>
    </r>
  </si>
  <si>
    <r>
      <rPr>
        <sz val="12"/>
        <color indexed="12"/>
        <rFont val="Aptos"/>
      </rPr>
      <t>I am energized by debate.</t>
    </r>
  </si>
  <si>
    <r>
      <rPr>
        <sz val="12"/>
        <color indexed="12"/>
        <rFont val="Aptos"/>
      </rPr>
      <t>NPI0156</t>
    </r>
  </si>
  <si>
    <r>
      <rPr>
        <sz val="12"/>
        <color indexed="12"/>
        <rFont val="Aptos"/>
      </rPr>
      <t>I prefer discussing concepts.</t>
    </r>
  </si>
  <si>
    <r>
      <rPr>
        <sz val="12"/>
        <color indexed="12"/>
        <rFont val="Aptos"/>
      </rPr>
      <t>NPI0157</t>
    </r>
  </si>
  <si>
    <r>
      <rPr>
        <sz val="12"/>
        <color indexed="12"/>
        <rFont val="Aptos"/>
      </rPr>
      <t>I enjoy visible roles.</t>
    </r>
  </si>
  <si>
    <r>
      <rPr>
        <sz val="12"/>
        <color indexed="12"/>
        <rFont val="Aptos"/>
      </rPr>
      <t>NPI0158</t>
    </r>
  </si>
  <si>
    <r>
      <rPr>
        <sz val="12"/>
        <color indexed="12"/>
        <rFont val="Aptos"/>
      </rPr>
      <t>I like collaborative learning.</t>
    </r>
  </si>
  <si>
    <r>
      <rPr>
        <sz val="12"/>
        <color indexed="12"/>
        <rFont val="Aptos"/>
      </rPr>
      <t>NPI0159</t>
    </r>
  </si>
  <si>
    <r>
      <rPr>
        <sz val="12"/>
        <color indexed="12"/>
        <rFont val="Aptos"/>
      </rPr>
      <t>I prefer quiet independent work most of the time.</t>
    </r>
  </si>
  <si>
    <r>
      <rPr>
        <sz val="12"/>
        <color indexed="12"/>
        <rFont val="Aptos"/>
      </rPr>
      <t>NPI0160</t>
    </r>
  </si>
  <si>
    <r>
      <rPr>
        <sz val="12"/>
        <color indexed="12"/>
        <rFont val="Aptos"/>
      </rPr>
      <t>I avoid speaking even when I know the answer.</t>
    </r>
  </si>
  <si>
    <r>
      <rPr>
        <sz val="12"/>
        <color indexed="12"/>
        <rFont val="Aptos"/>
      </rPr>
      <t>NPI0161</t>
    </r>
  </si>
  <si>
    <r>
      <rPr>
        <sz val="12"/>
        <color indexed="12"/>
        <rFont val="Aptos"/>
      </rPr>
      <t>I need time alone after social activities.</t>
    </r>
  </si>
  <si>
    <r>
      <rPr>
        <sz val="12"/>
        <color indexed="12"/>
        <rFont val="Aptos"/>
      </rPr>
      <t>NPI0162</t>
    </r>
  </si>
  <si>
    <r>
      <rPr>
        <sz val="12"/>
        <color indexed="12"/>
        <rFont val="Aptos"/>
      </rPr>
      <t>I feel shy in unfamiliar groups.</t>
    </r>
  </si>
  <si>
    <r>
      <rPr>
        <sz val="12"/>
        <color indexed="12"/>
        <rFont val="Aptos"/>
      </rPr>
      <t>NPI0163</t>
    </r>
  </si>
  <si>
    <r>
      <rPr>
        <sz val="12"/>
        <color indexed="12"/>
        <rFont val="Aptos"/>
      </rPr>
      <t>I avoid being the center of attention.</t>
    </r>
  </si>
  <si>
    <r>
      <rPr>
        <sz val="12"/>
        <color indexed="12"/>
        <rFont val="Aptos"/>
      </rPr>
      <t>NPI0164</t>
    </r>
  </si>
  <si>
    <r>
      <rPr>
        <sz val="12"/>
        <color indexed="12"/>
        <rFont val="Aptos"/>
      </rPr>
      <t>I feel nervous presenting.</t>
    </r>
  </si>
  <si>
    <r>
      <rPr>
        <sz val="12"/>
        <color indexed="12"/>
        <rFont val="Aptos"/>
      </rPr>
      <t>NPI0165</t>
    </r>
  </si>
  <si>
    <r>
      <rPr>
        <sz val="12"/>
        <color indexed="12"/>
        <rFont val="Aptos"/>
      </rPr>
      <t>I rarely volunteer for visible roles.</t>
    </r>
  </si>
  <si>
    <r>
      <rPr>
        <sz val="12"/>
        <color indexed="12"/>
        <rFont val="Aptos"/>
      </rPr>
      <t>NPI0166</t>
    </r>
  </si>
  <si>
    <r>
      <rPr>
        <sz val="12"/>
        <color indexed="12"/>
        <rFont val="Aptos"/>
      </rPr>
      <t>Agreeableness</t>
    </r>
  </si>
  <si>
    <r>
      <rPr>
        <sz val="12"/>
        <color indexed="12"/>
        <rFont val="Aptos"/>
      </rPr>
      <t>I try to understand others’ feelings.</t>
    </r>
  </si>
  <si>
    <r>
      <rPr>
        <sz val="12"/>
        <color indexed="12"/>
        <rFont val="Aptos"/>
      </rPr>
      <t>NPI0167</t>
    </r>
  </si>
  <si>
    <r>
      <rPr>
        <sz val="12"/>
        <color indexed="12"/>
        <rFont val="Aptos"/>
      </rPr>
      <t>I help classmates when I can.</t>
    </r>
  </si>
  <si>
    <r>
      <rPr>
        <sz val="12"/>
        <color indexed="12"/>
        <rFont val="Aptos"/>
      </rPr>
      <t>NPI0168</t>
    </r>
  </si>
  <si>
    <r>
      <rPr>
        <sz val="12"/>
        <color indexed="12"/>
        <rFont val="Aptos"/>
      </rPr>
      <t>I prefer cooperation over conflict.</t>
    </r>
  </si>
  <si>
    <r>
      <rPr>
        <sz val="12"/>
        <color indexed="12"/>
        <rFont val="Aptos"/>
      </rPr>
      <t>NPI0169</t>
    </r>
  </si>
  <si>
    <r>
      <rPr>
        <sz val="12"/>
        <color indexed="12"/>
        <rFont val="Aptos"/>
      </rPr>
      <t>I listen respectfully even when I disagree.</t>
    </r>
  </si>
  <si>
    <r>
      <rPr>
        <sz val="12"/>
        <color indexed="12"/>
        <rFont val="Aptos"/>
      </rPr>
      <t>NPI0170</t>
    </r>
  </si>
  <si>
    <r>
      <rPr>
        <sz val="12"/>
        <color indexed="12"/>
        <rFont val="Aptos"/>
      </rPr>
      <t>I care about fairness.</t>
    </r>
  </si>
  <si>
    <r>
      <rPr>
        <sz val="12"/>
        <color indexed="12"/>
        <rFont val="Aptos"/>
      </rPr>
      <t>NPI0171</t>
    </r>
  </si>
  <si>
    <r>
      <rPr>
        <sz val="12"/>
        <color indexed="12"/>
        <rFont val="Aptos"/>
      </rPr>
      <t>I include others in group activities.</t>
    </r>
  </si>
  <si>
    <r>
      <rPr>
        <sz val="12"/>
        <color indexed="12"/>
        <rFont val="Aptos"/>
      </rPr>
      <t>NPI0172</t>
    </r>
  </si>
  <si>
    <r>
      <rPr>
        <sz val="12"/>
        <color indexed="12"/>
        <rFont val="Aptos"/>
      </rPr>
      <t>I am kind when someone struggles.</t>
    </r>
  </si>
  <si>
    <r>
      <rPr>
        <sz val="12"/>
        <color indexed="12"/>
        <rFont val="Aptos"/>
      </rPr>
      <t>NPI0173</t>
    </r>
  </si>
  <si>
    <r>
      <rPr>
        <sz val="12"/>
        <color indexed="12"/>
        <rFont val="Aptos"/>
      </rPr>
      <t>I solve conflicts peacefully.</t>
    </r>
  </si>
  <si>
    <r>
      <rPr>
        <sz val="12"/>
        <color indexed="12"/>
        <rFont val="Aptos"/>
      </rPr>
      <t>NPI0174</t>
    </r>
  </si>
  <si>
    <r>
      <rPr>
        <sz val="12"/>
        <color indexed="12"/>
        <rFont val="Aptos"/>
      </rPr>
      <t>I see another person’s point of view.</t>
    </r>
  </si>
  <si>
    <r>
      <rPr>
        <sz val="12"/>
        <color indexed="12"/>
        <rFont val="Aptos"/>
      </rPr>
      <t>NPI0175</t>
    </r>
  </si>
  <si>
    <r>
      <rPr>
        <sz val="12"/>
        <color indexed="12"/>
        <rFont val="Aptos"/>
      </rPr>
      <t>I support friends.</t>
    </r>
  </si>
  <si>
    <r>
      <rPr>
        <sz val="12"/>
        <color indexed="12"/>
        <rFont val="Aptos"/>
      </rPr>
      <t>NPI0176</t>
    </r>
  </si>
  <si>
    <r>
      <rPr>
        <sz val="12"/>
        <color indexed="12"/>
        <rFont val="Aptos"/>
      </rPr>
      <t>I am patient with different learners.</t>
    </r>
  </si>
  <si>
    <r>
      <rPr>
        <sz val="12"/>
        <color indexed="12"/>
        <rFont val="Aptos"/>
      </rPr>
      <t>NPI0177</t>
    </r>
  </si>
  <si>
    <r>
      <rPr>
        <sz val="12"/>
        <color indexed="12"/>
        <rFont val="Aptos"/>
      </rPr>
      <t>I value trust.</t>
    </r>
  </si>
  <si>
    <r>
      <rPr>
        <sz val="12"/>
        <color indexed="12"/>
        <rFont val="Aptos"/>
      </rPr>
      <t>NPI0178</t>
    </r>
  </si>
  <si>
    <r>
      <rPr>
        <sz val="12"/>
        <color indexed="12"/>
        <rFont val="Aptos"/>
      </rPr>
      <t>I prefer helping over blaming.</t>
    </r>
  </si>
  <si>
    <r>
      <rPr>
        <sz val="12"/>
        <color indexed="12"/>
        <rFont val="Aptos"/>
      </rPr>
      <t>NPI0179</t>
    </r>
  </si>
  <si>
    <r>
      <rPr>
        <sz val="12"/>
        <color indexed="12"/>
        <rFont val="Aptos"/>
      </rPr>
      <t>I work well with different people.</t>
    </r>
  </si>
  <si>
    <r>
      <rPr>
        <sz val="12"/>
        <color indexed="12"/>
        <rFont val="Aptos"/>
      </rPr>
      <t>NPI0180</t>
    </r>
  </si>
  <si>
    <r>
      <rPr>
        <sz val="12"/>
        <color indexed="12"/>
        <rFont val="Aptos"/>
      </rPr>
      <t>I appreciate others’ efforts.</t>
    </r>
  </si>
  <si>
    <r>
      <rPr>
        <sz val="12"/>
        <color indexed="12"/>
        <rFont val="Aptos"/>
      </rPr>
      <t>NPI0181</t>
    </r>
  </si>
  <si>
    <r>
      <rPr>
        <sz val="12"/>
        <color indexed="12"/>
        <rFont val="Aptos"/>
      </rPr>
      <t>I try to make people feel safe.</t>
    </r>
  </si>
  <si>
    <r>
      <rPr>
        <sz val="12"/>
        <color indexed="12"/>
        <rFont val="Aptos"/>
      </rPr>
      <t>NPI0182</t>
    </r>
  </si>
  <si>
    <r>
      <rPr>
        <sz val="12"/>
        <color indexed="12"/>
        <rFont val="Aptos"/>
      </rPr>
      <t>I avoid hurting others intentionally.</t>
    </r>
  </si>
  <si>
    <r>
      <rPr>
        <sz val="12"/>
        <color indexed="12"/>
        <rFont val="Aptos"/>
      </rPr>
      <t>NPI0183</t>
    </r>
  </si>
  <si>
    <r>
      <rPr>
        <sz val="12"/>
        <color indexed="12"/>
        <rFont val="Aptos"/>
      </rPr>
      <t>I share credit with others.</t>
    </r>
  </si>
  <si>
    <r>
      <rPr>
        <sz val="12"/>
        <color indexed="12"/>
        <rFont val="Aptos"/>
      </rPr>
      <t>NPI0184</t>
    </r>
  </si>
  <si>
    <r>
      <rPr>
        <sz val="12"/>
        <color indexed="12"/>
        <rFont val="Aptos"/>
      </rPr>
      <t>I become impatient when others are slow.</t>
    </r>
  </si>
  <si>
    <r>
      <rPr>
        <sz val="12"/>
        <color indexed="12"/>
        <rFont val="Aptos"/>
      </rPr>
      <t>NPI0185</t>
    </r>
  </si>
  <si>
    <r>
      <rPr>
        <sz val="12"/>
        <color indexed="12"/>
        <rFont val="Aptos"/>
      </rPr>
      <t>I find it hard to forgive mistakes.</t>
    </r>
  </si>
  <si>
    <r>
      <rPr>
        <sz val="12"/>
        <color indexed="12"/>
        <rFont val="Aptos"/>
      </rPr>
      <t>NPI0186</t>
    </r>
  </si>
  <si>
    <r>
      <rPr>
        <sz val="12"/>
        <color indexed="12"/>
        <rFont val="Aptos"/>
      </rPr>
      <t>I compete even when cooperation would help.</t>
    </r>
  </si>
  <si>
    <r>
      <rPr>
        <sz val="12"/>
        <color indexed="12"/>
        <rFont val="Aptos"/>
      </rPr>
      <t>NPI0187</t>
    </r>
  </si>
  <si>
    <r>
      <rPr>
        <sz val="12"/>
        <color indexed="12"/>
        <rFont val="Aptos"/>
      </rPr>
      <t>I ignore others’ feelings when focused on winning.</t>
    </r>
  </si>
  <si>
    <r>
      <rPr>
        <sz val="12"/>
        <color indexed="12"/>
        <rFont val="Aptos"/>
      </rPr>
      <t>NPI0188</t>
    </r>
  </si>
  <si>
    <r>
      <rPr>
        <sz val="12"/>
        <color indexed="12"/>
        <rFont val="Aptos"/>
      </rPr>
      <t>I speak harshly when frustrated.</t>
    </r>
  </si>
  <si>
    <r>
      <rPr>
        <sz val="12"/>
        <color indexed="12"/>
        <rFont val="Aptos"/>
      </rPr>
      <t>NPI0189</t>
    </r>
  </si>
  <si>
    <r>
      <rPr>
        <sz val="12"/>
        <color indexed="12"/>
        <rFont val="Aptos"/>
      </rPr>
      <t>I get irritated by emotional support needs.</t>
    </r>
  </si>
  <si>
    <r>
      <rPr>
        <sz val="12"/>
        <color indexed="12"/>
        <rFont val="Aptos"/>
      </rPr>
      <t>NPI0190</t>
    </r>
  </si>
  <si>
    <r>
      <rPr>
        <sz val="12"/>
        <color indexed="12"/>
        <rFont val="Aptos"/>
      </rPr>
      <t>I struggle to accept feedback.</t>
    </r>
  </si>
  <si>
    <r>
      <rPr>
        <sz val="12"/>
        <color indexed="12"/>
        <rFont val="Aptos"/>
      </rPr>
      <t>NPI0191</t>
    </r>
  </si>
  <si>
    <r>
      <rPr>
        <sz val="12"/>
        <color indexed="12"/>
        <rFont val="Aptos"/>
      </rPr>
      <t>Neuroticism</t>
    </r>
  </si>
  <si>
    <r>
      <rPr>
        <sz val="12"/>
        <color indexed="12"/>
        <rFont val="Aptos"/>
      </rPr>
      <t>I feel worried before exams.</t>
    </r>
  </si>
  <si>
    <r>
      <rPr>
        <sz val="12"/>
        <color indexed="12"/>
        <rFont val="Aptos"/>
      </rPr>
      <t>NPI0192</t>
    </r>
  </si>
  <si>
    <r>
      <rPr>
        <sz val="12"/>
        <color indexed="12"/>
        <rFont val="Aptos"/>
      </rPr>
      <t>I get upset when I make mistakes.</t>
    </r>
  </si>
  <si>
    <r>
      <rPr>
        <sz val="12"/>
        <color indexed="12"/>
        <rFont val="Aptos"/>
      </rPr>
      <t>NPI0193</t>
    </r>
  </si>
  <si>
    <r>
      <rPr>
        <sz val="12"/>
        <color indexed="12"/>
        <rFont val="Aptos"/>
      </rPr>
      <t>I feel pressure when people expect a lot.</t>
    </r>
  </si>
  <si>
    <r>
      <rPr>
        <sz val="12"/>
        <color indexed="12"/>
        <rFont val="Aptos"/>
      </rPr>
      <t>NPI0194</t>
    </r>
  </si>
  <si>
    <r>
      <rPr>
        <sz val="12"/>
        <color indexed="12"/>
        <rFont val="Aptos"/>
      </rPr>
      <t>I overthink my performance.</t>
    </r>
  </si>
  <si>
    <r>
      <rPr>
        <sz val="12"/>
        <color indexed="12"/>
        <rFont val="Aptos"/>
      </rPr>
      <t>NPI0195</t>
    </r>
  </si>
  <si>
    <r>
      <rPr>
        <sz val="12"/>
        <color indexed="12"/>
        <rFont val="Aptos"/>
      </rPr>
      <t>I feel nervous with too many tasks.</t>
    </r>
  </si>
  <si>
    <r>
      <rPr>
        <sz val="12"/>
        <color indexed="12"/>
        <rFont val="Aptos"/>
      </rPr>
      <t>NPI0196</t>
    </r>
  </si>
  <si>
    <r>
      <rPr>
        <sz val="12"/>
        <color indexed="12"/>
        <rFont val="Aptos"/>
      </rPr>
      <t>I worry about disappointing others.</t>
    </r>
  </si>
  <si>
    <r>
      <rPr>
        <sz val="12"/>
        <color indexed="12"/>
        <rFont val="Aptos"/>
      </rPr>
      <t>NPI0197</t>
    </r>
  </si>
  <si>
    <r>
      <rPr>
        <sz val="12"/>
        <color indexed="12"/>
        <rFont val="Aptos"/>
      </rPr>
      <t>I feel emotionally overwhelmed sometimes.</t>
    </r>
  </si>
  <si>
    <r>
      <rPr>
        <sz val="12"/>
        <color indexed="12"/>
        <rFont val="Aptos"/>
      </rPr>
      <t>NPI0198</t>
    </r>
  </si>
  <si>
    <r>
      <rPr>
        <sz val="12"/>
        <color indexed="12"/>
        <rFont val="Aptos"/>
      </rPr>
      <t>I become anxious when I do not understand quickly.</t>
    </r>
  </si>
  <si>
    <r>
      <rPr>
        <sz val="12"/>
        <color indexed="12"/>
        <rFont val="Aptos"/>
      </rPr>
      <t>NPI0199</t>
    </r>
  </si>
  <si>
    <r>
      <rPr>
        <sz val="12"/>
        <color indexed="12"/>
        <rFont val="Aptos"/>
      </rPr>
      <t>I sleep poorly before major tests.</t>
    </r>
  </si>
  <si>
    <r>
      <rPr>
        <sz val="12"/>
        <color indexed="12"/>
        <rFont val="Aptos"/>
      </rPr>
      <t>NPI0200</t>
    </r>
  </si>
  <si>
    <r>
      <rPr>
        <sz val="12"/>
        <color indexed="12"/>
        <rFont val="Aptos"/>
      </rPr>
      <t>I feel tense when comparing myself to others.</t>
    </r>
  </si>
  <si>
    <r>
      <rPr>
        <sz val="12"/>
        <color indexed="12"/>
        <rFont val="Aptos"/>
      </rPr>
      <t>NPI0201</t>
    </r>
  </si>
  <si>
    <r>
      <rPr>
        <sz val="12"/>
        <color indexed="12"/>
        <rFont val="Aptos"/>
      </rPr>
      <t>I fear failure.</t>
    </r>
  </si>
  <si>
    <r>
      <rPr>
        <sz val="12"/>
        <color indexed="12"/>
        <rFont val="Aptos"/>
      </rPr>
      <t>NPI0202</t>
    </r>
  </si>
  <si>
    <r>
      <rPr>
        <sz val="12"/>
        <color indexed="12"/>
        <rFont val="Aptos"/>
      </rPr>
      <t>I become discouraged easily.</t>
    </r>
  </si>
  <si>
    <r>
      <rPr>
        <sz val="12"/>
        <color indexed="12"/>
        <rFont val="Aptos"/>
      </rPr>
      <t>NPI0203</t>
    </r>
  </si>
  <si>
    <r>
      <rPr>
        <sz val="12"/>
        <color indexed="12"/>
        <rFont val="Aptos"/>
      </rPr>
      <t>I feel pressure to be perfect.</t>
    </r>
  </si>
  <si>
    <r>
      <rPr>
        <sz val="12"/>
        <color indexed="12"/>
        <rFont val="Aptos"/>
      </rPr>
      <t>NPI0204</t>
    </r>
  </si>
  <si>
    <r>
      <rPr>
        <sz val="12"/>
        <color indexed="12"/>
        <rFont val="Aptos"/>
      </rPr>
      <t>I worry about the future often.</t>
    </r>
  </si>
  <si>
    <r>
      <rPr>
        <sz val="12"/>
        <color indexed="12"/>
        <rFont val="Aptos"/>
      </rPr>
      <t>NPI0205</t>
    </r>
  </si>
  <si>
    <r>
      <rPr>
        <sz val="12"/>
        <color indexed="12"/>
        <rFont val="Aptos"/>
      </rPr>
      <t>I become upset when routines change.</t>
    </r>
  </si>
  <si>
    <r>
      <rPr>
        <sz val="12"/>
        <color indexed="12"/>
        <rFont val="Aptos"/>
      </rPr>
      <t>NPI0206</t>
    </r>
  </si>
  <si>
    <r>
      <rPr>
        <sz val="12"/>
        <color indexed="12"/>
        <rFont val="Aptos"/>
      </rPr>
      <t>I need reassurance during stressful periods.</t>
    </r>
  </si>
  <si>
    <r>
      <rPr>
        <sz val="12"/>
        <color indexed="12"/>
        <rFont val="Aptos"/>
      </rPr>
      <t>NPI0207</t>
    </r>
  </si>
  <si>
    <r>
      <rPr>
        <sz val="12"/>
        <color indexed="12"/>
        <rFont val="Aptos"/>
      </rPr>
      <t>I feel stressed in competition.</t>
    </r>
  </si>
  <si>
    <r>
      <rPr>
        <sz val="12"/>
        <color indexed="12"/>
        <rFont val="Aptos"/>
      </rPr>
      <t>NPI0208</t>
    </r>
  </si>
  <si>
    <r>
      <rPr>
        <sz val="12"/>
        <color indexed="12"/>
        <rFont val="Aptos"/>
      </rPr>
      <t>I feel drained by pressure.</t>
    </r>
  </si>
  <si>
    <r>
      <rPr>
        <sz val="12"/>
        <color indexed="12"/>
        <rFont val="Aptos"/>
      </rPr>
      <t>NPI0209</t>
    </r>
  </si>
  <si>
    <r>
      <rPr>
        <sz val="12"/>
        <color indexed="12"/>
        <rFont val="Aptos"/>
      </rPr>
      <t>I stay calm when things go wrong.</t>
    </r>
  </si>
  <si>
    <r>
      <rPr>
        <sz val="12"/>
        <color indexed="12"/>
        <rFont val="Aptos"/>
      </rPr>
      <t>NPI0210</t>
    </r>
  </si>
  <si>
    <r>
      <rPr>
        <sz val="12"/>
        <color indexed="12"/>
        <rFont val="Aptos"/>
      </rPr>
      <t>I recover quickly after disappointment.</t>
    </r>
  </si>
  <si>
    <r>
      <rPr>
        <sz val="12"/>
        <color indexed="12"/>
        <rFont val="Aptos"/>
      </rPr>
      <t>NPI0211</t>
    </r>
  </si>
  <si>
    <r>
      <rPr>
        <sz val="12"/>
        <color indexed="12"/>
        <rFont val="Aptos"/>
      </rPr>
      <t>I manage stress without panic.</t>
    </r>
  </si>
  <si>
    <r>
      <rPr>
        <sz val="12"/>
        <color indexed="12"/>
        <rFont val="Aptos"/>
      </rPr>
      <t>NPI0212</t>
    </r>
  </si>
  <si>
    <r>
      <rPr>
        <sz val="12"/>
        <color indexed="12"/>
        <rFont val="Aptos"/>
      </rPr>
      <t>I handle criticism calmly.</t>
    </r>
  </si>
  <si>
    <r>
      <rPr>
        <sz val="12"/>
        <color indexed="12"/>
        <rFont val="Aptos"/>
      </rPr>
      <t>NPI0213</t>
    </r>
  </si>
  <si>
    <r>
      <rPr>
        <sz val="12"/>
        <color indexed="12"/>
        <rFont val="Aptos"/>
      </rPr>
      <t>I stay balanced during competition.</t>
    </r>
  </si>
  <si>
    <r>
      <rPr>
        <sz val="12"/>
        <color indexed="12"/>
        <rFont val="Aptos"/>
      </rPr>
      <t>NPI0214</t>
    </r>
  </si>
  <si>
    <r>
      <rPr>
        <sz val="12"/>
        <color indexed="12"/>
        <rFont val="Aptos"/>
      </rPr>
      <t>I trust myself under pressure.</t>
    </r>
  </si>
  <si>
    <r>
      <rPr>
        <sz val="12"/>
        <color indexed="12"/>
        <rFont val="Aptos"/>
      </rPr>
      <t>NPI0215</t>
    </r>
  </si>
  <si>
    <r>
      <rPr>
        <sz val="12"/>
        <color indexed="12"/>
        <rFont val="Aptos"/>
      </rPr>
      <t>I calm myself when stressed.</t>
    </r>
  </si>
  <si>
    <r>
      <rPr>
        <sz val="12"/>
        <color indexed="12"/>
        <rFont val="Aptos"/>
      </rPr>
      <t>NPI0216</t>
    </r>
  </si>
  <si>
    <r>
      <rPr>
        <sz val="12"/>
        <color indexed="12"/>
        <rFont val="Aptos"/>
      </rPr>
      <t>Cognitive Ability</t>
    </r>
  </si>
  <si>
    <r>
      <rPr>
        <sz val="12"/>
        <color indexed="12"/>
        <rFont val="Aptos"/>
      </rPr>
      <t>Numerical</t>
    </r>
  </si>
  <si>
    <r>
      <rPr>
        <sz val="12"/>
        <color indexed="12"/>
        <rFont val="Aptos"/>
      </rPr>
      <t>MCQ</t>
    </r>
  </si>
  <si>
    <r>
      <rPr>
        <sz val="12"/>
        <color indexed="12"/>
        <rFont val="Aptos"/>
      </rPr>
      <t>What comes next: 3, 6, 9, 12, ?</t>
    </r>
  </si>
  <si>
    <r>
      <rPr>
        <sz val="12"/>
        <color indexed="12"/>
        <rFont val="Aptos"/>
      </rPr>
      <t>13</t>
    </r>
  </si>
  <si>
    <r>
      <rPr>
        <sz val="12"/>
        <color indexed="12"/>
        <rFont val="Aptos"/>
      </rPr>
      <t>14</t>
    </r>
  </si>
  <si>
    <r>
      <rPr>
        <sz val="12"/>
        <color indexed="12"/>
        <rFont val="Aptos"/>
      </rPr>
      <t>15</t>
    </r>
  </si>
  <si>
    <r>
      <rPr>
        <sz val="12"/>
        <color indexed="12"/>
        <rFont val="Aptos"/>
      </rPr>
      <t>18</t>
    </r>
  </si>
  <si>
    <r>
      <rPr>
        <sz val="12"/>
        <color indexed="12"/>
        <rFont val="Aptos"/>
      </rPr>
      <t>NPI0217</t>
    </r>
  </si>
  <si>
    <r>
      <rPr>
        <sz val="12"/>
        <color indexed="12"/>
        <rFont val="Aptos"/>
      </rPr>
      <t>If 5 notebooks cost ₹150, one costs:</t>
    </r>
  </si>
  <si>
    <r>
      <rPr>
        <sz val="12"/>
        <color indexed="12"/>
        <rFont val="Aptos"/>
      </rPr>
      <t>₹20</t>
    </r>
  </si>
  <si>
    <r>
      <rPr>
        <sz val="12"/>
        <color indexed="12"/>
        <rFont val="Aptos"/>
      </rPr>
      <t>₹25</t>
    </r>
  </si>
  <si>
    <r>
      <rPr>
        <sz val="12"/>
        <color indexed="12"/>
        <rFont val="Aptos"/>
      </rPr>
      <t>₹30</t>
    </r>
  </si>
  <si>
    <r>
      <rPr>
        <sz val="12"/>
        <color indexed="12"/>
        <rFont val="Aptos"/>
      </rPr>
      <t>₹35</t>
    </r>
  </si>
  <si>
    <r>
      <rPr>
        <sz val="12"/>
        <color indexed="12"/>
        <rFont val="Aptos"/>
      </rPr>
      <t>NPI0218</t>
    </r>
  </si>
  <si>
    <r>
      <rPr>
        <sz val="12"/>
        <color indexed="12"/>
        <rFont val="Aptos"/>
      </rPr>
      <t>What is 20% of 250?</t>
    </r>
  </si>
  <si>
    <r>
      <rPr>
        <sz val="12"/>
        <color indexed="12"/>
        <rFont val="Aptos"/>
      </rPr>
      <t>25</t>
    </r>
  </si>
  <si>
    <r>
      <rPr>
        <sz val="12"/>
        <color indexed="12"/>
        <rFont val="Aptos"/>
      </rPr>
      <t>40</t>
    </r>
  </si>
  <si>
    <r>
      <rPr>
        <sz val="12"/>
        <color indexed="12"/>
        <rFont val="Aptos"/>
      </rPr>
      <t>50</t>
    </r>
  </si>
  <si>
    <r>
      <rPr>
        <sz val="12"/>
        <color indexed="12"/>
        <rFont val="Aptos"/>
      </rPr>
      <t>60</t>
    </r>
  </si>
  <si>
    <r>
      <rPr>
        <sz val="12"/>
        <color indexed="12"/>
        <rFont val="Aptos"/>
      </rPr>
      <t>NPI0219</t>
    </r>
  </si>
  <si>
    <r>
      <rPr>
        <sz val="12"/>
        <color indexed="12"/>
        <rFont val="Aptos"/>
      </rPr>
      <t>Speed: 180 km in 3 hours =</t>
    </r>
  </si>
  <si>
    <r>
      <rPr>
        <sz val="12"/>
        <color indexed="12"/>
        <rFont val="Aptos"/>
      </rPr>
      <t>70</t>
    </r>
  </si>
  <si>
    <r>
      <rPr>
        <sz val="12"/>
        <color indexed="12"/>
        <rFont val="Aptos"/>
      </rPr>
      <t>NPI0220</t>
    </r>
  </si>
  <si>
    <r>
      <rPr>
        <sz val="12"/>
        <color indexed="12"/>
        <rFont val="Aptos"/>
      </rPr>
      <t>2,4,8,16,?</t>
    </r>
  </si>
  <si>
    <r>
      <rPr>
        <sz val="12"/>
        <color indexed="12"/>
        <rFont val="Aptos"/>
      </rPr>
      <t>24</t>
    </r>
  </si>
  <si>
    <r>
      <rPr>
        <sz val="12"/>
        <color indexed="12"/>
        <rFont val="Aptos"/>
      </rPr>
      <t>28</t>
    </r>
  </si>
  <si>
    <r>
      <rPr>
        <sz val="12"/>
        <color indexed="12"/>
        <rFont val="Aptos"/>
      </rPr>
      <t>32</t>
    </r>
  </si>
  <si>
    <r>
      <rPr>
        <sz val="12"/>
        <color indexed="12"/>
        <rFont val="Aptos"/>
      </rPr>
      <t>36</t>
    </r>
  </si>
  <si>
    <r>
      <rPr>
        <sz val="12"/>
        <color indexed="12"/>
        <rFont val="Aptos"/>
      </rPr>
      <t>NPI0221</t>
    </r>
  </si>
  <si>
    <r>
      <rPr>
        <sz val="12"/>
        <color indexed="12"/>
        <rFont val="Aptos"/>
      </rPr>
      <t>x+7=19, x=</t>
    </r>
  </si>
  <si>
    <r>
      <rPr>
        <sz val="12"/>
        <color indexed="12"/>
        <rFont val="Aptos"/>
      </rPr>
      <t>10</t>
    </r>
  </si>
  <si>
    <r>
      <rPr>
        <sz val="12"/>
        <color indexed="12"/>
        <rFont val="Aptos"/>
      </rPr>
      <t>11</t>
    </r>
  </si>
  <si>
    <r>
      <rPr>
        <sz val="12"/>
        <color indexed="12"/>
        <rFont val="Aptos"/>
      </rPr>
      <t>12</t>
    </r>
  </si>
  <si>
    <r>
      <rPr>
        <sz val="12"/>
        <color indexed="12"/>
        <rFont val="Aptos"/>
      </rPr>
      <t>NPI0222</t>
    </r>
  </si>
  <si>
    <r>
      <rPr>
        <sz val="12"/>
        <color indexed="12"/>
        <rFont val="Aptos"/>
      </rPr>
      <t>Average of 8,10,12,14</t>
    </r>
  </si>
  <si>
    <r>
      <rPr>
        <sz val="12"/>
        <color indexed="12"/>
        <rFont val="Aptos"/>
      </rPr>
      <t>B</t>
    </r>
  </si>
  <si>
    <r>
      <rPr>
        <sz val="12"/>
        <color indexed="12"/>
        <rFont val="Aptos"/>
      </rPr>
      <t>NPI0223</t>
    </r>
  </si>
  <si>
    <r>
      <rPr>
        <sz val="12"/>
        <color indexed="12"/>
        <rFont val="Aptos"/>
      </rPr>
      <t>Ratio 2:3 total 25, first part</t>
    </r>
  </si>
  <si>
    <r>
      <rPr>
        <sz val="12"/>
        <color indexed="12"/>
        <rFont val="Aptos"/>
      </rPr>
      <t>8</t>
    </r>
  </si>
  <si>
    <r>
      <rPr>
        <sz val="12"/>
        <color indexed="12"/>
        <rFont val="Aptos"/>
      </rPr>
      <t>NPI0224</t>
    </r>
  </si>
  <si>
    <r>
      <rPr>
        <sz val="12"/>
        <color indexed="12"/>
        <rFont val="Aptos"/>
      </rPr>
      <t>15 × 6</t>
    </r>
  </si>
  <si>
    <r>
      <rPr>
        <sz val="12"/>
        <color indexed="12"/>
        <rFont val="Aptos"/>
      </rPr>
      <t>80</t>
    </r>
  </si>
  <si>
    <r>
      <rPr>
        <sz val="12"/>
        <color indexed="12"/>
        <rFont val="Aptos"/>
      </rPr>
      <t>85</t>
    </r>
  </si>
  <si>
    <r>
      <rPr>
        <sz val="12"/>
        <color indexed="12"/>
        <rFont val="Aptos"/>
      </rPr>
      <t>90</t>
    </r>
  </si>
  <si>
    <r>
      <rPr>
        <sz val="12"/>
        <color indexed="12"/>
        <rFont val="Aptos"/>
      </rPr>
      <t>95</t>
    </r>
  </si>
  <si>
    <r>
      <rPr>
        <sz val="12"/>
        <color indexed="12"/>
        <rFont val="Aptos"/>
      </rPr>
      <t>NPI0225</t>
    </r>
  </si>
  <si>
    <r>
      <rPr>
        <sz val="12"/>
        <color indexed="12"/>
        <rFont val="Aptos"/>
      </rPr>
      <t>10% discount on ₹800 final price</t>
    </r>
  </si>
  <si>
    <r>
      <rPr>
        <sz val="12"/>
        <color indexed="12"/>
        <rFont val="Aptos"/>
      </rPr>
      <t>₹700</t>
    </r>
  </si>
  <si>
    <r>
      <rPr>
        <sz val="12"/>
        <color indexed="12"/>
        <rFont val="Aptos"/>
      </rPr>
      <t>₹720</t>
    </r>
  </si>
  <si>
    <r>
      <rPr>
        <sz val="12"/>
        <color indexed="12"/>
        <rFont val="Aptos"/>
      </rPr>
      <t>₹760</t>
    </r>
  </si>
  <si>
    <r>
      <rPr>
        <sz val="12"/>
        <color indexed="12"/>
        <rFont val="Aptos"/>
      </rPr>
      <t>₹780</t>
    </r>
  </si>
  <si>
    <r>
      <rPr>
        <sz val="12"/>
        <color indexed="12"/>
        <rFont val="Aptos"/>
      </rPr>
      <t>NPI0226</t>
    </r>
  </si>
  <si>
    <r>
      <rPr>
        <sz val="12"/>
        <color indexed="12"/>
        <rFont val="Aptos"/>
      </rPr>
      <t>5,10,20,40,?</t>
    </r>
  </si>
  <si>
    <r>
      <rPr>
        <sz val="12"/>
        <color indexed="12"/>
        <rFont val="Aptos"/>
      </rPr>
      <t>100</t>
    </r>
  </si>
  <si>
    <r>
      <rPr>
        <sz val="12"/>
        <color indexed="12"/>
        <rFont val="Aptos"/>
      </rPr>
      <t>NPI0227</t>
    </r>
  </si>
  <si>
    <r>
      <rPr>
        <sz val="12"/>
        <color indexed="12"/>
        <rFont val="Aptos"/>
      </rPr>
      <t>3/4 of number is 60, number</t>
    </r>
  </si>
  <si>
    <r>
      <rPr>
        <sz val="12"/>
        <color indexed="12"/>
        <rFont val="Aptos"/>
      </rPr>
      <t>75</t>
    </r>
  </si>
  <si>
    <r>
      <rPr>
        <sz val="12"/>
        <color indexed="12"/>
        <rFont val="Aptos"/>
      </rPr>
      <t>NPI0228</t>
    </r>
  </si>
  <si>
    <r>
      <rPr>
        <sz val="12"/>
        <color indexed="12"/>
        <rFont val="Aptos"/>
      </rPr>
      <t>Square of 13</t>
    </r>
  </si>
  <si>
    <r>
      <rPr>
        <sz val="12"/>
        <color indexed="12"/>
        <rFont val="Aptos"/>
      </rPr>
      <t>156</t>
    </r>
  </si>
  <si>
    <r>
      <rPr>
        <sz val="12"/>
        <color indexed="12"/>
        <rFont val="Aptos"/>
      </rPr>
      <t>169</t>
    </r>
  </si>
  <si>
    <r>
      <rPr>
        <sz val="12"/>
        <color indexed="12"/>
        <rFont val="Aptos"/>
      </rPr>
      <t>178</t>
    </r>
  </si>
  <si>
    <r>
      <rPr>
        <sz val="12"/>
        <color indexed="12"/>
        <rFont val="Aptos"/>
      </rPr>
      <t>196</t>
    </r>
  </si>
  <si>
    <r>
      <rPr>
        <sz val="12"/>
        <color indexed="12"/>
        <rFont val="Aptos"/>
      </rPr>
      <t>NPI0229</t>
    </r>
  </si>
  <si>
    <r>
      <rPr>
        <sz val="12"/>
        <color indexed="12"/>
        <rFont val="Aptos"/>
      </rPr>
      <t>12 workers × 6 days work-days</t>
    </r>
  </si>
  <si>
    <r>
      <rPr>
        <sz val="12"/>
        <color indexed="12"/>
        <rFont val="Aptos"/>
      </rPr>
      <t>72</t>
    </r>
  </si>
  <si>
    <r>
      <rPr>
        <sz val="12"/>
        <color indexed="12"/>
        <rFont val="Aptos"/>
      </rPr>
      <t>108</t>
    </r>
  </si>
  <si>
    <r>
      <rPr>
        <sz val="12"/>
        <color indexed="12"/>
        <rFont val="Aptos"/>
      </rPr>
      <t>NPI0230</t>
    </r>
  </si>
  <si>
    <r>
      <rPr>
        <sz val="12"/>
        <color indexed="12"/>
        <rFont val="Aptos"/>
      </rPr>
      <t>7.5 + 2.25</t>
    </r>
  </si>
  <si>
    <r>
      <rPr>
        <sz val="12"/>
        <color indexed="12"/>
        <rFont val="Aptos"/>
      </rPr>
      <t>9.25</t>
    </r>
  </si>
  <si>
    <r>
      <rPr>
        <sz val="12"/>
        <color indexed="12"/>
        <rFont val="Aptos"/>
      </rPr>
      <t>9.50</t>
    </r>
  </si>
  <si>
    <r>
      <rPr>
        <sz val="12"/>
        <color indexed="12"/>
        <rFont val="Aptos"/>
      </rPr>
      <t>9.75</t>
    </r>
  </si>
  <si>
    <r>
      <rPr>
        <sz val="12"/>
        <color indexed="12"/>
        <rFont val="Aptos"/>
      </rPr>
      <t>10.00</t>
    </r>
  </si>
  <si>
    <r>
      <rPr>
        <sz val="12"/>
        <color indexed="12"/>
        <rFont val="Aptos"/>
      </rPr>
      <t>NPI0231</t>
    </r>
  </si>
  <si>
    <r>
      <rPr>
        <sz val="12"/>
        <color indexed="12"/>
        <rFont val="Aptos"/>
      </rPr>
      <t>144 ÷ 12</t>
    </r>
  </si>
  <si>
    <r>
      <rPr>
        <sz val="12"/>
        <color indexed="12"/>
        <rFont val="Aptos"/>
      </rPr>
      <t>NPI0232</t>
    </r>
  </si>
  <si>
    <r>
      <rPr>
        <sz val="12"/>
        <color indexed="12"/>
        <rFont val="Aptos"/>
      </rPr>
      <t>1,4,9,16,?</t>
    </r>
  </si>
  <si>
    <r>
      <rPr>
        <sz val="12"/>
        <color indexed="12"/>
        <rFont val="Aptos"/>
      </rPr>
      <t>20</t>
    </r>
  </si>
  <si>
    <r>
      <rPr>
        <sz val="12"/>
        <color indexed="12"/>
        <rFont val="Aptos"/>
      </rPr>
      <t>NPI0233</t>
    </r>
  </si>
  <si>
    <r>
      <rPr>
        <sz val="12"/>
        <color indexed="12"/>
        <rFont val="Aptos"/>
      </rPr>
      <t>40 students, 60% girls</t>
    </r>
  </si>
  <si>
    <r>
      <rPr>
        <sz val="12"/>
        <color indexed="12"/>
        <rFont val="Aptos"/>
      </rPr>
      <t>22</t>
    </r>
  </si>
  <si>
    <r>
      <rPr>
        <sz val="12"/>
        <color indexed="12"/>
        <rFont val="Aptos"/>
      </rPr>
      <t>26</t>
    </r>
  </si>
  <si>
    <r>
      <rPr>
        <sz val="12"/>
        <color indexed="12"/>
        <rFont val="Aptos"/>
      </rPr>
      <t>NPI0234</t>
    </r>
  </si>
  <si>
    <r>
      <rPr>
        <sz val="12"/>
        <color indexed="12"/>
        <rFont val="Aptos"/>
      </rPr>
      <t>2 pencils ₹8, 7 pencils</t>
    </r>
  </si>
  <si>
    <r>
      <rPr>
        <sz val="12"/>
        <color indexed="12"/>
        <rFont val="Aptos"/>
      </rPr>
      <t>₹24</t>
    </r>
  </si>
  <si>
    <r>
      <rPr>
        <sz val="12"/>
        <color indexed="12"/>
        <rFont val="Aptos"/>
      </rPr>
      <t>₹26</t>
    </r>
  </si>
  <si>
    <r>
      <rPr>
        <sz val="12"/>
        <color indexed="12"/>
        <rFont val="Aptos"/>
      </rPr>
      <t>₹28</t>
    </r>
  </si>
  <si>
    <r>
      <rPr>
        <sz val="12"/>
        <color indexed="12"/>
        <rFont val="Aptos"/>
      </rPr>
      <t>NPI0235</t>
    </r>
  </si>
  <si>
    <r>
      <rPr>
        <sz val="12"/>
        <color indexed="12"/>
        <rFont val="Aptos"/>
      </rPr>
      <t>0.25 as percentage</t>
    </r>
  </si>
  <si>
    <r>
      <rPr>
        <sz val="12"/>
        <color indexed="12"/>
        <rFont val="Aptos"/>
      </rPr>
      <t>2.5%</t>
    </r>
  </si>
  <si>
    <r>
      <rPr>
        <sz val="12"/>
        <color indexed="12"/>
        <rFont val="Aptos"/>
      </rPr>
      <t>25%</t>
    </r>
  </si>
  <si>
    <r>
      <rPr>
        <sz val="12"/>
        <color indexed="12"/>
        <rFont val="Aptos"/>
      </rPr>
      <t>50%</t>
    </r>
  </si>
  <si>
    <r>
      <rPr>
        <sz val="12"/>
        <color indexed="12"/>
        <rFont val="Aptos"/>
      </rPr>
      <t>75%</t>
    </r>
  </si>
  <si>
    <r>
      <rPr>
        <sz val="12"/>
        <color indexed="12"/>
        <rFont val="Aptos"/>
      </rPr>
      <t>NPI0236</t>
    </r>
  </si>
  <si>
    <r>
      <rPr>
        <sz val="12"/>
        <color indexed="12"/>
        <rFont val="Aptos"/>
      </rPr>
      <t>Logic</t>
    </r>
  </si>
  <si>
    <r>
      <rPr>
        <sz val="12"/>
        <color indexed="12"/>
        <rFont val="Aptos"/>
      </rPr>
      <t>All roses are flowers. Which is definitely true?</t>
    </r>
  </si>
  <si>
    <r>
      <rPr>
        <sz val="12"/>
        <color indexed="12"/>
        <rFont val="Aptos"/>
      </rPr>
      <t>All roses fade</t>
    </r>
  </si>
  <si>
    <r>
      <rPr>
        <sz val="12"/>
        <color indexed="12"/>
        <rFont val="Aptos"/>
      </rPr>
      <t>Some roses fade</t>
    </r>
  </si>
  <si>
    <r>
      <rPr>
        <sz val="12"/>
        <color indexed="12"/>
        <rFont val="Aptos"/>
      </rPr>
      <t>Roses are flowers</t>
    </r>
  </si>
  <si>
    <r>
      <rPr>
        <sz val="12"/>
        <color indexed="12"/>
        <rFont val="Aptos"/>
      </rPr>
      <t>No flowers are roses</t>
    </r>
  </si>
  <si>
    <r>
      <rPr>
        <sz val="12"/>
        <color indexed="12"/>
        <rFont val="Aptos"/>
      </rPr>
      <t>NPI0237</t>
    </r>
  </si>
  <si>
    <r>
      <rPr>
        <sz val="12"/>
        <color indexed="12"/>
        <rFont val="Aptos"/>
      </rPr>
      <t>Wednesday + 10 days</t>
    </r>
  </si>
  <si>
    <r>
      <rPr>
        <sz val="12"/>
        <color indexed="12"/>
        <rFont val="Aptos"/>
      </rPr>
      <t>Friday</t>
    </r>
  </si>
  <si>
    <r>
      <rPr>
        <sz val="12"/>
        <color indexed="12"/>
        <rFont val="Aptos"/>
      </rPr>
      <t>Saturday</t>
    </r>
  </si>
  <si>
    <r>
      <rPr>
        <sz val="12"/>
        <color indexed="12"/>
        <rFont val="Aptos"/>
      </rPr>
      <t>Sunday</t>
    </r>
  </si>
  <si>
    <r>
      <rPr>
        <sz val="12"/>
        <color indexed="12"/>
        <rFont val="Aptos"/>
      </rPr>
      <t>Monday</t>
    </r>
  </si>
  <si>
    <r>
      <rPr>
        <sz val="12"/>
        <color indexed="12"/>
        <rFont val="Aptos"/>
      </rPr>
      <t>NPI0238</t>
    </r>
  </si>
  <si>
    <r>
      <rPr>
        <sz val="12"/>
        <color indexed="12"/>
        <rFont val="Aptos"/>
      </rPr>
      <t>Odd one: Pen, Pencil, Eraser, Mango</t>
    </r>
  </si>
  <si>
    <r>
      <rPr>
        <sz val="12"/>
        <color indexed="12"/>
        <rFont val="Aptos"/>
      </rPr>
      <t>Pen</t>
    </r>
  </si>
  <si>
    <r>
      <rPr>
        <sz val="12"/>
        <color indexed="12"/>
        <rFont val="Aptos"/>
      </rPr>
      <t>Pencil</t>
    </r>
  </si>
  <si>
    <r>
      <rPr>
        <sz val="12"/>
        <color indexed="12"/>
        <rFont val="Aptos"/>
      </rPr>
      <t>Eraser</t>
    </r>
  </si>
  <si>
    <r>
      <rPr>
        <sz val="12"/>
        <color indexed="12"/>
        <rFont val="Aptos"/>
      </rPr>
      <t>Mango</t>
    </r>
  </si>
  <si>
    <r>
      <rPr>
        <sz val="12"/>
        <color indexed="12"/>
        <rFont val="Aptos"/>
      </rPr>
      <t>D</t>
    </r>
  </si>
  <si>
    <r>
      <rPr>
        <sz val="12"/>
        <color indexed="12"/>
        <rFont val="Aptos"/>
      </rPr>
      <t>NPI0239</t>
    </r>
  </si>
  <si>
    <r>
      <rPr>
        <sz val="12"/>
        <color indexed="12"/>
        <rFont val="Aptos"/>
      </rPr>
      <t>A taller than B, B taller than C. Tallest?</t>
    </r>
  </si>
  <si>
    <r>
      <rPr>
        <sz val="12"/>
        <color indexed="12"/>
        <rFont val="Aptos"/>
      </rPr>
      <t>Cannot say</t>
    </r>
  </si>
  <si>
    <r>
      <rPr>
        <sz val="12"/>
        <color indexed="12"/>
        <rFont val="Aptos"/>
      </rPr>
      <t>NPI0240</t>
    </r>
  </si>
  <si>
    <r>
      <rPr>
        <sz val="12"/>
        <color indexed="12"/>
        <rFont val="Aptos"/>
      </rPr>
      <t>Bird:Fly :: Fish:?</t>
    </r>
  </si>
  <si>
    <r>
      <rPr>
        <sz val="12"/>
        <color indexed="12"/>
        <rFont val="Aptos"/>
      </rPr>
      <t>Run</t>
    </r>
  </si>
  <si>
    <r>
      <rPr>
        <sz val="12"/>
        <color indexed="12"/>
        <rFont val="Aptos"/>
      </rPr>
      <t>Swim</t>
    </r>
  </si>
  <si>
    <r>
      <rPr>
        <sz val="12"/>
        <color indexed="12"/>
        <rFont val="Aptos"/>
      </rPr>
      <t>Walk</t>
    </r>
  </si>
  <si>
    <r>
      <rPr>
        <sz val="12"/>
        <color indexed="12"/>
        <rFont val="Aptos"/>
      </rPr>
      <t>Climb</t>
    </r>
  </si>
  <si>
    <r>
      <rPr>
        <sz val="12"/>
        <color indexed="12"/>
        <rFont val="Aptos"/>
      </rPr>
      <t>NPI0241</t>
    </r>
  </si>
  <si>
    <r>
      <rPr>
        <sz val="12"/>
        <color indexed="12"/>
        <rFont val="Aptos"/>
      </rPr>
      <t>All squares are rectangles, then</t>
    </r>
  </si>
  <si>
    <r>
      <rPr>
        <sz val="12"/>
        <color indexed="12"/>
        <rFont val="Aptos"/>
      </rPr>
      <t>All rectangles squares</t>
    </r>
  </si>
  <si>
    <r>
      <rPr>
        <sz val="12"/>
        <color indexed="12"/>
        <rFont val="Aptos"/>
      </rPr>
      <t>Some rectangles may be squares</t>
    </r>
  </si>
  <si>
    <r>
      <rPr>
        <sz val="12"/>
        <color indexed="12"/>
        <rFont val="Aptos"/>
      </rPr>
      <t>No square rectangle</t>
    </r>
  </si>
  <si>
    <r>
      <rPr>
        <sz val="12"/>
        <color indexed="12"/>
        <rFont val="Aptos"/>
      </rPr>
      <t>NPI0242</t>
    </r>
  </si>
  <si>
    <r>
      <rPr>
        <sz val="12"/>
        <color indexed="12"/>
        <rFont val="Aptos"/>
      </rPr>
      <t>Riya older than Sam, Sam older than Tina. Tina is</t>
    </r>
  </si>
  <si>
    <r>
      <rPr>
        <sz val="12"/>
        <color indexed="12"/>
        <rFont val="Aptos"/>
      </rPr>
      <t>Oldest</t>
    </r>
  </si>
  <si>
    <r>
      <rPr>
        <sz val="12"/>
        <color indexed="12"/>
        <rFont val="Aptos"/>
      </rPr>
      <t>Youngest</t>
    </r>
  </si>
  <si>
    <r>
      <rPr>
        <sz val="12"/>
        <color indexed="12"/>
        <rFont val="Aptos"/>
      </rPr>
      <t>Same</t>
    </r>
  </si>
  <si>
    <r>
      <rPr>
        <sz val="12"/>
        <color indexed="12"/>
        <rFont val="Aptos"/>
      </rPr>
      <t>NPI0243</t>
    </r>
  </si>
  <si>
    <r>
      <rPr>
        <sz val="12"/>
        <color indexed="12"/>
        <rFont val="Aptos"/>
      </rPr>
      <t>Some students athletes. All athletes practice. Some students practice.</t>
    </r>
  </si>
  <si>
    <r>
      <rPr>
        <sz val="12"/>
        <color indexed="12"/>
        <rFont val="Aptos"/>
      </rPr>
      <t>True</t>
    </r>
  </si>
  <si>
    <r>
      <rPr>
        <sz val="12"/>
        <color indexed="12"/>
        <rFont val="Aptos"/>
      </rPr>
      <t>False</t>
    </r>
  </si>
  <si>
    <r>
      <rPr>
        <sz val="12"/>
        <color indexed="12"/>
        <rFont val="Aptos"/>
      </rPr>
      <t>Opposite</t>
    </r>
  </si>
  <si>
    <r>
      <rPr>
        <sz val="12"/>
        <color indexed="12"/>
        <rFont val="Aptos"/>
      </rPr>
      <t>NPI0244</t>
    </r>
  </si>
  <si>
    <r>
      <rPr>
        <sz val="12"/>
        <color indexed="12"/>
        <rFont val="Aptos"/>
      </rPr>
      <t>Plants wilt because</t>
    </r>
  </si>
  <si>
    <r>
      <rPr>
        <sz val="12"/>
        <color indexed="12"/>
        <rFont val="Aptos"/>
      </rPr>
      <t>They sing</t>
    </r>
  </si>
  <si>
    <r>
      <rPr>
        <sz val="12"/>
        <color indexed="12"/>
        <rFont val="Aptos"/>
      </rPr>
      <t>They lack water</t>
    </r>
  </si>
  <si>
    <r>
      <rPr>
        <sz val="12"/>
        <color indexed="12"/>
        <rFont val="Aptos"/>
      </rPr>
      <t>They read</t>
    </r>
  </si>
  <si>
    <r>
      <rPr>
        <sz val="12"/>
        <color indexed="12"/>
        <rFont val="Aptos"/>
      </rPr>
      <t>They run</t>
    </r>
  </si>
  <si>
    <r>
      <rPr>
        <sz val="12"/>
        <color indexed="12"/>
        <rFont val="Aptos"/>
      </rPr>
      <t>NPI0245</t>
    </r>
  </si>
  <si>
    <r>
      <rPr>
        <sz val="12"/>
        <color indexed="12"/>
        <rFont val="Aptos"/>
      </rPr>
      <t>Book:Read :: Food:?</t>
    </r>
  </si>
  <si>
    <r>
      <rPr>
        <sz val="12"/>
        <color indexed="12"/>
        <rFont val="Aptos"/>
      </rPr>
      <t>Cook</t>
    </r>
  </si>
  <si>
    <r>
      <rPr>
        <sz val="12"/>
        <color indexed="12"/>
        <rFont val="Aptos"/>
      </rPr>
      <t>Eat</t>
    </r>
  </si>
  <si>
    <r>
      <rPr>
        <sz val="12"/>
        <color indexed="12"/>
        <rFont val="Aptos"/>
      </rPr>
      <t>Write</t>
    </r>
  </si>
  <si>
    <r>
      <rPr>
        <sz val="12"/>
        <color indexed="12"/>
        <rFont val="Aptos"/>
      </rPr>
      <t>Draw</t>
    </r>
  </si>
  <si>
    <r>
      <rPr>
        <sz val="12"/>
        <color indexed="12"/>
        <rFont val="Aptos"/>
      </rPr>
      <t>NPI0246</t>
    </r>
  </si>
  <si>
    <r>
      <rPr>
        <sz val="12"/>
        <color indexed="12"/>
        <rFont val="Aptos"/>
      </rPr>
      <t>CAT-&gt;DBU, DOG-&gt;</t>
    </r>
  </si>
  <si>
    <r>
      <rPr>
        <sz val="12"/>
        <color indexed="12"/>
        <rFont val="Aptos"/>
      </rPr>
      <t>EPH</t>
    </r>
  </si>
  <si>
    <r>
      <rPr>
        <sz val="12"/>
        <color indexed="12"/>
        <rFont val="Aptos"/>
      </rPr>
      <t>EOG</t>
    </r>
  </si>
  <si>
    <r>
      <rPr>
        <sz val="12"/>
        <color indexed="12"/>
        <rFont val="Aptos"/>
      </rPr>
      <t>CNG</t>
    </r>
  </si>
  <si>
    <r>
      <rPr>
        <sz val="12"/>
        <color indexed="12"/>
        <rFont val="Aptos"/>
      </rPr>
      <t>FPI</t>
    </r>
  </si>
  <si>
    <r>
      <rPr>
        <sz val="12"/>
        <color indexed="12"/>
        <rFont val="Aptos"/>
      </rPr>
      <t>NPI0247</t>
    </r>
  </si>
  <si>
    <r>
      <rPr>
        <sz val="12"/>
        <color indexed="12"/>
        <rFont val="Aptos"/>
      </rPr>
      <t>Odd one: Circle, Triangle, Square, Table</t>
    </r>
  </si>
  <si>
    <r>
      <rPr>
        <sz val="12"/>
        <color indexed="12"/>
        <rFont val="Aptos"/>
      </rPr>
      <t>Circle</t>
    </r>
  </si>
  <si>
    <r>
      <rPr>
        <sz val="12"/>
        <color indexed="12"/>
        <rFont val="Aptos"/>
      </rPr>
      <t>Triangle</t>
    </r>
  </si>
  <si>
    <r>
      <rPr>
        <sz val="12"/>
        <color indexed="12"/>
        <rFont val="Aptos"/>
      </rPr>
      <t>Square</t>
    </r>
  </si>
  <si>
    <r>
      <rPr>
        <sz val="12"/>
        <color indexed="12"/>
        <rFont val="Aptos"/>
      </rPr>
      <t>Table</t>
    </r>
  </si>
  <si>
    <r>
      <rPr>
        <sz val="12"/>
        <color indexed="12"/>
        <rFont val="Aptos"/>
      </rPr>
      <t>NPI0248</t>
    </r>
  </si>
  <si>
    <r>
      <rPr>
        <sz val="12"/>
        <color indexed="12"/>
        <rFont val="Aptos"/>
      </rPr>
      <t>Rule +3: 4,7,10,?</t>
    </r>
  </si>
  <si>
    <r>
      <rPr>
        <sz val="12"/>
        <color indexed="12"/>
        <rFont val="Aptos"/>
      </rPr>
      <t>NPI0249</t>
    </r>
  </si>
  <si>
    <r>
      <rPr>
        <sz val="12"/>
        <color indexed="12"/>
        <rFont val="Aptos"/>
      </rPr>
      <t>A brother of B, B sister of C. A is C’s</t>
    </r>
  </si>
  <si>
    <r>
      <rPr>
        <sz val="12"/>
        <color indexed="12"/>
        <rFont val="Aptos"/>
      </rPr>
      <t>Sister</t>
    </r>
  </si>
  <si>
    <r>
      <rPr>
        <sz val="12"/>
        <color indexed="12"/>
        <rFont val="Aptos"/>
      </rPr>
      <t>Brother</t>
    </r>
  </si>
  <si>
    <r>
      <rPr>
        <sz val="12"/>
        <color indexed="12"/>
        <rFont val="Aptos"/>
      </rPr>
      <t>Mother</t>
    </r>
  </si>
  <si>
    <r>
      <rPr>
        <sz val="12"/>
        <color indexed="12"/>
        <rFont val="Aptos"/>
      </rPr>
      <t>NPI0250</t>
    </r>
  </si>
  <si>
    <r>
      <rPr>
        <sz val="12"/>
        <color indexed="12"/>
        <rFont val="Aptos"/>
      </rPr>
      <t>No birds are stones. Parrot is bird.</t>
    </r>
  </si>
  <si>
    <r>
      <rPr>
        <sz val="12"/>
        <color indexed="12"/>
        <rFont val="Aptos"/>
      </rPr>
      <t>Parrot stone</t>
    </r>
  </si>
  <si>
    <r>
      <rPr>
        <sz val="12"/>
        <color indexed="12"/>
        <rFont val="Aptos"/>
      </rPr>
      <t>Parrot not stone</t>
    </r>
  </si>
  <si>
    <r>
      <rPr>
        <sz val="12"/>
        <color indexed="12"/>
        <rFont val="Aptos"/>
      </rPr>
      <t>All stones birds</t>
    </r>
  </si>
  <si>
    <r>
      <rPr>
        <sz val="12"/>
        <color indexed="12"/>
        <rFont val="Aptos"/>
      </rPr>
      <t>NPI0251</t>
    </r>
  </si>
  <si>
    <r>
      <rPr>
        <sz val="12"/>
        <color indexed="12"/>
        <rFont val="Aptos"/>
      </rPr>
      <t>All pens write. This is pen.</t>
    </r>
  </si>
  <si>
    <r>
      <rPr>
        <sz val="12"/>
        <color indexed="12"/>
        <rFont val="Aptos"/>
      </rPr>
      <t>It writes</t>
    </r>
  </si>
  <si>
    <r>
      <rPr>
        <sz val="12"/>
        <color indexed="12"/>
        <rFont val="Aptos"/>
      </rPr>
      <t>Never writes</t>
    </r>
  </si>
  <si>
    <r>
      <rPr>
        <sz val="12"/>
        <color indexed="12"/>
        <rFont val="Aptos"/>
      </rPr>
      <t>NPI0252</t>
    </r>
  </si>
  <si>
    <r>
      <rPr>
        <sz val="12"/>
        <color indexed="12"/>
        <rFont val="Aptos"/>
      </rPr>
      <t>Morning:breakfast :: evening:?</t>
    </r>
  </si>
  <si>
    <r>
      <rPr>
        <sz val="12"/>
        <color indexed="12"/>
        <rFont val="Aptos"/>
      </rPr>
      <t>Lunch</t>
    </r>
  </si>
  <si>
    <r>
      <rPr>
        <sz val="12"/>
        <color indexed="12"/>
        <rFont val="Aptos"/>
      </rPr>
      <t>Dinner</t>
    </r>
  </si>
  <si>
    <r>
      <rPr>
        <sz val="12"/>
        <color indexed="12"/>
        <rFont val="Aptos"/>
      </rPr>
      <t>School</t>
    </r>
  </si>
  <si>
    <r>
      <rPr>
        <sz val="12"/>
        <color indexed="12"/>
        <rFont val="Aptos"/>
      </rPr>
      <t>Sleep</t>
    </r>
  </si>
  <si>
    <r>
      <rPr>
        <sz val="12"/>
        <color indexed="12"/>
        <rFont val="Aptos"/>
      </rPr>
      <t>NPI0253</t>
    </r>
  </si>
  <si>
    <r>
      <rPr>
        <sz val="12"/>
        <color indexed="12"/>
        <rFont val="Aptos"/>
      </rPr>
      <t>A heavier than B but lighter than C. Heaviest</t>
    </r>
  </si>
  <si>
    <r>
      <rPr>
        <sz val="12"/>
        <color indexed="12"/>
        <rFont val="Aptos"/>
      </rPr>
      <t>NPI0254</t>
    </r>
  </si>
  <si>
    <r>
      <rPr>
        <sz val="12"/>
        <color indexed="12"/>
        <rFont val="Aptos"/>
      </rPr>
      <t>Odd one: January, March, Friday, July</t>
    </r>
  </si>
  <si>
    <r>
      <rPr>
        <sz val="12"/>
        <color indexed="12"/>
        <rFont val="Aptos"/>
      </rPr>
      <t>January</t>
    </r>
  </si>
  <si>
    <r>
      <rPr>
        <sz val="12"/>
        <color indexed="12"/>
        <rFont val="Aptos"/>
      </rPr>
      <t>March</t>
    </r>
  </si>
  <si>
    <r>
      <rPr>
        <sz val="12"/>
        <color indexed="12"/>
        <rFont val="Aptos"/>
      </rPr>
      <t>July</t>
    </r>
  </si>
  <si>
    <r>
      <rPr>
        <sz val="12"/>
        <color indexed="12"/>
        <rFont val="Aptos"/>
      </rPr>
      <t>NPI0255</t>
    </r>
  </si>
  <si>
    <r>
      <rPr>
        <sz val="12"/>
        <color indexed="12"/>
        <rFont val="Aptos"/>
      </rPr>
      <t>Teacher:school :: doctor:?</t>
    </r>
  </si>
  <si>
    <r>
      <rPr>
        <sz val="12"/>
        <color indexed="12"/>
        <rFont val="Aptos"/>
      </rPr>
      <t>Court</t>
    </r>
  </si>
  <si>
    <r>
      <rPr>
        <sz val="12"/>
        <color indexed="12"/>
        <rFont val="Aptos"/>
      </rPr>
      <t>Hospital</t>
    </r>
  </si>
  <si>
    <r>
      <rPr>
        <sz val="12"/>
        <color indexed="12"/>
        <rFont val="Aptos"/>
      </rPr>
      <t>Market</t>
    </r>
  </si>
  <si>
    <r>
      <rPr>
        <sz val="12"/>
        <color indexed="12"/>
        <rFont val="Aptos"/>
      </rPr>
      <t>Farm</t>
    </r>
  </si>
  <si>
    <r>
      <rPr>
        <sz val="12"/>
        <color indexed="12"/>
        <rFont val="Aptos"/>
      </rPr>
      <t>NPI0256</t>
    </r>
  </si>
  <si>
    <r>
      <rPr>
        <sz val="12"/>
        <color indexed="12"/>
        <rFont val="Aptos"/>
      </rPr>
      <t>Verbal</t>
    </r>
  </si>
  <si>
    <r>
      <rPr>
        <sz val="12"/>
        <color indexed="12"/>
        <rFont val="Aptos"/>
      </rPr>
      <t>Synonym of brave</t>
    </r>
  </si>
  <si>
    <r>
      <rPr>
        <sz val="12"/>
        <color indexed="12"/>
        <rFont val="Aptos"/>
      </rPr>
      <t>Fearful</t>
    </r>
  </si>
  <si>
    <r>
      <rPr>
        <sz val="12"/>
        <color indexed="12"/>
        <rFont val="Aptos"/>
      </rPr>
      <t>Courageous</t>
    </r>
  </si>
  <si>
    <r>
      <rPr>
        <sz val="12"/>
        <color indexed="12"/>
        <rFont val="Aptos"/>
      </rPr>
      <t>Lazy</t>
    </r>
  </si>
  <si>
    <r>
      <rPr>
        <sz val="12"/>
        <color indexed="12"/>
        <rFont val="Aptos"/>
      </rPr>
      <t>Confused</t>
    </r>
  </si>
  <si>
    <r>
      <rPr>
        <sz val="12"/>
        <color indexed="12"/>
        <rFont val="Aptos"/>
      </rPr>
      <t>NPI0257</t>
    </r>
  </si>
  <si>
    <r>
      <rPr>
        <sz val="12"/>
        <color indexed="12"/>
        <rFont val="Aptos"/>
      </rPr>
      <t>Antonym of expand</t>
    </r>
  </si>
  <si>
    <r>
      <rPr>
        <sz val="12"/>
        <color indexed="12"/>
        <rFont val="Aptos"/>
      </rPr>
      <t>Grow</t>
    </r>
  </si>
  <si>
    <r>
      <rPr>
        <sz val="12"/>
        <color indexed="12"/>
        <rFont val="Aptos"/>
      </rPr>
      <t>Increase</t>
    </r>
  </si>
  <si>
    <r>
      <rPr>
        <sz val="12"/>
        <color indexed="12"/>
        <rFont val="Aptos"/>
      </rPr>
      <t>Shrink</t>
    </r>
  </si>
  <si>
    <r>
      <rPr>
        <sz val="12"/>
        <color indexed="12"/>
        <rFont val="Aptos"/>
      </rPr>
      <t>Open</t>
    </r>
  </si>
  <si>
    <r>
      <rPr>
        <sz val="12"/>
        <color indexed="12"/>
        <rFont val="Aptos"/>
      </rPr>
      <t>NPI0258</t>
    </r>
  </si>
  <si>
    <r>
      <rPr>
        <sz val="12"/>
        <color indexed="12"/>
        <rFont val="Aptos"/>
      </rPr>
      <t>Library: people ___ books</t>
    </r>
  </si>
  <si>
    <r>
      <rPr>
        <sz val="12"/>
        <color indexed="12"/>
        <rFont val="Aptos"/>
      </rPr>
      <t>eat</t>
    </r>
  </si>
  <si>
    <r>
      <rPr>
        <sz val="12"/>
        <color indexed="12"/>
        <rFont val="Aptos"/>
      </rPr>
      <t>borrow</t>
    </r>
  </si>
  <si>
    <r>
      <rPr>
        <sz val="12"/>
        <color indexed="12"/>
        <rFont val="Aptos"/>
      </rPr>
      <t>sleep</t>
    </r>
  </si>
  <si>
    <r>
      <rPr>
        <sz val="12"/>
        <color indexed="12"/>
        <rFont val="Aptos"/>
      </rPr>
      <t>throw</t>
    </r>
  </si>
  <si>
    <r>
      <rPr>
        <sz val="12"/>
        <color indexed="12"/>
        <rFont val="Aptos"/>
      </rPr>
      <t>NPI0259</t>
    </r>
  </si>
  <si>
    <r>
      <rPr>
        <sz val="12"/>
        <color indexed="12"/>
        <rFont val="Aptos"/>
      </rPr>
      <t>Transparent means</t>
    </r>
  </si>
  <si>
    <r>
      <rPr>
        <sz val="12"/>
        <color indexed="12"/>
        <rFont val="Aptos"/>
      </rPr>
      <t>See-through</t>
    </r>
  </si>
  <si>
    <r>
      <rPr>
        <sz val="12"/>
        <color indexed="12"/>
        <rFont val="Aptos"/>
      </rPr>
      <t>Heavy</t>
    </r>
  </si>
  <si>
    <r>
      <rPr>
        <sz val="12"/>
        <color indexed="12"/>
        <rFont val="Aptos"/>
      </rPr>
      <t>Loud</t>
    </r>
  </si>
  <si>
    <r>
      <rPr>
        <sz val="12"/>
        <color indexed="12"/>
        <rFont val="Aptos"/>
      </rPr>
      <t>Hidden</t>
    </r>
  </si>
  <si>
    <r>
      <rPr>
        <sz val="12"/>
        <color indexed="12"/>
        <rFont val="Aptos"/>
      </rPr>
      <t>NPI0260</t>
    </r>
  </si>
  <si>
    <r>
      <rPr>
        <sz val="12"/>
        <color indexed="12"/>
        <rFont val="Aptos"/>
      </rPr>
      <t>Synonym of rapid</t>
    </r>
  </si>
  <si>
    <r>
      <rPr>
        <sz val="12"/>
        <color indexed="12"/>
        <rFont val="Aptos"/>
      </rPr>
      <t>Slow</t>
    </r>
  </si>
  <si>
    <r>
      <rPr>
        <sz val="12"/>
        <color indexed="12"/>
        <rFont val="Aptos"/>
      </rPr>
      <t>Fast</t>
    </r>
  </si>
  <si>
    <r>
      <rPr>
        <sz val="12"/>
        <color indexed="12"/>
        <rFont val="Aptos"/>
      </rPr>
      <t>Calm</t>
    </r>
  </si>
  <si>
    <r>
      <rPr>
        <sz val="12"/>
        <color indexed="12"/>
        <rFont val="Aptos"/>
      </rPr>
      <t>Weak</t>
    </r>
  </si>
  <si>
    <r>
      <rPr>
        <sz val="12"/>
        <color indexed="12"/>
        <rFont val="Aptos"/>
      </rPr>
      <t>NPI0261</t>
    </r>
  </si>
  <si>
    <r>
      <rPr>
        <sz val="12"/>
        <color indexed="12"/>
        <rFont val="Aptos"/>
      </rPr>
      <t>Antonym of ancient</t>
    </r>
  </si>
  <si>
    <r>
      <rPr>
        <sz val="12"/>
        <color indexed="12"/>
        <rFont val="Aptos"/>
      </rPr>
      <t>Old</t>
    </r>
  </si>
  <si>
    <r>
      <rPr>
        <sz val="12"/>
        <color indexed="12"/>
        <rFont val="Aptos"/>
      </rPr>
      <t>Modern</t>
    </r>
  </si>
  <si>
    <r>
      <rPr>
        <sz val="12"/>
        <color indexed="12"/>
        <rFont val="Aptos"/>
      </rPr>
      <t>Past</t>
    </r>
  </si>
  <si>
    <r>
      <rPr>
        <sz val="12"/>
        <color indexed="12"/>
        <rFont val="Aptos"/>
      </rPr>
      <t>Historic</t>
    </r>
  </si>
  <si>
    <r>
      <rPr>
        <sz val="12"/>
        <color indexed="12"/>
        <rFont val="Aptos"/>
      </rPr>
      <t>NPI0262</t>
    </r>
  </si>
  <si>
    <r>
      <rPr>
        <sz val="12"/>
        <color indexed="12"/>
        <rFont val="Aptos"/>
      </rPr>
      <t>Author:Book :: Painter:?</t>
    </r>
  </si>
  <si>
    <r>
      <rPr>
        <sz val="12"/>
        <color indexed="12"/>
        <rFont val="Aptos"/>
      </rPr>
      <t>Song</t>
    </r>
  </si>
  <si>
    <r>
      <rPr>
        <sz val="12"/>
        <color indexed="12"/>
        <rFont val="Aptos"/>
      </rPr>
      <t>Painting</t>
    </r>
  </si>
  <si>
    <r>
      <rPr>
        <sz val="12"/>
        <color indexed="12"/>
        <rFont val="Aptos"/>
      </rPr>
      <t>Shoe</t>
    </r>
  </si>
  <si>
    <r>
      <rPr>
        <sz val="12"/>
        <color indexed="12"/>
        <rFont val="Aptos"/>
      </rPr>
      <t>Bridge</t>
    </r>
  </si>
  <si>
    <r>
      <rPr>
        <sz val="12"/>
        <color indexed="12"/>
        <rFont val="Aptos"/>
      </rPr>
      <t>NPI0263</t>
    </r>
  </si>
  <si>
    <r>
      <rPr>
        <sz val="12"/>
        <color indexed="12"/>
        <rFont val="Aptos"/>
      </rPr>
      <t>Accurate means</t>
    </r>
  </si>
  <si>
    <r>
      <rPr>
        <sz val="12"/>
        <color indexed="12"/>
        <rFont val="Aptos"/>
      </rPr>
      <t>Correct</t>
    </r>
  </si>
  <si>
    <r>
      <rPr>
        <sz val="12"/>
        <color indexed="12"/>
        <rFont val="Aptos"/>
      </rPr>
      <t>Careless</t>
    </r>
  </si>
  <si>
    <r>
      <rPr>
        <sz val="12"/>
        <color indexed="12"/>
        <rFont val="Aptos"/>
      </rPr>
      <t>Angry</t>
    </r>
  </si>
  <si>
    <r>
      <rPr>
        <sz val="12"/>
        <color indexed="12"/>
        <rFont val="Aptos"/>
      </rPr>
      <t>NPI0264</t>
    </r>
  </si>
  <si>
    <r>
      <rPr>
        <sz val="12"/>
        <color indexed="12"/>
        <rFont val="Aptos"/>
      </rPr>
      <t>Odd word: happy, joyful, cheerful, furious</t>
    </r>
  </si>
  <si>
    <r>
      <rPr>
        <sz val="12"/>
        <color indexed="12"/>
        <rFont val="Aptos"/>
      </rPr>
      <t>happy</t>
    </r>
  </si>
  <si>
    <r>
      <rPr>
        <sz val="12"/>
        <color indexed="12"/>
        <rFont val="Aptos"/>
      </rPr>
      <t>joyful</t>
    </r>
  </si>
  <si>
    <r>
      <rPr>
        <sz val="12"/>
        <color indexed="12"/>
        <rFont val="Aptos"/>
      </rPr>
      <t>cheerful</t>
    </r>
  </si>
  <si>
    <r>
      <rPr>
        <sz val="12"/>
        <color indexed="12"/>
        <rFont val="Aptos"/>
      </rPr>
      <t>furious</t>
    </r>
  </si>
  <si>
    <r>
      <rPr>
        <sz val="12"/>
        <color indexed="12"/>
        <rFont val="Aptos"/>
      </rPr>
      <t>NPI0265</t>
    </r>
  </si>
  <si>
    <r>
      <rPr>
        <sz val="12"/>
        <color indexed="12"/>
        <rFont val="Aptos"/>
      </rPr>
      <t>Scientist made a ___</t>
    </r>
  </si>
  <si>
    <r>
      <rPr>
        <sz val="12"/>
        <color indexed="12"/>
        <rFont val="Aptos"/>
      </rPr>
      <t>discovery</t>
    </r>
  </si>
  <si>
    <r>
      <rPr>
        <sz val="12"/>
        <color indexed="12"/>
        <rFont val="Aptos"/>
      </rPr>
      <t>blanket</t>
    </r>
  </si>
  <si>
    <r>
      <rPr>
        <sz val="12"/>
        <color indexed="12"/>
        <rFont val="Aptos"/>
      </rPr>
      <t>chair</t>
    </r>
  </si>
  <si>
    <r>
      <rPr>
        <sz val="12"/>
        <color indexed="12"/>
        <rFont val="Aptos"/>
      </rPr>
      <t>ticket</t>
    </r>
  </si>
  <si>
    <r>
      <rPr>
        <sz val="12"/>
        <color indexed="12"/>
        <rFont val="Aptos"/>
      </rPr>
      <t>NPI0266</t>
    </r>
  </si>
  <si>
    <r>
      <rPr>
        <sz val="12"/>
        <color indexed="12"/>
        <rFont val="Aptos"/>
      </rPr>
      <t>Synonym of assist</t>
    </r>
  </si>
  <si>
    <r>
      <rPr>
        <sz val="12"/>
        <color indexed="12"/>
        <rFont val="Aptos"/>
      </rPr>
      <t>Help</t>
    </r>
  </si>
  <si>
    <r>
      <rPr>
        <sz val="12"/>
        <color indexed="12"/>
        <rFont val="Aptos"/>
      </rPr>
      <t>Hide</t>
    </r>
  </si>
  <si>
    <r>
      <rPr>
        <sz val="12"/>
        <color indexed="12"/>
        <rFont val="Aptos"/>
      </rPr>
      <t>Harm</t>
    </r>
  </si>
  <si>
    <r>
      <rPr>
        <sz val="12"/>
        <color indexed="12"/>
        <rFont val="Aptos"/>
      </rPr>
      <t>Delay</t>
    </r>
  </si>
  <si>
    <r>
      <rPr>
        <sz val="12"/>
        <color indexed="12"/>
        <rFont val="Aptos"/>
      </rPr>
      <t>NPI0267</t>
    </r>
  </si>
  <si>
    <r>
      <rPr>
        <sz val="12"/>
        <color indexed="12"/>
        <rFont val="Aptos"/>
      </rPr>
      <t>Antonym of generous</t>
    </r>
  </si>
  <si>
    <r>
      <rPr>
        <sz val="12"/>
        <color indexed="12"/>
        <rFont val="Aptos"/>
      </rPr>
      <t>Kind</t>
    </r>
  </si>
  <si>
    <r>
      <rPr>
        <sz val="12"/>
        <color indexed="12"/>
        <rFont val="Aptos"/>
      </rPr>
      <t>Selfish</t>
    </r>
  </si>
  <si>
    <r>
      <rPr>
        <sz val="12"/>
        <color indexed="12"/>
        <rFont val="Aptos"/>
      </rPr>
      <t>Helpful</t>
    </r>
  </si>
  <si>
    <r>
      <rPr>
        <sz val="12"/>
        <color indexed="12"/>
        <rFont val="Aptos"/>
      </rPr>
      <t>Giving</t>
    </r>
  </si>
  <si>
    <r>
      <rPr>
        <sz val="12"/>
        <color indexed="12"/>
        <rFont val="Aptos"/>
      </rPr>
      <t>NPI0268</t>
    </r>
  </si>
  <si>
    <r>
      <rPr>
        <sz val="12"/>
        <color indexed="12"/>
        <rFont val="Aptos"/>
      </rPr>
      <t>Doctor:Patient :: Teacher:?</t>
    </r>
  </si>
  <si>
    <r>
      <rPr>
        <sz val="12"/>
        <color indexed="12"/>
        <rFont val="Aptos"/>
      </rPr>
      <t>Classroom</t>
    </r>
  </si>
  <si>
    <r>
      <rPr>
        <sz val="12"/>
        <color indexed="12"/>
        <rFont val="Aptos"/>
      </rPr>
      <t>Student</t>
    </r>
  </si>
  <si>
    <r>
      <rPr>
        <sz val="12"/>
        <color indexed="12"/>
        <rFont val="Aptos"/>
      </rPr>
      <t>Medicine</t>
    </r>
  </si>
  <si>
    <r>
      <rPr>
        <sz val="12"/>
        <color indexed="12"/>
        <rFont val="Aptos"/>
      </rPr>
      <t>NPI0269</t>
    </r>
  </si>
  <si>
    <r>
      <rPr>
        <sz val="12"/>
        <color indexed="12"/>
        <rFont val="Aptos"/>
      </rPr>
      <t>Reluctant means</t>
    </r>
  </si>
  <si>
    <r>
      <rPr>
        <sz val="12"/>
        <color indexed="12"/>
        <rFont val="Aptos"/>
      </rPr>
      <t>Not willing</t>
    </r>
  </si>
  <si>
    <r>
      <rPr>
        <sz val="12"/>
        <color indexed="12"/>
        <rFont val="Aptos"/>
      </rPr>
      <t>Eager</t>
    </r>
  </si>
  <si>
    <r>
      <rPr>
        <sz val="12"/>
        <color indexed="12"/>
        <rFont val="Aptos"/>
      </rPr>
      <t>Bright</t>
    </r>
  </si>
  <si>
    <r>
      <rPr>
        <sz val="12"/>
        <color indexed="12"/>
        <rFont val="Aptos"/>
      </rPr>
      <t>NPI0270</t>
    </r>
  </si>
  <si>
    <r>
      <rPr>
        <sz val="12"/>
        <color indexed="12"/>
        <rFont val="Aptos"/>
      </rPr>
      <t>She ___ homework yesterday</t>
    </r>
  </si>
  <si>
    <r>
      <rPr>
        <sz val="12"/>
        <color indexed="12"/>
        <rFont val="Aptos"/>
      </rPr>
      <t>complete</t>
    </r>
  </si>
  <si>
    <r>
      <rPr>
        <sz val="12"/>
        <color indexed="12"/>
        <rFont val="Aptos"/>
      </rPr>
      <t>completed</t>
    </r>
  </si>
  <si>
    <r>
      <rPr>
        <sz val="12"/>
        <color indexed="12"/>
        <rFont val="Aptos"/>
      </rPr>
      <t>completing</t>
    </r>
  </si>
  <si>
    <r>
      <rPr>
        <sz val="12"/>
        <color indexed="12"/>
        <rFont val="Aptos"/>
      </rPr>
      <t>completes</t>
    </r>
  </si>
  <si>
    <r>
      <rPr>
        <sz val="12"/>
        <color indexed="12"/>
        <rFont val="Aptos"/>
      </rPr>
      <t>NPI0271</t>
    </r>
  </si>
  <si>
    <r>
      <rPr>
        <sz val="12"/>
        <color indexed="12"/>
        <rFont val="Aptos"/>
      </rPr>
      <t>Synonym of observe</t>
    </r>
  </si>
  <si>
    <r>
      <rPr>
        <sz val="12"/>
        <color indexed="12"/>
        <rFont val="Aptos"/>
      </rPr>
      <t>Notice</t>
    </r>
  </si>
  <si>
    <r>
      <rPr>
        <sz val="12"/>
        <color indexed="12"/>
        <rFont val="Aptos"/>
      </rPr>
      <t>Ignore</t>
    </r>
  </si>
  <si>
    <r>
      <rPr>
        <sz val="12"/>
        <color indexed="12"/>
        <rFont val="Aptos"/>
      </rPr>
      <t>Forget</t>
    </r>
  </si>
  <si>
    <r>
      <rPr>
        <sz val="12"/>
        <color indexed="12"/>
        <rFont val="Aptos"/>
      </rPr>
      <t>Destroy</t>
    </r>
  </si>
  <si>
    <r>
      <rPr>
        <sz val="12"/>
        <color indexed="12"/>
        <rFont val="Aptos"/>
      </rPr>
      <t>NPI0272</t>
    </r>
  </si>
  <si>
    <r>
      <rPr>
        <sz val="12"/>
        <color indexed="12"/>
        <rFont val="Aptos"/>
      </rPr>
      <t>Antonym of complex</t>
    </r>
  </si>
  <si>
    <r>
      <rPr>
        <sz val="12"/>
        <color indexed="12"/>
        <rFont val="Aptos"/>
      </rPr>
      <t>Difficult</t>
    </r>
  </si>
  <si>
    <r>
      <rPr>
        <sz val="12"/>
        <color indexed="12"/>
        <rFont val="Aptos"/>
      </rPr>
      <t>Simple</t>
    </r>
  </si>
  <si>
    <r>
      <rPr>
        <sz val="12"/>
        <color indexed="12"/>
        <rFont val="Aptos"/>
      </rPr>
      <t>Detailed</t>
    </r>
  </si>
  <si>
    <r>
      <rPr>
        <sz val="12"/>
        <color indexed="12"/>
        <rFont val="Aptos"/>
      </rPr>
      <t>Confusing</t>
    </r>
  </si>
  <si>
    <r>
      <rPr>
        <sz val="12"/>
        <color indexed="12"/>
        <rFont val="Aptos"/>
      </rPr>
      <t>NPI0273</t>
    </r>
  </si>
  <si>
    <r>
      <rPr>
        <sz val="12"/>
        <color indexed="12"/>
        <rFont val="Aptos"/>
      </rPr>
      <t>Priority means</t>
    </r>
  </si>
  <si>
    <r>
      <rPr>
        <sz val="12"/>
        <color indexed="12"/>
        <rFont val="Aptos"/>
      </rPr>
      <t>Important first</t>
    </r>
  </si>
  <si>
    <r>
      <rPr>
        <sz val="12"/>
        <color indexed="12"/>
        <rFont val="Aptos"/>
      </rPr>
      <t>Mistake</t>
    </r>
  </si>
  <si>
    <r>
      <rPr>
        <sz val="12"/>
        <color indexed="12"/>
        <rFont val="Aptos"/>
      </rPr>
      <t>Loud sound</t>
    </r>
  </si>
  <si>
    <r>
      <rPr>
        <sz val="12"/>
        <color indexed="12"/>
        <rFont val="Aptos"/>
      </rPr>
      <t>Game</t>
    </r>
  </si>
  <si>
    <r>
      <rPr>
        <sz val="12"/>
        <color indexed="12"/>
        <rFont val="Aptos"/>
      </rPr>
      <t>NPI0274</t>
    </r>
  </si>
  <si>
    <r>
      <rPr>
        <sz val="12"/>
        <color indexed="12"/>
        <rFont val="Aptos"/>
      </rPr>
      <t>Results were ___</t>
    </r>
  </si>
  <si>
    <r>
      <rPr>
        <sz val="12"/>
        <color indexed="12"/>
        <rFont val="Aptos"/>
      </rPr>
      <t>analyzed</t>
    </r>
  </si>
  <si>
    <r>
      <rPr>
        <sz val="12"/>
        <color indexed="12"/>
        <rFont val="Aptos"/>
      </rPr>
      <t>eaten</t>
    </r>
  </si>
  <si>
    <r>
      <rPr>
        <sz val="12"/>
        <color indexed="12"/>
        <rFont val="Aptos"/>
      </rPr>
      <t>painted</t>
    </r>
  </si>
  <si>
    <r>
      <rPr>
        <sz val="12"/>
        <color indexed="12"/>
        <rFont val="Aptos"/>
      </rPr>
      <t>hidden</t>
    </r>
  </si>
  <si>
    <r>
      <rPr>
        <sz val="12"/>
        <color indexed="12"/>
        <rFont val="Aptos"/>
      </rPr>
      <t>NPI0275</t>
    </r>
  </si>
  <si>
    <r>
      <rPr>
        <sz val="12"/>
        <color indexed="12"/>
        <rFont val="Aptos"/>
      </rPr>
      <t>Seed:Plant :: Egg:?</t>
    </r>
  </si>
  <si>
    <r>
      <rPr>
        <sz val="12"/>
        <color indexed="12"/>
        <rFont val="Aptos"/>
      </rPr>
      <t>Bird</t>
    </r>
  </si>
  <si>
    <r>
      <rPr>
        <sz val="12"/>
        <color indexed="12"/>
        <rFont val="Aptos"/>
      </rPr>
      <t>Nest</t>
    </r>
  </si>
  <si>
    <r>
      <rPr>
        <sz val="12"/>
        <color indexed="12"/>
        <rFont val="Aptos"/>
      </rPr>
      <t>Water</t>
    </r>
  </si>
  <si>
    <r>
      <rPr>
        <sz val="12"/>
        <color indexed="12"/>
        <rFont val="Aptos"/>
      </rPr>
      <t>Soil</t>
    </r>
  </si>
  <si>
    <r>
      <rPr>
        <sz val="12"/>
        <color indexed="12"/>
        <rFont val="Aptos"/>
      </rPr>
      <t>NPI0276</t>
    </r>
  </si>
  <si>
    <r>
      <rPr>
        <sz val="12"/>
        <color indexed="12"/>
        <rFont val="Aptos"/>
      </rPr>
      <t>Abstract</t>
    </r>
  </si>
  <si>
    <r>
      <rPr>
        <sz val="12"/>
        <color indexed="12"/>
        <rFont val="Aptos"/>
      </rPr>
      <t>▲ ● ▲ ● ?</t>
    </r>
  </si>
  <si>
    <r>
      <rPr>
        <sz val="12"/>
        <color indexed="12"/>
        <rFont val="Aptos"/>
      </rPr>
      <t>▲</t>
    </r>
  </si>
  <si>
    <r>
      <rPr>
        <sz val="12"/>
        <color indexed="12"/>
        <rFont val="Aptos"/>
      </rPr>
      <t>●</t>
    </r>
  </si>
  <si>
    <r>
      <rPr>
        <sz val="12"/>
        <color indexed="12"/>
        <rFont val="Aptos"/>
      </rPr>
      <t>■</t>
    </r>
  </si>
  <si>
    <r>
      <rPr>
        <sz val="12"/>
        <color indexed="12"/>
        <rFont val="Aptos"/>
      </rPr>
      <t>◆</t>
    </r>
  </si>
  <si>
    <r>
      <rPr>
        <sz val="12"/>
        <color indexed="12"/>
        <rFont val="Aptos"/>
      </rPr>
      <t>NPI0277</t>
    </r>
  </si>
  <si>
    <r>
      <rPr>
        <sz val="12"/>
        <color indexed="12"/>
        <rFont val="Aptos"/>
      </rPr>
      <t>A,C,E,G,?</t>
    </r>
  </si>
  <si>
    <r>
      <rPr>
        <sz val="12"/>
        <color indexed="12"/>
        <rFont val="Aptos"/>
      </rPr>
      <t>H</t>
    </r>
  </si>
  <si>
    <r>
      <rPr>
        <sz val="12"/>
        <color indexed="12"/>
        <rFont val="Aptos"/>
      </rPr>
      <t>J</t>
    </r>
  </si>
  <si>
    <r>
      <rPr>
        <sz val="12"/>
        <color indexed="12"/>
        <rFont val="Aptos"/>
      </rPr>
      <t>K</t>
    </r>
  </si>
  <si>
    <r>
      <rPr>
        <sz val="12"/>
        <color indexed="12"/>
        <rFont val="Aptos"/>
      </rPr>
      <t>NPI0278</t>
    </r>
  </si>
  <si>
    <r>
      <rPr>
        <sz val="12"/>
        <color indexed="12"/>
        <rFont val="Aptos"/>
      </rPr>
      <t>1,2,4,8,?</t>
    </r>
  </si>
  <si>
    <r>
      <rPr>
        <sz val="12"/>
        <color indexed="12"/>
        <rFont val="Aptos"/>
      </rPr>
      <t>16</t>
    </r>
  </si>
  <si>
    <r>
      <rPr>
        <sz val="12"/>
        <color indexed="12"/>
        <rFont val="Aptos"/>
      </rPr>
      <t>NPI0279</t>
    </r>
  </si>
  <si>
    <r>
      <rPr>
        <sz val="12"/>
        <color indexed="12"/>
        <rFont val="Aptos"/>
      </rPr>
      <t>Z,Y,X,W,?</t>
    </r>
  </si>
  <si>
    <r>
      <rPr>
        <sz val="12"/>
        <color indexed="12"/>
        <rFont val="Aptos"/>
      </rPr>
      <t>V</t>
    </r>
  </si>
  <si>
    <r>
      <rPr>
        <sz val="12"/>
        <color indexed="12"/>
        <rFont val="Aptos"/>
      </rPr>
      <t>U</t>
    </r>
  </si>
  <si>
    <r>
      <rPr>
        <sz val="12"/>
        <color indexed="12"/>
        <rFont val="Aptos"/>
      </rPr>
      <t>T</t>
    </r>
  </si>
  <si>
    <r>
      <rPr>
        <sz val="12"/>
        <color indexed="12"/>
        <rFont val="Aptos"/>
      </rPr>
      <t>NPI0280</t>
    </r>
  </si>
  <si>
    <r>
      <rPr>
        <sz val="12"/>
        <color indexed="12"/>
        <rFont val="Aptos"/>
      </rPr>
      <t>square-circle-square-circle next</t>
    </r>
  </si>
  <si>
    <r>
      <rPr>
        <sz val="12"/>
        <color indexed="12"/>
        <rFont val="Aptos"/>
      </rPr>
      <t>Line</t>
    </r>
  </si>
  <si>
    <r>
      <rPr>
        <sz val="12"/>
        <color indexed="12"/>
        <rFont val="Aptos"/>
      </rPr>
      <t>NPI0281</t>
    </r>
  </si>
  <si>
    <r>
      <rPr>
        <sz val="12"/>
        <color indexed="12"/>
        <rFont val="Aptos"/>
      </rPr>
      <t>2,5,8,11,?</t>
    </r>
  </si>
  <si>
    <r>
      <rPr>
        <sz val="12"/>
        <color indexed="12"/>
        <rFont val="Aptos"/>
      </rPr>
      <t>NPI0282</t>
    </r>
  </si>
  <si>
    <r>
      <rPr>
        <sz val="12"/>
        <color indexed="12"/>
        <rFont val="Aptos"/>
      </rPr>
      <t>AB,CD,EF,?</t>
    </r>
  </si>
  <si>
    <r>
      <rPr>
        <sz val="12"/>
        <color indexed="12"/>
        <rFont val="Aptos"/>
      </rPr>
      <t>GH</t>
    </r>
  </si>
  <si>
    <r>
      <rPr>
        <sz val="12"/>
        <color indexed="12"/>
        <rFont val="Aptos"/>
      </rPr>
      <t>FG</t>
    </r>
  </si>
  <si>
    <r>
      <rPr>
        <sz val="12"/>
        <color indexed="12"/>
        <rFont val="Aptos"/>
      </rPr>
      <t>HI</t>
    </r>
  </si>
  <si>
    <r>
      <rPr>
        <sz val="12"/>
        <color indexed="12"/>
        <rFont val="Aptos"/>
      </rPr>
      <t>IJ</t>
    </r>
  </si>
  <si>
    <r>
      <rPr>
        <sz val="12"/>
        <color indexed="12"/>
        <rFont val="Aptos"/>
      </rPr>
      <t>NPI0283</t>
    </r>
  </si>
  <si>
    <r>
      <rPr>
        <sz val="12"/>
        <color indexed="12"/>
        <rFont val="Aptos"/>
      </rPr>
      <t>small,medium,large,small,medium,?</t>
    </r>
  </si>
  <si>
    <r>
      <rPr>
        <sz val="12"/>
        <color indexed="12"/>
        <rFont val="Aptos"/>
      </rPr>
      <t>small</t>
    </r>
  </si>
  <si>
    <r>
      <rPr>
        <sz val="12"/>
        <color indexed="12"/>
        <rFont val="Aptos"/>
      </rPr>
      <t>medium</t>
    </r>
  </si>
  <si>
    <r>
      <rPr>
        <sz val="12"/>
        <color indexed="12"/>
        <rFont val="Aptos"/>
      </rPr>
      <t>large</t>
    </r>
  </si>
  <si>
    <r>
      <rPr>
        <sz val="12"/>
        <color indexed="12"/>
        <rFont val="Aptos"/>
      </rPr>
      <t>none</t>
    </r>
  </si>
  <si>
    <r>
      <rPr>
        <sz val="12"/>
        <color indexed="12"/>
        <rFont val="Aptos"/>
      </rPr>
      <t>NPI0284</t>
    </r>
  </si>
  <si>
    <r>
      <rPr>
        <sz val="12"/>
        <color indexed="12"/>
        <rFont val="Aptos"/>
      </rPr>
      <t>100,90,80,70,?</t>
    </r>
  </si>
  <si>
    <r>
      <rPr>
        <sz val="12"/>
        <color indexed="12"/>
        <rFont val="Aptos"/>
      </rPr>
      <t>55</t>
    </r>
  </si>
  <si>
    <r>
      <rPr>
        <sz val="12"/>
        <color indexed="12"/>
        <rFont val="Aptos"/>
      </rPr>
      <t>65</t>
    </r>
  </si>
  <si>
    <r>
      <rPr>
        <sz val="12"/>
        <color indexed="12"/>
        <rFont val="Aptos"/>
      </rPr>
      <t>NPI0285</t>
    </r>
  </si>
  <si>
    <r>
      <rPr>
        <sz val="12"/>
        <color indexed="12"/>
        <rFont val="Aptos"/>
      </rPr>
      <t>blue=1, red=2, next red</t>
    </r>
  </si>
  <si>
    <r>
      <rPr>
        <sz val="12"/>
        <color indexed="12"/>
        <rFont val="Aptos"/>
      </rPr>
      <t>1</t>
    </r>
  </si>
  <si>
    <r>
      <rPr>
        <sz val="12"/>
        <color indexed="12"/>
        <rFont val="Aptos"/>
      </rPr>
      <t>2</t>
    </r>
  </si>
  <si>
    <r>
      <rPr>
        <sz val="12"/>
        <color indexed="12"/>
        <rFont val="Aptos"/>
      </rPr>
      <t>3</t>
    </r>
  </si>
  <si>
    <r>
      <rPr>
        <sz val="12"/>
        <color indexed="12"/>
        <rFont val="Aptos"/>
      </rPr>
      <t>4</t>
    </r>
  </si>
  <si>
    <r>
      <rPr>
        <sz val="12"/>
        <color indexed="12"/>
        <rFont val="Aptos"/>
      </rPr>
      <t>NPI0286</t>
    </r>
  </si>
  <si>
    <r>
      <rPr>
        <sz val="12"/>
        <color indexed="12"/>
        <rFont val="Aptos"/>
      </rPr>
      <t>3,6,12,24,?</t>
    </r>
  </si>
  <si>
    <r>
      <rPr>
        <sz val="12"/>
        <color indexed="12"/>
        <rFont val="Aptos"/>
      </rPr>
      <t>30</t>
    </r>
  </si>
  <si>
    <r>
      <rPr>
        <sz val="12"/>
        <color indexed="12"/>
        <rFont val="Aptos"/>
      </rPr>
      <t>42</t>
    </r>
  </si>
  <si>
    <r>
      <rPr>
        <sz val="12"/>
        <color indexed="12"/>
        <rFont val="Aptos"/>
      </rPr>
      <t>48</t>
    </r>
  </si>
  <si>
    <r>
      <rPr>
        <sz val="12"/>
        <color indexed="12"/>
        <rFont val="Aptos"/>
      </rPr>
      <t>NPI0287</t>
    </r>
  </si>
  <si>
    <r>
      <rPr>
        <sz val="12"/>
        <color indexed="12"/>
        <rFont val="Aptos"/>
      </rPr>
      <t>J,L,N,P,?</t>
    </r>
  </si>
  <si>
    <r>
      <rPr>
        <sz val="12"/>
        <color indexed="12"/>
        <rFont val="Aptos"/>
      </rPr>
      <t>Q</t>
    </r>
  </si>
  <si>
    <r>
      <rPr>
        <sz val="12"/>
        <color indexed="12"/>
        <rFont val="Aptos"/>
      </rPr>
      <t>NPI0288</t>
    </r>
  </si>
  <si>
    <r>
      <rPr>
        <sz val="12"/>
        <color indexed="12"/>
        <rFont val="Aptos"/>
      </rPr>
      <t>●●,●●●,●●●●,?</t>
    </r>
  </si>
  <si>
    <r>
      <rPr>
        <sz val="12"/>
        <color indexed="12"/>
        <rFont val="Aptos"/>
      </rPr>
      <t>●●</t>
    </r>
  </si>
  <si>
    <r>
      <rPr>
        <sz val="12"/>
        <color indexed="12"/>
        <rFont val="Aptos"/>
      </rPr>
      <t>●●●●●</t>
    </r>
  </si>
  <si>
    <r>
      <rPr>
        <sz val="12"/>
        <color indexed="12"/>
        <rFont val="Aptos"/>
      </rPr>
      <t>●●●●●●</t>
    </r>
  </si>
  <si>
    <r>
      <rPr>
        <sz val="12"/>
        <color indexed="12"/>
        <rFont val="Aptos"/>
      </rPr>
      <t>NPI0289</t>
    </r>
  </si>
  <si>
    <r>
      <rPr>
        <sz val="12"/>
        <color indexed="12"/>
        <rFont val="Aptos"/>
      </rPr>
      <t>7,14,21,?</t>
    </r>
  </si>
  <si>
    <r>
      <rPr>
        <sz val="12"/>
        <color indexed="12"/>
        <rFont val="Aptos"/>
      </rPr>
      <t>NPI0290</t>
    </r>
  </si>
  <si>
    <r>
      <rPr>
        <sz val="12"/>
        <color indexed="12"/>
        <rFont val="Aptos"/>
      </rPr>
      <t>1A,2B,3C,?</t>
    </r>
  </si>
  <si>
    <r>
      <rPr>
        <sz val="12"/>
        <color indexed="12"/>
        <rFont val="Aptos"/>
      </rPr>
      <t>3D</t>
    </r>
  </si>
  <si>
    <r>
      <rPr>
        <sz val="12"/>
        <color indexed="12"/>
        <rFont val="Aptos"/>
      </rPr>
      <t>4D</t>
    </r>
  </si>
  <si>
    <r>
      <rPr>
        <sz val="12"/>
        <color indexed="12"/>
        <rFont val="Aptos"/>
      </rPr>
      <t>4C</t>
    </r>
  </si>
  <si>
    <r>
      <rPr>
        <sz val="12"/>
        <color indexed="12"/>
        <rFont val="Aptos"/>
      </rPr>
      <t>5D</t>
    </r>
  </si>
  <si>
    <r>
      <rPr>
        <sz val="12"/>
        <color indexed="12"/>
        <rFont val="Aptos"/>
      </rPr>
      <t>NPI0291</t>
    </r>
  </si>
  <si>
    <r>
      <rPr>
        <sz val="12"/>
        <color indexed="12"/>
        <rFont val="Aptos"/>
      </rPr>
      <t>north,east,south,west,?</t>
    </r>
  </si>
  <si>
    <r>
      <rPr>
        <sz val="12"/>
        <color indexed="12"/>
        <rFont val="Aptos"/>
      </rPr>
      <t>north</t>
    </r>
  </si>
  <si>
    <r>
      <rPr>
        <sz val="12"/>
        <color indexed="12"/>
        <rFont val="Aptos"/>
      </rPr>
      <t>east</t>
    </r>
  </si>
  <si>
    <r>
      <rPr>
        <sz val="12"/>
        <color indexed="12"/>
        <rFont val="Aptos"/>
      </rPr>
      <t>south</t>
    </r>
  </si>
  <si>
    <r>
      <rPr>
        <sz val="12"/>
        <color indexed="12"/>
        <rFont val="Aptos"/>
      </rPr>
      <t>west</t>
    </r>
  </si>
  <si>
    <r>
      <rPr>
        <sz val="12"/>
        <color indexed="12"/>
        <rFont val="Aptos"/>
      </rPr>
      <t>NPI0292</t>
    </r>
  </si>
  <si>
    <r>
      <rPr>
        <sz val="12"/>
        <color indexed="12"/>
        <rFont val="Aptos"/>
      </rPr>
      <t>4,9,14,19,?</t>
    </r>
  </si>
  <si>
    <r>
      <rPr>
        <sz val="12"/>
        <color indexed="12"/>
        <rFont val="Aptos"/>
      </rPr>
      <t>23</t>
    </r>
  </si>
  <si>
    <r>
      <rPr>
        <sz val="12"/>
        <color indexed="12"/>
        <rFont val="Aptos"/>
      </rPr>
      <t>NPI0293</t>
    </r>
  </si>
  <si>
    <r>
      <rPr>
        <sz val="12"/>
        <color indexed="12"/>
        <rFont val="Aptos"/>
      </rPr>
      <t>AA,BB,CC,?</t>
    </r>
  </si>
  <si>
    <r>
      <rPr>
        <sz val="12"/>
        <color indexed="12"/>
        <rFont val="Aptos"/>
      </rPr>
      <t>CD</t>
    </r>
  </si>
  <si>
    <r>
      <rPr>
        <sz val="12"/>
        <color indexed="12"/>
        <rFont val="Aptos"/>
      </rPr>
      <t>DD</t>
    </r>
  </si>
  <si>
    <r>
      <rPr>
        <sz val="12"/>
        <color indexed="12"/>
        <rFont val="Aptos"/>
      </rPr>
      <t>DE</t>
    </r>
  </si>
  <si>
    <r>
      <rPr>
        <sz val="12"/>
        <color indexed="12"/>
        <rFont val="Aptos"/>
      </rPr>
      <t>EE</t>
    </r>
  </si>
  <si>
    <r>
      <rPr>
        <sz val="12"/>
        <color indexed="12"/>
        <rFont val="Aptos"/>
      </rPr>
      <t>NPI0294</t>
    </r>
  </si>
  <si>
    <r>
      <rPr>
        <sz val="12"/>
        <color indexed="12"/>
        <rFont val="Aptos"/>
      </rPr>
      <t>81,27,9,?</t>
    </r>
  </si>
  <si>
    <r>
      <rPr>
        <sz val="12"/>
        <color indexed="12"/>
        <rFont val="Aptos"/>
      </rPr>
      <t>6</t>
    </r>
  </si>
  <si>
    <r>
      <rPr>
        <sz val="12"/>
        <color indexed="12"/>
        <rFont val="Aptos"/>
      </rPr>
      <t>5</t>
    </r>
  </si>
  <si>
    <r>
      <rPr>
        <sz val="12"/>
        <color indexed="12"/>
        <rFont val="Aptos"/>
      </rPr>
      <t>NPI0295</t>
    </r>
  </si>
  <si>
    <r>
      <rPr>
        <sz val="12"/>
        <color indexed="12"/>
        <rFont val="Aptos"/>
      </rPr>
      <t>+, -, +, -, ?</t>
    </r>
  </si>
  <si>
    <r>
      <rPr>
        <sz val="12"/>
        <color indexed="12"/>
        <rFont val="Aptos"/>
      </rPr>
      <t>+</t>
    </r>
  </si>
  <si>
    <r>
      <rPr>
        <sz val="12"/>
        <color indexed="12"/>
        <rFont val="Aptos"/>
      </rPr>
      <t>-</t>
    </r>
  </si>
  <si>
    <r>
      <rPr>
        <sz val="12"/>
        <color indexed="12"/>
        <rFont val="Aptos"/>
      </rPr>
      <t>×</t>
    </r>
  </si>
  <si>
    <r>
      <rPr>
        <sz val="12"/>
        <color indexed="12"/>
        <rFont val="Aptos"/>
      </rPr>
      <t>÷</t>
    </r>
  </si>
  <si>
    <r>
      <rPr>
        <sz val="12"/>
        <color indexed="12"/>
        <rFont val="Aptos"/>
      </rPr>
      <t>NPI0296</t>
    </r>
  </si>
  <si>
    <r>
      <rPr>
        <sz val="12"/>
        <color indexed="12"/>
        <rFont val="Aptos"/>
      </rPr>
      <t>Spatial</t>
    </r>
  </si>
  <si>
    <r>
      <rPr>
        <sz val="12"/>
        <color indexed="12"/>
        <rFont val="Aptos"/>
      </rPr>
      <t>Cube has 6 faces. One painted, unpainted</t>
    </r>
  </si>
  <si>
    <r>
      <rPr>
        <sz val="12"/>
        <color indexed="12"/>
        <rFont val="Aptos"/>
      </rPr>
      <t>7</t>
    </r>
  </si>
  <si>
    <r>
      <rPr>
        <sz val="12"/>
        <color indexed="12"/>
        <rFont val="Aptos"/>
      </rPr>
      <t>NPI0297</t>
    </r>
  </si>
  <si>
    <r>
      <rPr>
        <sz val="12"/>
        <color indexed="12"/>
        <rFont val="Aptos"/>
      </rPr>
      <t>Shape with 4 equal sides</t>
    </r>
  </si>
  <si>
    <r>
      <rPr>
        <sz val="12"/>
        <color indexed="12"/>
        <rFont val="Aptos"/>
      </rPr>
      <t>Rectangle</t>
    </r>
  </si>
  <si>
    <r>
      <rPr>
        <sz val="12"/>
        <color indexed="12"/>
        <rFont val="Aptos"/>
      </rPr>
      <t>NPI0298</t>
    </r>
  </si>
  <si>
    <r>
      <rPr>
        <sz val="12"/>
        <color indexed="12"/>
        <rFont val="Aptos"/>
      </rPr>
      <t>Rotated triangle remains</t>
    </r>
  </si>
  <si>
    <r>
      <rPr>
        <sz val="12"/>
        <color indexed="12"/>
        <rFont val="Aptos"/>
      </rPr>
      <t>NPI0299</t>
    </r>
  </si>
  <si>
    <r>
      <rPr>
        <sz val="12"/>
        <color indexed="12"/>
        <rFont val="Aptos"/>
      </rPr>
      <t>Hexagon sides</t>
    </r>
  </si>
  <si>
    <r>
      <rPr>
        <sz val="12"/>
        <color indexed="12"/>
        <rFont val="Aptos"/>
      </rPr>
      <t>NPI0300</t>
    </r>
  </si>
  <si>
    <r>
      <rPr>
        <sz val="12"/>
        <color indexed="12"/>
        <rFont val="Aptos"/>
      </rPr>
      <t>Object like sphere</t>
    </r>
  </si>
  <si>
    <r>
      <rPr>
        <sz val="12"/>
        <color indexed="12"/>
        <rFont val="Aptos"/>
      </rPr>
      <t>Dice</t>
    </r>
  </si>
  <si>
    <r>
      <rPr>
        <sz val="12"/>
        <color indexed="12"/>
        <rFont val="Aptos"/>
      </rPr>
      <t>Ball</t>
    </r>
  </si>
  <si>
    <r>
      <rPr>
        <sz val="12"/>
        <color indexed="12"/>
        <rFont val="Aptos"/>
      </rPr>
      <t>Book</t>
    </r>
  </si>
  <si>
    <r>
      <rPr>
        <sz val="12"/>
        <color indexed="12"/>
        <rFont val="Aptos"/>
      </rPr>
      <t>NPI0301</t>
    </r>
  </si>
  <si>
    <r>
      <rPr>
        <sz val="12"/>
        <color indexed="12"/>
        <rFont val="Aptos"/>
      </rPr>
      <t>Rectangle folded in half forms</t>
    </r>
  </si>
  <si>
    <r>
      <rPr>
        <sz val="12"/>
        <color indexed="12"/>
        <rFont val="Aptos"/>
      </rPr>
      <t>Triangles only</t>
    </r>
  </si>
  <si>
    <r>
      <rPr>
        <sz val="12"/>
        <color indexed="12"/>
        <rFont val="Aptos"/>
      </rPr>
      <t>Equal parts</t>
    </r>
  </si>
  <si>
    <r>
      <rPr>
        <sz val="12"/>
        <color indexed="12"/>
        <rFont val="Aptos"/>
      </rPr>
      <t>Circles</t>
    </r>
  </si>
  <si>
    <r>
      <rPr>
        <sz val="12"/>
        <color indexed="12"/>
        <rFont val="Aptos"/>
      </rPr>
      <t>Spheres</t>
    </r>
  </si>
  <si>
    <r>
      <rPr>
        <sz val="12"/>
        <color indexed="12"/>
        <rFont val="Aptos"/>
      </rPr>
      <t>NPI0302</t>
    </r>
  </si>
  <si>
    <r>
      <rPr>
        <sz val="12"/>
        <color indexed="12"/>
        <rFont val="Aptos"/>
      </rPr>
      <t>Shape can tile floor easily</t>
    </r>
  </si>
  <si>
    <r>
      <rPr>
        <sz val="12"/>
        <color indexed="12"/>
        <rFont val="Aptos"/>
      </rPr>
      <t>Sphere</t>
    </r>
  </si>
  <si>
    <r>
      <rPr>
        <sz val="12"/>
        <color indexed="12"/>
        <rFont val="Aptos"/>
      </rPr>
      <t>Cone</t>
    </r>
  </si>
  <si>
    <r>
      <rPr>
        <sz val="12"/>
        <color indexed="12"/>
        <rFont val="Aptos"/>
      </rPr>
      <t>NPI0303</t>
    </r>
  </si>
  <si>
    <r>
      <rPr>
        <sz val="12"/>
        <color indexed="12"/>
        <rFont val="Aptos"/>
      </rPr>
      <t>Map upside down: north at</t>
    </r>
  </si>
  <si>
    <r>
      <rPr>
        <sz val="12"/>
        <color indexed="12"/>
        <rFont val="Aptos"/>
      </rPr>
      <t>Top</t>
    </r>
  </si>
  <si>
    <r>
      <rPr>
        <sz val="12"/>
        <color indexed="12"/>
        <rFont val="Aptos"/>
      </rPr>
      <t>Bottom</t>
    </r>
  </si>
  <si>
    <r>
      <rPr>
        <sz val="12"/>
        <color indexed="12"/>
        <rFont val="Aptos"/>
      </rPr>
      <t>Left</t>
    </r>
  </si>
  <si>
    <r>
      <rPr>
        <sz val="12"/>
        <color indexed="12"/>
        <rFont val="Aptos"/>
      </rPr>
      <t>Right</t>
    </r>
  </si>
  <si>
    <r>
      <rPr>
        <sz val="12"/>
        <color indexed="12"/>
        <rFont val="Aptos"/>
      </rPr>
      <t>NPI0304</t>
    </r>
  </si>
  <si>
    <r>
      <rPr>
        <sz val="12"/>
        <color indexed="12"/>
        <rFont val="Aptos"/>
      </rPr>
      <t>More corners</t>
    </r>
  </si>
  <si>
    <r>
      <rPr>
        <sz val="12"/>
        <color indexed="12"/>
        <rFont val="Aptos"/>
      </rPr>
      <t>Oval</t>
    </r>
  </si>
  <si>
    <r>
      <rPr>
        <sz val="12"/>
        <color indexed="12"/>
        <rFont val="Aptos"/>
      </rPr>
      <t>NPI0305</t>
    </r>
  </si>
  <si>
    <r>
      <rPr>
        <sz val="12"/>
        <color indexed="12"/>
        <rFont val="Aptos"/>
      </rPr>
      <t>Cube net makes</t>
    </r>
  </si>
  <si>
    <r>
      <rPr>
        <sz val="12"/>
        <color indexed="12"/>
        <rFont val="Aptos"/>
      </rPr>
      <t>Flat circle</t>
    </r>
  </si>
  <si>
    <r>
      <rPr>
        <sz val="12"/>
        <color indexed="12"/>
        <rFont val="Aptos"/>
      </rPr>
      <t>3D cube</t>
    </r>
  </si>
  <si>
    <r>
      <rPr>
        <sz val="12"/>
        <color indexed="12"/>
        <rFont val="Aptos"/>
      </rPr>
      <t>NPI0306</t>
    </r>
  </si>
  <si>
    <r>
      <rPr>
        <sz val="12"/>
        <color indexed="12"/>
        <rFont val="Aptos"/>
      </rPr>
      <t>Square cut diagonally forms two</t>
    </r>
  </si>
  <si>
    <r>
      <rPr>
        <sz val="12"/>
        <color indexed="12"/>
        <rFont val="Aptos"/>
      </rPr>
      <t>Rectangles</t>
    </r>
  </si>
  <si>
    <r>
      <rPr>
        <sz val="12"/>
        <color indexed="12"/>
        <rFont val="Aptos"/>
      </rPr>
      <t>Triangles</t>
    </r>
  </si>
  <si>
    <r>
      <rPr>
        <sz val="12"/>
        <color indexed="12"/>
        <rFont val="Aptos"/>
      </rPr>
      <t>Cubes</t>
    </r>
  </si>
  <si>
    <r>
      <rPr>
        <sz val="12"/>
        <color indexed="12"/>
        <rFont val="Aptos"/>
      </rPr>
      <t>NPI0307</t>
    </r>
  </si>
  <si>
    <r>
      <rPr>
        <sz val="12"/>
        <color indexed="12"/>
        <rFont val="Aptos"/>
      </rPr>
      <t>Shape with no corners</t>
    </r>
  </si>
  <si>
    <r>
      <rPr>
        <sz val="12"/>
        <color indexed="12"/>
        <rFont val="Aptos"/>
      </rPr>
      <t>NPI0308</t>
    </r>
  </si>
  <si>
    <r>
      <rPr>
        <sz val="12"/>
        <color indexed="12"/>
        <rFont val="Aptos"/>
      </rPr>
      <t>Face east turn right</t>
    </r>
  </si>
  <si>
    <r>
      <rPr>
        <sz val="12"/>
        <color indexed="12"/>
        <rFont val="Aptos"/>
      </rPr>
      <t>North</t>
    </r>
  </si>
  <si>
    <r>
      <rPr>
        <sz val="12"/>
        <color indexed="12"/>
        <rFont val="Aptos"/>
      </rPr>
      <t>South</t>
    </r>
  </si>
  <si>
    <r>
      <rPr>
        <sz val="12"/>
        <color indexed="12"/>
        <rFont val="Aptos"/>
      </rPr>
      <t>West</t>
    </r>
  </si>
  <si>
    <r>
      <rPr>
        <sz val="12"/>
        <color indexed="12"/>
        <rFont val="Aptos"/>
      </rPr>
      <t>East</t>
    </r>
  </si>
  <si>
    <r>
      <rPr>
        <sz val="12"/>
        <color indexed="12"/>
        <rFont val="Aptos"/>
      </rPr>
      <t>NPI0309</t>
    </r>
  </si>
  <si>
    <r>
      <rPr>
        <sz val="12"/>
        <color indexed="12"/>
        <rFont val="Aptos"/>
      </rPr>
      <t>Cylinder looks like</t>
    </r>
  </si>
  <si>
    <r>
      <rPr>
        <sz val="12"/>
        <color indexed="12"/>
        <rFont val="Aptos"/>
      </rPr>
      <t>Can</t>
    </r>
  </si>
  <si>
    <r>
      <rPr>
        <sz val="12"/>
        <color indexed="12"/>
        <rFont val="Aptos"/>
      </rPr>
      <t>Pyramid</t>
    </r>
  </si>
  <si>
    <r>
      <rPr>
        <sz val="12"/>
        <color indexed="12"/>
        <rFont val="Aptos"/>
      </rPr>
      <t>NPI0310</t>
    </r>
  </si>
  <si>
    <r>
      <rPr>
        <sz val="12"/>
        <color indexed="12"/>
        <rFont val="Aptos"/>
      </rPr>
      <t>Rectangle edges</t>
    </r>
  </si>
  <si>
    <r>
      <rPr>
        <sz val="12"/>
        <color indexed="12"/>
        <rFont val="Aptos"/>
      </rPr>
      <t>NPI0311</t>
    </r>
  </si>
  <si>
    <r>
      <rPr>
        <sz val="12"/>
        <color indexed="12"/>
        <rFont val="Aptos"/>
      </rPr>
      <t>Which is 3D</t>
    </r>
  </si>
  <si>
    <r>
      <rPr>
        <sz val="12"/>
        <color indexed="12"/>
        <rFont val="Aptos"/>
      </rPr>
      <t>NPI0312</t>
    </r>
  </si>
  <si>
    <r>
      <rPr>
        <sz val="12"/>
        <color indexed="12"/>
        <rFont val="Aptos"/>
      </rPr>
      <t>Mirror b looks like</t>
    </r>
  </si>
  <si>
    <r>
      <rPr>
        <sz val="12"/>
        <color indexed="12"/>
        <rFont val="Aptos"/>
      </rPr>
      <t>d</t>
    </r>
  </si>
  <si>
    <r>
      <rPr>
        <sz val="12"/>
        <color indexed="12"/>
        <rFont val="Aptos"/>
      </rPr>
      <t>p</t>
    </r>
  </si>
  <si>
    <r>
      <rPr>
        <sz val="12"/>
        <color indexed="12"/>
        <rFont val="Aptos"/>
      </rPr>
      <t>q</t>
    </r>
  </si>
  <si>
    <r>
      <rPr>
        <sz val="12"/>
        <color indexed="12"/>
        <rFont val="Aptos"/>
      </rPr>
      <t>b</t>
    </r>
  </si>
  <si>
    <r>
      <rPr>
        <sz val="12"/>
        <color indexed="12"/>
        <rFont val="Aptos"/>
      </rPr>
      <t>NPI0313</t>
    </r>
  </si>
  <si>
    <r>
      <rPr>
        <sz val="12"/>
        <color indexed="12"/>
        <rFont val="Aptos"/>
      </rPr>
      <t>Clock hand at 3 points</t>
    </r>
  </si>
  <si>
    <r>
      <rPr>
        <sz val="12"/>
        <color indexed="12"/>
        <rFont val="Aptos"/>
      </rPr>
      <t>Up</t>
    </r>
  </si>
  <si>
    <r>
      <rPr>
        <sz val="12"/>
        <color indexed="12"/>
        <rFont val="Aptos"/>
      </rPr>
      <t>Down</t>
    </r>
  </si>
  <si>
    <r>
      <rPr>
        <sz val="12"/>
        <color indexed="12"/>
        <rFont val="Aptos"/>
      </rPr>
      <t>NPI0314</t>
    </r>
  </si>
  <si>
    <r>
      <rPr>
        <sz val="12"/>
        <color indexed="12"/>
        <rFont val="Aptos"/>
      </rPr>
      <t>Pyramid has pointed</t>
    </r>
  </si>
  <si>
    <r>
      <rPr>
        <sz val="12"/>
        <color indexed="12"/>
        <rFont val="Aptos"/>
      </rPr>
      <t>Base</t>
    </r>
  </si>
  <si>
    <r>
      <rPr>
        <sz val="12"/>
        <color indexed="12"/>
        <rFont val="Aptos"/>
      </rPr>
      <t>Apex</t>
    </r>
  </si>
  <si>
    <r>
      <rPr>
        <sz val="12"/>
        <color indexed="12"/>
        <rFont val="Aptos"/>
      </rPr>
      <t>Edge</t>
    </r>
  </si>
  <si>
    <r>
      <rPr>
        <sz val="12"/>
        <color indexed="12"/>
        <rFont val="Aptos"/>
      </rPr>
      <t>NPI0315</t>
    </r>
  </si>
  <si>
    <r>
      <rPr>
        <sz val="12"/>
        <color indexed="12"/>
        <rFont val="Aptos"/>
      </rPr>
      <t>Longest: 5cm,50mm,0.6m,20cm</t>
    </r>
  </si>
  <si>
    <r>
      <rPr>
        <sz val="12"/>
        <color indexed="12"/>
        <rFont val="Aptos"/>
      </rPr>
      <t>5cm</t>
    </r>
  </si>
  <si>
    <r>
      <rPr>
        <sz val="12"/>
        <color indexed="12"/>
        <rFont val="Aptos"/>
      </rPr>
      <t>50mm</t>
    </r>
  </si>
  <si>
    <r>
      <rPr>
        <sz val="12"/>
        <color indexed="12"/>
        <rFont val="Aptos"/>
      </rPr>
      <t>0.6m</t>
    </r>
  </si>
  <si>
    <r>
      <rPr>
        <sz val="12"/>
        <color indexed="12"/>
        <rFont val="Aptos"/>
      </rPr>
      <t>20cm</t>
    </r>
  </si>
  <si>
    <r>
      <rPr>
        <sz val="12"/>
        <color indexed="12"/>
        <rFont val="Aptos"/>
      </rPr>
      <t>NPI0316</t>
    </r>
  </si>
  <si>
    <r>
      <rPr>
        <sz val="12"/>
        <color indexed="12"/>
        <rFont val="Aptos"/>
      </rPr>
      <t>Emotional Profile</t>
    </r>
  </si>
  <si>
    <r>
      <rPr>
        <sz val="12"/>
        <color indexed="12"/>
        <rFont val="Aptos"/>
      </rPr>
      <t>Stress</t>
    </r>
  </si>
  <si>
    <r>
      <rPr>
        <sz val="12"/>
        <color indexed="12"/>
        <rFont val="Aptos"/>
      </rPr>
      <t>I feel tense before exams.</t>
    </r>
  </si>
  <si>
    <r>
      <rPr>
        <sz val="12"/>
        <color indexed="12"/>
        <rFont val="Aptos"/>
      </rPr>
      <t>NPI0317</t>
    </r>
  </si>
  <si>
    <r>
      <rPr>
        <sz val="12"/>
        <color indexed="12"/>
        <rFont val="Aptos"/>
      </rPr>
      <t>I feel overwhelmed by workload.</t>
    </r>
  </si>
  <si>
    <r>
      <rPr>
        <sz val="12"/>
        <color indexed="12"/>
        <rFont val="Aptos"/>
      </rPr>
      <t>NPI0318</t>
    </r>
  </si>
  <si>
    <r>
      <rPr>
        <sz val="12"/>
        <color indexed="12"/>
        <rFont val="Aptos"/>
      </rPr>
      <t>I worry about marks after studying.</t>
    </r>
  </si>
  <si>
    <r>
      <rPr>
        <sz val="12"/>
        <color indexed="12"/>
        <rFont val="Aptos"/>
      </rPr>
      <t>NPI0319</t>
    </r>
  </si>
  <si>
    <r>
      <rPr>
        <sz val="12"/>
        <color indexed="12"/>
        <rFont val="Aptos"/>
      </rPr>
      <t>I feel pressure from expectations.</t>
    </r>
  </si>
  <si>
    <r>
      <rPr>
        <sz val="12"/>
        <color indexed="12"/>
        <rFont val="Aptos"/>
      </rPr>
      <t>NPI0320</t>
    </r>
  </si>
  <si>
    <r>
      <rPr>
        <sz val="12"/>
        <color indexed="12"/>
        <rFont val="Aptos"/>
      </rPr>
      <t>I compare myself with others nervously.</t>
    </r>
  </si>
  <si>
    <r>
      <rPr>
        <sz val="12"/>
        <color indexed="12"/>
        <rFont val="Aptos"/>
      </rPr>
      <t>NPI0321</t>
    </r>
  </si>
  <si>
    <r>
      <rPr>
        <sz val="12"/>
        <color indexed="12"/>
        <rFont val="Aptos"/>
      </rPr>
      <t>I feel stress in competition.</t>
    </r>
  </si>
  <si>
    <r>
      <rPr>
        <sz val="12"/>
        <color indexed="12"/>
        <rFont val="Aptos"/>
      </rPr>
      <t>NPI0322</t>
    </r>
  </si>
  <si>
    <r>
      <rPr>
        <sz val="12"/>
        <color indexed="12"/>
        <rFont val="Aptos"/>
      </rPr>
      <t>I fear disappointing people.</t>
    </r>
  </si>
  <si>
    <r>
      <rPr>
        <sz val="12"/>
        <color indexed="12"/>
        <rFont val="Aptos"/>
      </rPr>
      <t>NPI0323</t>
    </r>
  </si>
  <si>
    <r>
      <rPr>
        <sz val="12"/>
        <color indexed="12"/>
        <rFont val="Aptos"/>
      </rPr>
      <t>I panic when I do not know an answer.</t>
    </r>
  </si>
  <si>
    <r>
      <rPr>
        <sz val="12"/>
        <color indexed="12"/>
        <rFont val="Aptos"/>
      </rPr>
      <t>NPI0324</t>
    </r>
  </si>
  <si>
    <r>
      <rPr>
        <sz val="12"/>
        <color indexed="12"/>
        <rFont val="Aptos"/>
      </rPr>
      <t>I overthink after mistakes.</t>
    </r>
  </si>
  <si>
    <r>
      <rPr>
        <sz val="12"/>
        <color indexed="12"/>
        <rFont val="Aptos"/>
      </rPr>
      <t>NPI0325</t>
    </r>
  </si>
  <si>
    <r>
      <rPr>
        <sz val="12"/>
        <color indexed="12"/>
        <rFont val="Aptos"/>
      </rPr>
      <t>NPI0326</t>
    </r>
  </si>
  <si>
    <r>
      <rPr>
        <sz val="12"/>
        <color indexed="12"/>
        <rFont val="Aptos"/>
      </rPr>
      <t>I feel drained after long study.</t>
    </r>
  </si>
  <si>
    <r>
      <rPr>
        <sz val="12"/>
        <color indexed="12"/>
        <rFont val="Aptos"/>
      </rPr>
      <t>NPI0327</t>
    </r>
  </si>
  <si>
    <r>
      <rPr>
        <sz val="12"/>
        <color indexed="12"/>
        <rFont val="Aptos"/>
      </rPr>
      <t>I feel anxious about future.</t>
    </r>
  </si>
  <si>
    <r>
      <rPr>
        <sz val="12"/>
        <color indexed="12"/>
        <rFont val="Aptos"/>
      </rPr>
      <t>NPI0328</t>
    </r>
  </si>
  <si>
    <r>
      <rPr>
        <sz val="12"/>
        <color indexed="12"/>
        <rFont val="Aptos"/>
      </rPr>
      <t>I feel tense with sudden changes.</t>
    </r>
  </si>
  <si>
    <r>
      <rPr>
        <sz val="12"/>
        <color indexed="12"/>
        <rFont val="Aptos"/>
      </rPr>
      <t>NPI0329</t>
    </r>
  </si>
  <si>
    <r>
      <rPr>
        <sz val="12"/>
        <color indexed="12"/>
        <rFont val="Aptos"/>
      </rPr>
      <t>I sleep poorly before tests.</t>
    </r>
  </si>
  <si>
    <r>
      <rPr>
        <sz val="12"/>
        <color indexed="12"/>
        <rFont val="Aptos"/>
      </rPr>
      <t>NPI0330</t>
    </r>
  </si>
  <si>
    <r>
      <rPr>
        <sz val="12"/>
        <color indexed="12"/>
        <rFont val="Aptos"/>
      </rPr>
      <t>I feel physical stress signs.</t>
    </r>
  </si>
  <si>
    <r>
      <rPr>
        <sz val="12"/>
        <color indexed="12"/>
        <rFont val="Aptos"/>
      </rPr>
      <t>NPI0331</t>
    </r>
  </si>
  <si>
    <r>
      <rPr>
        <sz val="12"/>
        <color indexed="12"/>
        <rFont val="Aptos"/>
      </rPr>
      <t>I avoid tasks due to pressure.</t>
    </r>
  </si>
  <si>
    <r>
      <rPr>
        <sz val="12"/>
        <color indexed="12"/>
        <rFont val="Aptos"/>
      </rPr>
      <t>NPI0332</t>
    </r>
  </si>
  <si>
    <r>
      <rPr>
        <sz val="12"/>
        <color indexed="12"/>
        <rFont val="Aptos"/>
      </rPr>
      <t>NPI0333</t>
    </r>
  </si>
  <si>
    <r>
      <rPr>
        <sz val="12"/>
        <color indexed="12"/>
        <rFont val="Aptos"/>
      </rPr>
      <t>I feel worried about results.</t>
    </r>
  </si>
  <si>
    <r>
      <rPr>
        <sz val="12"/>
        <color indexed="12"/>
        <rFont val="Aptos"/>
      </rPr>
      <t>NPI0334</t>
    </r>
  </si>
  <si>
    <r>
      <rPr>
        <sz val="12"/>
        <color indexed="12"/>
        <rFont val="Aptos"/>
      </rPr>
      <t>I feel upset after criticism.</t>
    </r>
  </si>
  <si>
    <r>
      <rPr>
        <sz val="12"/>
        <color indexed="12"/>
        <rFont val="Aptos"/>
      </rPr>
      <t>NPI0335</t>
    </r>
  </si>
  <si>
    <r>
      <rPr>
        <sz val="12"/>
        <color indexed="12"/>
        <rFont val="Aptos"/>
      </rPr>
      <t>I feel overloaded by deadlines.</t>
    </r>
  </si>
  <si>
    <r>
      <rPr>
        <sz val="12"/>
        <color indexed="12"/>
        <rFont val="Aptos"/>
      </rPr>
      <t>NPI0336</t>
    </r>
  </si>
  <si>
    <r>
      <rPr>
        <sz val="12"/>
        <color indexed="12"/>
        <rFont val="Aptos"/>
      </rPr>
      <t>Confidence</t>
    </r>
  </si>
  <si>
    <r>
      <rPr>
        <sz val="12"/>
        <color indexed="12"/>
        <rFont val="Aptos"/>
      </rPr>
      <t>I believe I can improve.</t>
    </r>
  </si>
  <si>
    <r>
      <rPr>
        <sz val="12"/>
        <color indexed="12"/>
        <rFont val="Aptos"/>
      </rPr>
      <t>NPI0337</t>
    </r>
  </si>
  <si>
    <r>
      <rPr>
        <sz val="12"/>
        <color indexed="12"/>
        <rFont val="Aptos"/>
      </rPr>
      <t>I feel confident asking doubts.</t>
    </r>
  </si>
  <si>
    <r>
      <rPr>
        <sz val="12"/>
        <color indexed="12"/>
        <rFont val="Aptos"/>
      </rPr>
      <t>NPI0338</t>
    </r>
  </si>
  <si>
    <r>
      <rPr>
        <sz val="12"/>
        <color indexed="12"/>
        <rFont val="Aptos"/>
      </rPr>
      <t>I trust my ability to learn.</t>
    </r>
  </si>
  <si>
    <r>
      <rPr>
        <sz val="12"/>
        <color indexed="12"/>
        <rFont val="Aptos"/>
      </rPr>
      <t>NPI0339</t>
    </r>
  </si>
  <si>
    <r>
      <rPr>
        <sz val="12"/>
        <color indexed="12"/>
        <rFont val="Aptos"/>
      </rPr>
      <t>I can speak about my strengths.</t>
    </r>
  </si>
  <si>
    <r>
      <rPr>
        <sz val="12"/>
        <color indexed="12"/>
        <rFont val="Aptos"/>
      </rPr>
      <t>NPI0340</t>
    </r>
  </si>
  <si>
    <r>
      <rPr>
        <sz val="12"/>
        <color indexed="12"/>
        <rFont val="Aptos"/>
      </rPr>
      <t>I feel capable with clear explanation.</t>
    </r>
  </si>
  <si>
    <r>
      <rPr>
        <sz val="12"/>
        <color indexed="12"/>
        <rFont val="Aptos"/>
      </rPr>
      <t>NPI0341</t>
    </r>
  </si>
  <si>
    <r>
      <rPr>
        <sz val="12"/>
        <color indexed="12"/>
        <rFont val="Aptos"/>
      </rPr>
      <t>I feel proud after difficult tasks.</t>
    </r>
  </si>
  <si>
    <r>
      <rPr>
        <sz val="12"/>
        <color indexed="12"/>
        <rFont val="Aptos"/>
      </rPr>
      <t>NPI0342</t>
    </r>
  </si>
  <si>
    <r>
      <rPr>
        <sz val="12"/>
        <color indexed="12"/>
        <rFont val="Aptos"/>
      </rPr>
      <t>I attempt challenges.</t>
    </r>
  </si>
  <si>
    <r>
      <rPr>
        <sz val="12"/>
        <color indexed="12"/>
        <rFont val="Aptos"/>
      </rPr>
      <t>NPI0343</t>
    </r>
  </si>
  <si>
    <r>
      <rPr>
        <sz val="12"/>
        <color indexed="12"/>
        <rFont val="Aptos"/>
      </rPr>
      <t>I feel my opinions matter.</t>
    </r>
  </si>
  <si>
    <r>
      <rPr>
        <sz val="12"/>
        <color indexed="12"/>
        <rFont val="Aptos"/>
      </rPr>
      <t>NPI0344</t>
    </r>
  </si>
  <si>
    <r>
      <rPr>
        <sz val="12"/>
        <color indexed="12"/>
        <rFont val="Aptos"/>
      </rPr>
      <t>I learn from feedback.</t>
    </r>
  </si>
  <si>
    <r>
      <rPr>
        <sz val="12"/>
        <color indexed="12"/>
        <rFont val="Aptos"/>
      </rPr>
      <t>NPI0345</t>
    </r>
  </si>
  <si>
    <r>
      <rPr>
        <sz val="12"/>
        <color indexed="12"/>
        <rFont val="Aptos"/>
      </rPr>
      <t>I feel confident in some area.</t>
    </r>
  </si>
  <si>
    <r>
      <rPr>
        <sz val="12"/>
        <color indexed="12"/>
        <rFont val="Aptos"/>
      </rPr>
      <t>NPI0346</t>
    </r>
  </si>
  <si>
    <r>
      <rPr>
        <sz val="12"/>
        <color indexed="12"/>
        <rFont val="Aptos"/>
      </rPr>
      <t>I explain what I need to improve.</t>
    </r>
  </si>
  <si>
    <r>
      <rPr>
        <sz val="12"/>
        <color indexed="12"/>
        <rFont val="Aptos"/>
      </rPr>
      <t>NPI0347</t>
    </r>
  </si>
  <si>
    <r>
      <rPr>
        <sz val="12"/>
        <color indexed="12"/>
        <rFont val="Aptos"/>
      </rPr>
      <t>I believe mistakes are learning.</t>
    </r>
  </si>
  <si>
    <r>
      <rPr>
        <sz val="12"/>
        <color indexed="12"/>
        <rFont val="Aptos"/>
      </rPr>
      <t>NPI0348</t>
    </r>
  </si>
  <si>
    <r>
      <rPr>
        <sz val="12"/>
        <color indexed="12"/>
        <rFont val="Aptos"/>
      </rPr>
      <t>I set reachable goals.</t>
    </r>
  </si>
  <si>
    <r>
      <rPr>
        <sz val="12"/>
        <color indexed="12"/>
        <rFont val="Aptos"/>
      </rPr>
      <t>NPI0349</t>
    </r>
  </si>
  <si>
    <r>
      <rPr>
        <sz val="12"/>
        <color indexed="12"/>
        <rFont val="Aptos"/>
      </rPr>
      <t>I try even when unsure.</t>
    </r>
  </si>
  <si>
    <r>
      <rPr>
        <sz val="12"/>
        <color indexed="12"/>
        <rFont val="Aptos"/>
      </rPr>
      <t>NPI0350</t>
    </r>
  </si>
  <si>
    <r>
      <rPr>
        <sz val="12"/>
        <color indexed="12"/>
        <rFont val="Aptos"/>
      </rPr>
      <t>I recognize my progress.</t>
    </r>
  </si>
  <si>
    <r>
      <rPr>
        <sz val="12"/>
        <color indexed="12"/>
        <rFont val="Aptos"/>
      </rPr>
      <t>NPI0351</t>
    </r>
  </si>
  <si>
    <r>
      <rPr>
        <sz val="12"/>
        <color indexed="12"/>
        <rFont val="Aptos"/>
      </rPr>
      <t>I ask questions without shame.</t>
    </r>
  </si>
  <si>
    <r>
      <rPr>
        <sz val="12"/>
        <color indexed="12"/>
        <rFont val="Aptos"/>
      </rPr>
      <t>NPI0352</t>
    </r>
  </si>
  <si>
    <r>
      <rPr>
        <sz val="12"/>
        <color indexed="12"/>
        <rFont val="Aptos"/>
      </rPr>
      <t>I believe effort matters.</t>
    </r>
  </si>
  <si>
    <r>
      <rPr>
        <sz val="12"/>
        <color indexed="12"/>
        <rFont val="Aptos"/>
      </rPr>
      <t>NPI0353</t>
    </r>
  </si>
  <si>
    <r>
      <rPr>
        <sz val="12"/>
        <color indexed="12"/>
        <rFont val="Aptos"/>
      </rPr>
      <t>I feel prepared after practice.</t>
    </r>
  </si>
  <si>
    <r>
      <rPr>
        <sz val="12"/>
        <color indexed="12"/>
        <rFont val="Aptos"/>
      </rPr>
      <t>NPI0354</t>
    </r>
  </si>
  <si>
    <r>
      <rPr>
        <sz val="12"/>
        <color indexed="12"/>
        <rFont val="Aptos"/>
      </rPr>
      <t>I try new subjects.</t>
    </r>
  </si>
  <si>
    <r>
      <rPr>
        <sz val="12"/>
        <color indexed="12"/>
        <rFont val="Aptos"/>
      </rPr>
      <t>NPI0355</t>
    </r>
  </si>
  <si>
    <r>
      <rPr>
        <sz val="12"/>
        <color indexed="12"/>
        <rFont val="Aptos"/>
      </rPr>
      <t>I accept constructive feedback.</t>
    </r>
  </si>
  <si>
    <r>
      <rPr>
        <sz val="12"/>
        <color indexed="12"/>
        <rFont val="Aptos"/>
      </rPr>
      <t>NPI0356</t>
    </r>
  </si>
  <si>
    <r>
      <rPr>
        <sz val="12"/>
        <color indexed="12"/>
        <rFont val="Aptos"/>
      </rPr>
      <t>Resilience</t>
    </r>
  </si>
  <si>
    <r>
      <rPr>
        <sz val="12"/>
        <color indexed="12"/>
        <rFont val="Aptos"/>
      </rPr>
      <t>I try again after failure.</t>
    </r>
  </si>
  <si>
    <r>
      <rPr>
        <sz val="12"/>
        <color indexed="12"/>
        <rFont val="Aptos"/>
      </rPr>
      <t>NPI0357</t>
    </r>
  </si>
  <si>
    <r>
      <rPr>
        <sz val="12"/>
        <color indexed="12"/>
        <rFont val="Aptos"/>
      </rPr>
      <t>I learn from mistakes.</t>
    </r>
  </si>
  <si>
    <r>
      <rPr>
        <sz val="12"/>
        <color indexed="12"/>
        <rFont val="Aptos"/>
      </rPr>
      <t>NPI0358</t>
    </r>
  </si>
  <si>
    <r>
      <rPr>
        <sz val="12"/>
        <color indexed="12"/>
        <rFont val="Aptos"/>
      </rPr>
      <t>I keep going when difficult.</t>
    </r>
  </si>
  <si>
    <r>
      <rPr>
        <sz val="12"/>
        <color indexed="12"/>
        <rFont val="Aptos"/>
      </rPr>
      <t>NPI0359</t>
    </r>
  </si>
  <si>
    <r>
      <rPr>
        <sz val="12"/>
        <color indexed="12"/>
        <rFont val="Aptos"/>
      </rPr>
      <t>I ask help after struggling.</t>
    </r>
  </si>
  <si>
    <r>
      <rPr>
        <sz val="12"/>
        <color indexed="12"/>
        <rFont val="Aptos"/>
      </rPr>
      <t>NPI0360</t>
    </r>
  </si>
  <si>
    <r>
      <rPr>
        <sz val="12"/>
        <color indexed="12"/>
        <rFont val="Aptos"/>
      </rPr>
      <t>I recover after disappointment.</t>
    </r>
  </si>
  <si>
    <r>
      <rPr>
        <sz val="12"/>
        <color indexed="12"/>
        <rFont val="Aptos"/>
      </rPr>
      <t>NPI0361</t>
    </r>
  </si>
  <si>
    <r>
      <rPr>
        <sz val="12"/>
        <color indexed="12"/>
        <rFont val="Aptos"/>
      </rPr>
      <t>I break problems into steps.</t>
    </r>
  </si>
  <si>
    <r>
      <rPr>
        <sz val="12"/>
        <color indexed="12"/>
        <rFont val="Aptos"/>
      </rPr>
      <t>NPI0362</t>
    </r>
  </si>
  <si>
    <r>
      <rPr>
        <sz val="12"/>
        <color indexed="12"/>
        <rFont val="Aptos"/>
      </rPr>
      <t>I stay motivated after feedback.</t>
    </r>
  </si>
  <si>
    <r>
      <rPr>
        <sz val="12"/>
        <color indexed="12"/>
        <rFont val="Aptos"/>
      </rPr>
      <t>NPI0363</t>
    </r>
  </si>
  <si>
    <r>
      <rPr>
        <sz val="12"/>
        <color indexed="12"/>
        <rFont val="Aptos"/>
      </rPr>
      <t>I rebuild confidence after poor marks.</t>
    </r>
  </si>
  <si>
    <r>
      <rPr>
        <sz val="12"/>
        <color indexed="12"/>
        <rFont val="Aptos"/>
      </rPr>
      <t>NPI0364</t>
    </r>
  </si>
  <si>
    <r>
      <rPr>
        <sz val="12"/>
        <color indexed="12"/>
        <rFont val="Aptos"/>
      </rPr>
      <t>I see challenges as practice.</t>
    </r>
  </si>
  <si>
    <r>
      <rPr>
        <sz val="12"/>
        <color indexed="12"/>
        <rFont val="Aptos"/>
      </rPr>
      <t>NPI0365</t>
    </r>
  </si>
  <si>
    <r>
      <rPr>
        <sz val="12"/>
        <color indexed="12"/>
        <rFont val="Aptos"/>
      </rPr>
      <t>I try different strategies.</t>
    </r>
  </si>
  <si>
    <r>
      <rPr>
        <sz val="12"/>
        <color indexed="12"/>
        <rFont val="Aptos"/>
      </rPr>
      <t>NPI0366</t>
    </r>
  </si>
  <si>
    <r>
      <rPr>
        <sz val="12"/>
        <color indexed="12"/>
        <rFont val="Aptos"/>
      </rPr>
      <t>I continue after criticism.</t>
    </r>
  </si>
  <si>
    <r>
      <rPr>
        <sz val="12"/>
        <color indexed="12"/>
        <rFont val="Aptos"/>
      </rPr>
      <t>NPI0367</t>
    </r>
  </si>
  <si>
    <r>
      <rPr>
        <sz val="12"/>
        <color indexed="12"/>
        <rFont val="Aptos"/>
      </rPr>
      <t>I celebrate small progress.</t>
    </r>
  </si>
  <si>
    <r>
      <rPr>
        <sz val="12"/>
        <color indexed="12"/>
        <rFont val="Aptos"/>
      </rPr>
      <t>NPI0368</t>
    </r>
  </si>
  <si>
    <r>
      <rPr>
        <sz val="12"/>
        <color indexed="12"/>
        <rFont val="Aptos"/>
      </rPr>
      <t>I handle temporary disappointment.</t>
    </r>
  </si>
  <si>
    <r>
      <rPr>
        <sz val="12"/>
        <color indexed="12"/>
        <rFont val="Aptos"/>
      </rPr>
      <t>NPI0369</t>
    </r>
  </si>
  <si>
    <r>
      <rPr>
        <sz val="12"/>
        <color indexed="12"/>
        <rFont val="Aptos"/>
      </rPr>
      <t>I believe effort changes outcomes.</t>
    </r>
  </si>
  <si>
    <r>
      <rPr>
        <sz val="12"/>
        <color indexed="12"/>
        <rFont val="Aptos"/>
      </rPr>
      <t>NPI0370</t>
    </r>
  </si>
  <si>
    <r>
      <rPr>
        <sz val="12"/>
        <color indexed="12"/>
        <rFont val="Aptos"/>
      </rPr>
      <t>I return to a topic after difficulty.</t>
    </r>
  </si>
  <si>
    <r>
      <rPr>
        <sz val="12"/>
        <color indexed="12"/>
        <rFont val="Aptos"/>
      </rPr>
      <t>NPI0371</t>
    </r>
  </si>
  <si>
    <r>
      <rPr>
        <sz val="12"/>
        <color indexed="12"/>
        <rFont val="Aptos"/>
      </rPr>
      <t>I keep practicing.</t>
    </r>
  </si>
  <si>
    <r>
      <rPr>
        <sz val="12"/>
        <color indexed="12"/>
        <rFont val="Aptos"/>
      </rPr>
      <t>NPI0372</t>
    </r>
  </si>
  <si>
    <r>
      <rPr>
        <sz val="12"/>
        <color indexed="12"/>
        <rFont val="Aptos"/>
      </rPr>
      <t>I use failure as information.</t>
    </r>
  </si>
  <si>
    <r>
      <rPr>
        <sz val="12"/>
        <color indexed="12"/>
        <rFont val="Aptos"/>
      </rPr>
      <t>NPI0373</t>
    </r>
  </si>
  <si>
    <r>
      <rPr>
        <sz val="12"/>
        <color indexed="12"/>
        <rFont val="Aptos"/>
      </rPr>
      <t>I stay patient with progress.</t>
    </r>
  </si>
  <si>
    <r>
      <rPr>
        <sz val="12"/>
        <color indexed="12"/>
        <rFont val="Aptos"/>
      </rPr>
      <t>NPI0374</t>
    </r>
  </si>
  <si>
    <r>
      <rPr>
        <sz val="12"/>
        <color indexed="12"/>
        <rFont val="Aptos"/>
      </rPr>
      <t>I can restart after a setback.</t>
    </r>
  </si>
  <si>
    <r>
      <rPr>
        <sz val="12"/>
        <color indexed="12"/>
        <rFont val="Aptos"/>
      </rPr>
      <t>NPI0375</t>
    </r>
  </si>
  <si>
    <r>
      <rPr>
        <sz val="12"/>
        <color indexed="12"/>
        <rFont val="Aptos"/>
      </rPr>
      <t>I complete difficult work with support.</t>
    </r>
  </si>
  <si>
    <r>
      <rPr>
        <sz val="12"/>
        <color indexed="12"/>
        <rFont val="Aptos"/>
      </rPr>
      <t>NPI0376</t>
    </r>
  </si>
  <si>
    <r>
      <rPr>
        <sz val="12"/>
        <color indexed="12"/>
        <rFont val="Aptos"/>
      </rPr>
      <t>Coping</t>
    </r>
  </si>
  <si>
    <r>
      <rPr>
        <sz val="12"/>
        <color indexed="12"/>
        <rFont val="Aptos"/>
      </rPr>
      <t>I make a plan when stressed.</t>
    </r>
  </si>
  <si>
    <r>
      <rPr>
        <sz val="12"/>
        <color indexed="12"/>
        <rFont val="Aptos"/>
      </rPr>
      <t>NPI0377</t>
    </r>
  </si>
  <si>
    <r>
      <rPr>
        <sz val="12"/>
        <color indexed="12"/>
        <rFont val="Aptos"/>
      </rPr>
      <t>I talk to someone trusted.</t>
    </r>
  </si>
  <si>
    <r>
      <rPr>
        <sz val="12"/>
        <color indexed="12"/>
        <rFont val="Aptos"/>
      </rPr>
      <t>NPI0378</t>
    </r>
  </si>
  <si>
    <r>
      <rPr>
        <sz val="12"/>
        <color indexed="12"/>
        <rFont val="Aptos"/>
      </rPr>
      <t>I use breaks to refresh.</t>
    </r>
  </si>
  <si>
    <r>
      <rPr>
        <sz val="12"/>
        <color indexed="12"/>
        <rFont val="Aptos"/>
      </rPr>
      <t>NPI0379</t>
    </r>
  </si>
  <si>
    <r>
      <rPr>
        <sz val="12"/>
        <color indexed="12"/>
        <rFont val="Aptos"/>
      </rPr>
      <t>I ask for clarification.</t>
    </r>
  </si>
  <si>
    <r>
      <rPr>
        <sz val="12"/>
        <color indexed="12"/>
        <rFont val="Aptos"/>
      </rPr>
      <t>NPI0380</t>
    </r>
  </si>
  <si>
    <r>
      <rPr>
        <sz val="12"/>
        <color indexed="12"/>
        <rFont val="Aptos"/>
      </rPr>
      <t>I use breathing or calming methods.</t>
    </r>
  </si>
  <si>
    <r>
      <rPr>
        <sz val="12"/>
        <color indexed="12"/>
        <rFont val="Aptos"/>
      </rPr>
      <t>NPI0381</t>
    </r>
  </si>
  <si>
    <r>
      <rPr>
        <sz val="12"/>
        <color indexed="12"/>
        <rFont val="Aptos"/>
      </rPr>
      <t>I organize tasks when overloaded.</t>
    </r>
  </si>
  <si>
    <r>
      <rPr>
        <sz val="12"/>
        <color indexed="12"/>
        <rFont val="Aptos"/>
      </rPr>
      <t>NPI0382</t>
    </r>
  </si>
  <si>
    <r>
      <rPr>
        <sz val="12"/>
        <color indexed="12"/>
        <rFont val="Aptos"/>
      </rPr>
      <t>I identify what causes stress.</t>
    </r>
  </si>
  <si>
    <r>
      <rPr>
        <sz val="12"/>
        <color indexed="12"/>
        <rFont val="Aptos"/>
      </rPr>
      <t>NPI0383</t>
    </r>
  </si>
  <si>
    <r>
      <rPr>
        <sz val="12"/>
        <color indexed="12"/>
        <rFont val="Aptos"/>
      </rPr>
      <t>I use sleep and movement routines.</t>
    </r>
  </si>
  <si>
    <r>
      <rPr>
        <sz val="12"/>
        <color indexed="12"/>
        <rFont val="Aptos"/>
      </rPr>
      <t>NPI0384</t>
    </r>
  </si>
  <si>
    <r>
      <rPr>
        <sz val="12"/>
        <color indexed="12"/>
        <rFont val="Aptos"/>
      </rPr>
      <t>I seek guidance for choices.</t>
    </r>
  </si>
  <si>
    <r>
      <rPr>
        <sz val="12"/>
        <color indexed="12"/>
        <rFont val="Aptos"/>
      </rPr>
      <t>NPI0385</t>
    </r>
  </si>
  <si>
    <r>
      <rPr>
        <sz val="12"/>
        <color indexed="12"/>
        <rFont val="Aptos"/>
      </rPr>
      <t>I write steps to solve problems.</t>
    </r>
  </si>
  <si>
    <r>
      <rPr>
        <sz val="12"/>
        <color indexed="12"/>
        <rFont val="Aptos"/>
      </rPr>
      <t>NPI0386</t>
    </r>
  </si>
  <si>
    <r>
      <rPr>
        <sz val="12"/>
        <color indexed="12"/>
        <rFont val="Aptos"/>
      </rPr>
      <t>I review mistakes after tests.</t>
    </r>
  </si>
  <si>
    <r>
      <rPr>
        <sz val="12"/>
        <color indexed="12"/>
        <rFont val="Aptos"/>
      </rPr>
      <t>NPI0387</t>
    </r>
  </si>
  <si>
    <r>
      <rPr>
        <sz val="12"/>
        <color indexed="12"/>
        <rFont val="Aptos"/>
      </rPr>
      <t>I calm down before decisions.</t>
    </r>
  </si>
  <si>
    <r>
      <rPr>
        <sz val="12"/>
        <color indexed="12"/>
        <rFont val="Aptos"/>
      </rPr>
      <t>NPI0388</t>
    </r>
  </si>
  <si>
    <r>
      <rPr>
        <sz val="12"/>
        <color indexed="12"/>
        <rFont val="Aptos"/>
      </rPr>
      <t>I use supportive self-talk.</t>
    </r>
  </si>
  <si>
    <r>
      <rPr>
        <sz val="12"/>
        <color indexed="12"/>
        <rFont val="Aptos"/>
      </rPr>
      <t>NPI0389</t>
    </r>
  </si>
  <si>
    <r>
      <rPr>
        <sz val="12"/>
        <color indexed="12"/>
        <rFont val="Aptos"/>
      </rPr>
      <t>I know a strategy that helps.</t>
    </r>
  </si>
  <si>
    <r>
      <rPr>
        <sz val="12"/>
        <color indexed="12"/>
        <rFont val="Aptos"/>
      </rPr>
      <t>NPI0390</t>
    </r>
  </si>
  <si>
    <r>
      <rPr>
        <sz val="12"/>
        <color indexed="12"/>
        <rFont val="Aptos"/>
      </rPr>
      <t>I prioritize tasks.</t>
    </r>
  </si>
  <si>
    <r>
      <rPr>
        <sz val="12"/>
        <color indexed="12"/>
        <rFont val="Aptos"/>
      </rPr>
      <t>NPI0391</t>
    </r>
  </si>
  <si>
    <r>
      <rPr>
        <sz val="12"/>
        <color indexed="12"/>
        <rFont val="Aptos"/>
      </rPr>
      <t>I reduce distractions.</t>
    </r>
  </si>
  <si>
    <r>
      <rPr>
        <sz val="12"/>
        <color indexed="12"/>
        <rFont val="Aptos"/>
      </rPr>
      <t>NPI0392</t>
    </r>
  </si>
  <si>
    <r>
      <rPr>
        <sz val="12"/>
        <color indexed="12"/>
        <rFont val="Aptos"/>
      </rPr>
      <t>I reflect before reacting.</t>
    </r>
  </si>
  <si>
    <r>
      <rPr>
        <sz val="12"/>
        <color indexed="12"/>
        <rFont val="Aptos"/>
      </rPr>
      <t>NPI0393</t>
    </r>
  </si>
  <si>
    <r>
      <rPr>
        <sz val="12"/>
        <color indexed="12"/>
        <rFont val="Aptos"/>
      </rPr>
      <t>I ask for help early.</t>
    </r>
  </si>
  <si>
    <r>
      <rPr>
        <sz val="12"/>
        <color indexed="12"/>
        <rFont val="Aptos"/>
      </rPr>
      <t>NPI0394</t>
    </r>
  </si>
  <si>
    <r>
      <rPr>
        <sz val="12"/>
        <color indexed="12"/>
        <rFont val="Aptos"/>
      </rPr>
      <t>I create a study plan.</t>
    </r>
  </si>
  <si>
    <r>
      <rPr>
        <sz val="12"/>
        <color indexed="12"/>
        <rFont val="Aptos"/>
      </rPr>
      <t>NPI0395</t>
    </r>
  </si>
  <si>
    <r>
      <rPr>
        <sz val="12"/>
        <color indexed="12"/>
        <rFont val="Aptos"/>
      </rPr>
      <t>I use positive routines.</t>
    </r>
  </si>
  <si>
    <r>
      <rPr>
        <sz val="12"/>
        <color indexed="12"/>
        <rFont val="Aptos"/>
      </rPr>
      <t>NPI0396</t>
    </r>
  </si>
  <si>
    <r>
      <rPr>
        <sz val="12"/>
        <color indexed="12"/>
        <rFont val="Aptos"/>
      </rPr>
      <t>Learning Style</t>
    </r>
  </si>
  <si>
    <r>
      <rPr>
        <sz val="12"/>
        <color indexed="12"/>
        <rFont val="Aptos"/>
      </rPr>
      <t>Visual</t>
    </r>
  </si>
  <si>
    <r>
      <rPr>
        <sz val="12"/>
        <color indexed="12"/>
        <rFont val="Aptos"/>
      </rPr>
      <t>I learn well through diagrams or charts.</t>
    </r>
  </si>
  <si>
    <r>
      <rPr>
        <sz val="12"/>
        <color indexed="12"/>
        <rFont val="Aptos"/>
      </rPr>
      <t>NPI0397</t>
    </r>
  </si>
  <si>
    <r>
      <rPr>
        <sz val="12"/>
        <color indexed="12"/>
        <rFont val="Aptos"/>
      </rPr>
      <t>I learn well through mind maps.</t>
    </r>
  </si>
  <si>
    <r>
      <rPr>
        <sz val="12"/>
        <color indexed="12"/>
        <rFont val="Aptos"/>
      </rPr>
      <t>NPI0398</t>
    </r>
  </si>
  <si>
    <r>
      <rPr>
        <sz val="12"/>
        <color indexed="12"/>
        <rFont val="Aptos"/>
      </rPr>
      <t>I learn well through pictures or visual examples.</t>
    </r>
  </si>
  <si>
    <r>
      <rPr>
        <sz val="12"/>
        <color indexed="12"/>
        <rFont val="Aptos"/>
      </rPr>
      <t>NPI0399</t>
    </r>
  </si>
  <si>
    <r>
      <rPr>
        <sz val="12"/>
        <color indexed="12"/>
        <rFont val="Aptos"/>
      </rPr>
      <t>I learn well through page layout memory.</t>
    </r>
  </si>
  <si>
    <r>
      <rPr>
        <sz val="12"/>
        <color indexed="12"/>
        <rFont val="Aptos"/>
      </rPr>
      <t>NPI0400</t>
    </r>
  </si>
  <si>
    <r>
      <rPr>
        <sz val="12"/>
        <color indexed="12"/>
        <rFont val="Aptos"/>
      </rPr>
      <t>I learn well through videos and animations.</t>
    </r>
  </si>
  <si>
    <r>
      <rPr>
        <sz val="12"/>
        <color indexed="12"/>
        <rFont val="Aptos"/>
      </rPr>
      <t>NPI0401</t>
    </r>
  </si>
  <si>
    <r>
      <rPr>
        <sz val="12"/>
        <color indexed="12"/>
        <rFont val="Aptos"/>
      </rPr>
      <t>I learn well through color-coded notes.</t>
    </r>
  </si>
  <si>
    <r>
      <rPr>
        <sz val="12"/>
        <color indexed="12"/>
        <rFont val="Aptos"/>
      </rPr>
      <t>NPI0402</t>
    </r>
  </si>
  <si>
    <r>
      <rPr>
        <sz val="12"/>
        <color indexed="12"/>
        <rFont val="Aptos"/>
      </rPr>
      <t>I learn well through flowcharts.</t>
    </r>
  </si>
  <si>
    <r>
      <rPr>
        <sz val="12"/>
        <color indexed="12"/>
        <rFont val="Aptos"/>
      </rPr>
      <t>NPI0403</t>
    </r>
  </si>
  <si>
    <r>
      <rPr>
        <sz val="12"/>
        <color indexed="12"/>
        <rFont val="Aptos"/>
      </rPr>
      <t>I learn well through visual summaries.</t>
    </r>
  </si>
  <si>
    <r>
      <rPr>
        <sz val="12"/>
        <color indexed="12"/>
        <rFont val="Aptos"/>
      </rPr>
      <t>NPI0404</t>
    </r>
  </si>
  <si>
    <r>
      <rPr>
        <sz val="12"/>
        <color indexed="12"/>
        <rFont val="Aptos"/>
      </rPr>
      <t>I learn well through images.</t>
    </r>
  </si>
  <si>
    <r>
      <rPr>
        <sz val="12"/>
        <color indexed="12"/>
        <rFont val="Aptos"/>
      </rPr>
      <t>NPI0405</t>
    </r>
  </si>
  <si>
    <r>
      <rPr>
        <sz val="12"/>
        <color indexed="12"/>
        <rFont val="Aptos"/>
      </rPr>
      <t>I learn well through drawing concepts.</t>
    </r>
  </si>
  <si>
    <r>
      <rPr>
        <sz val="12"/>
        <color indexed="12"/>
        <rFont val="Aptos"/>
      </rPr>
      <t>NPI0406</t>
    </r>
  </si>
  <si>
    <r>
      <rPr>
        <sz val="12"/>
        <color indexed="12"/>
        <rFont val="Aptos"/>
      </rPr>
      <t>I learn well through graphs.</t>
    </r>
  </si>
  <si>
    <r>
      <rPr>
        <sz val="12"/>
        <color indexed="12"/>
        <rFont val="Aptos"/>
      </rPr>
      <t>NPI0407</t>
    </r>
  </si>
  <si>
    <r>
      <rPr>
        <sz val="12"/>
        <color indexed="12"/>
        <rFont val="Aptos"/>
      </rPr>
      <t>I learn well through worked examples.</t>
    </r>
  </si>
  <si>
    <r>
      <rPr>
        <sz val="12"/>
        <color indexed="12"/>
        <rFont val="Aptos"/>
      </rPr>
      <t>NPI0408</t>
    </r>
  </si>
  <si>
    <r>
      <rPr>
        <sz val="12"/>
        <color indexed="12"/>
        <rFont val="Aptos"/>
      </rPr>
      <t>I learn well through symbols or sketches.</t>
    </r>
  </si>
  <si>
    <r>
      <rPr>
        <sz val="12"/>
        <color indexed="12"/>
        <rFont val="Aptos"/>
      </rPr>
      <t>NPI0409</t>
    </r>
  </si>
  <si>
    <r>
      <rPr>
        <sz val="12"/>
        <color indexed="12"/>
        <rFont val="Aptos"/>
      </rPr>
      <t>I learn well through visual demonstrations.</t>
    </r>
  </si>
  <si>
    <r>
      <rPr>
        <sz val="12"/>
        <color indexed="12"/>
        <rFont val="Aptos"/>
      </rPr>
      <t>NPI0410</t>
    </r>
  </si>
  <si>
    <r>
      <rPr>
        <sz val="12"/>
        <color indexed="12"/>
        <rFont val="Aptos"/>
      </rPr>
      <t>I learn well through visual step-by-step explanations.</t>
    </r>
  </si>
  <si>
    <r>
      <rPr>
        <sz val="12"/>
        <color indexed="12"/>
        <rFont val="Aptos"/>
      </rPr>
      <t>NPI0411</t>
    </r>
  </si>
  <si>
    <r>
      <rPr>
        <sz val="12"/>
        <color indexed="12"/>
        <rFont val="Aptos"/>
      </rPr>
      <t>Auditory</t>
    </r>
  </si>
  <si>
    <r>
      <rPr>
        <sz val="12"/>
        <color indexed="12"/>
        <rFont val="Aptos"/>
      </rPr>
      <t>I learn well through spoken explanations.</t>
    </r>
  </si>
  <si>
    <r>
      <rPr>
        <sz val="12"/>
        <color indexed="12"/>
        <rFont val="Aptos"/>
      </rPr>
      <t>NPI0412</t>
    </r>
  </si>
  <si>
    <r>
      <rPr>
        <sz val="12"/>
        <color indexed="12"/>
        <rFont val="Aptos"/>
      </rPr>
      <t>I learn well through class discussions.</t>
    </r>
  </si>
  <si>
    <r>
      <rPr>
        <sz val="12"/>
        <color indexed="12"/>
        <rFont val="Aptos"/>
      </rPr>
      <t>NPI0413</t>
    </r>
  </si>
  <si>
    <r>
      <rPr>
        <sz val="12"/>
        <color indexed="12"/>
        <rFont val="Aptos"/>
      </rPr>
      <t>I learn well through lectures or audio.</t>
    </r>
  </si>
  <si>
    <r>
      <rPr>
        <sz val="12"/>
        <color indexed="12"/>
        <rFont val="Aptos"/>
      </rPr>
      <t>NPI0414</t>
    </r>
  </si>
  <si>
    <r>
      <rPr>
        <sz val="12"/>
        <color indexed="12"/>
        <rFont val="Aptos"/>
      </rPr>
      <t>I learn well through reading aloud.</t>
    </r>
  </si>
  <si>
    <r>
      <rPr>
        <sz val="12"/>
        <color indexed="12"/>
        <rFont val="Aptos"/>
      </rPr>
      <t>NPI0415</t>
    </r>
  </si>
  <si>
    <r>
      <rPr>
        <sz val="12"/>
        <color indexed="12"/>
        <rFont val="Aptos"/>
      </rPr>
      <t>I learn well through asking and answering questions.</t>
    </r>
  </si>
  <si>
    <r>
      <rPr>
        <sz val="12"/>
        <color indexed="12"/>
        <rFont val="Aptos"/>
      </rPr>
      <t>NPI0416</t>
    </r>
  </si>
  <si>
    <r>
      <rPr>
        <sz val="12"/>
        <color indexed="12"/>
        <rFont val="Aptos"/>
      </rPr>
      <t>I learn well through group discussion.</t>
    </r>
  </si>
  <si>
    <r>
      <rPr>
        <sz val="12"/>
        <color indexed="12"/>
        <rFont val="Aptos"/>
      </rPr>
      <t>NPI0417</t>
    </r>
  </si>
  <si>
    <r>
      <rPr>
        <sz val="12"/>
        <color indexed="12"/>
        <rFont val="Aptos"/>
      </rPr>
      <t>I learn well through teacher stories.</t>
    </r>
  </si>
  <si>
    <r>
      <rPr>
        <sz val="12"/>
        <color indexed="12"/>
        <rFont val="Aptos"/>
      </rPr>
      <t>NPI0418</t>
    </r>
  </si>
  <si>
    <r>
      <rPr>
        <sz val="12"/>
        <color indexed="12"/>
        <rFont val="Aptos"/>
      </rPr>
      <t>I learn well through verbal explanation to others.</t>
    </r>
  </si>
  <si>
    <r>
      <rPr>
        <sz val="12"/>
        <color indexed="12"/>
        <rFont val="Aptos"/>
      </rPr>
      <t>NPI0419</t>
    </r>
  </si>
  <si>
    <r>
      <rPr>
        <sz val="12"/>
        <color indexed="12"/>
        <rFont val="Aptos"/>
      </rPr>
      <t>I learn well through recorded lessons.</t>
    </r>
  </si>
  <si>
    <r>
      <rPr>
        <sz val="12"/>
        <color indexed="12"/>
        <rFont val="Aptos"/>
      </rPr>
      <t>NPI0420</t>
    </r>
  </si>
  <si>
    <r>
      <rPr>
        <sz val="12"/>
        <color indexed="12"/>
        <rFont val="Aptos"/>
      </rPr>
      <t>I learn well through spoken instructions.</t>
    </r>
  </si>
  <si>
    <r>
      <rPr>
        <sz val="12"/>
        <color indexed="12"/>
        <rFont val="Aptos"/>
      </rPr>
      <t>NPI0421</t>
    </r>
  </si>
  <si>
    <r>
      <rPr>
        <sz val="12"/>
        <color indexed="12"/>
        <rFont val="Aptos"/>
      </rPr>
      <t>I learn well through debates.</t>
    </r>
  </si>
  <si>
    <r>
      <rPr>
        <sz val="12"/>
        <color indexed="12"/>
        <rFont val="Aptos"/>
      </rPr>
      <t>NPI0422</t>
    </r>
  </si>
  <si>
    <r>
      <rPr>
        <sz val="12"/>
        <color indexed="12"/>
        <rFont val="Aptos"/>
      </rPr>
      <t>I learn well through talking through problems.</t>
    </r>
  </si>
  <si>
    <r>
      <rPr>
        <sz val="12"/>
        <color indexed="12"/>
        <rFont val="Aptos"/>
      </rPr>
      <t>NPI0423</t>
    </r>
  </si>
  <si>
    <r>
      <rPr>
        <sz val="12"/>
        <color indexed="12"/>
        <rFont val="Aptos"/>
      </rPr>
      <t>I learn well through rhymes or verbal cues.</t>
    </r>
  </si>
  <si>
    <r>
      <rPr>
        <sz val="12"/>
        <color indexed="12"/>
        <rFont val="Aptos"/>
      </rPr>
      <t>NPI0424</t>
    </r>
  </si>
  <si>
    <r>
      <rPr>
        <sz val="12"/>
        <color indexed="12"/>
        <rFont val="Aptos"/>
      </rPr>
      <t>I learn well through oral examples.</t>
    </r>
  </si>
  <si>
    <r>
      <rPr>
        <sz val="12"/>
        <color indexed="12"/>
        <rFont val="Aptos"/>
      </rPr>
      <t>NPI0425</t>
    </r>
  </si>
  <si>
    <r>
      <rPr>
        <sz val="12"/>
        <color indexed="12"/>
        <rFont val="Aptos"/>
      </rPr>
      <t>I learn well through oral summaries.</t>
    </r>
  </si>
  <si>
    <r>
      <rPr>
        <sz val="12"/>
        <color indexed="12"/>
        <rFont val="Aptos"/>
      </rPr>
      <t>NPI0426</t>
    </r>
  </si>
  <si>
    <r>
      <rPr>
        <sz val="12"/>
        <color indexed="12"/>
        <rFont val="Aptos"/>
      </rPr>
      <t>Kinesthetic</t>
    </r>
  </si>
  <si>
    <r>
      <rPr>
        <sz val="12"/>
        <color indexed="12"/>
        <rFont val="Aptos"/>
      </rPr>
      <t>I learn well through doing activities.</t>
    </r>
  </si>
  <si>
    <r>
      <rPr>
        <sz val="12"/>
        <color indexed="12"/>
        <rFont val="Aptos"/>
      </rPr>
      <t>NPI0427</t>
    </r>
  </si>
  <si>
    <r>
      <rPr>
        <sz val="12"/>
        <color indexed="12"/>
        <rFont val="Aptos"/>
      </rPr>
      <t>I learn well through experiments.</t>
    </r>
  </si>
  <si>
    <r>
      <rPr>
        <sz val="12"/>
        <color indexed="12"/>
        <rFont val="Aptos"/>
      </rPr>
      <t>NPI0428</t>
    </r>
  </si>
  <si>
    <r>
      <rPr>
        <sz val="12"/>
        <color indexed="12"/>
        <rFont val="Aptos"/>
      </rPr>
      <t>I learn well through physical practice.</t>
    </r>
  </si>
  <si>
    <r>
      <rPr>
        <sz val="12"/>
        <color indexed="12"/>
        <rFont val="Aptos"/>
      </rPr>
      <t>NPI0429</t>
    </r>
  </si>
  <si>
    <r>
      <rPr>
        <sz val="12"/>
        <color indexed="12"/>
        <rFont val="Aptos"/>
      </rPr>
      <t>I learn well through models or projects.</t>
    </r>
  </si>
  <si>
    <r>
      <rPr>
        <sz val="12"/>
        <color indexed="12"/>
        <rFont val="Aptos"/>
      </rPr>
      <t>NPI0430</t>
    </r>
  </si>
  <si>
    <r>
      <rPr>
        <sz val="12"/>
        <color indexed="12"/>
        <rFont val="Aptos"/>
      </rPr>
      <t>I learn well through trying instead of only reading.</t>
    </r>
  </si>
  <si>
    <r>
      <rPr>
        <sz val="12"/>
        <color indexed="12"/>
        <rFont val="Aptos"/>
      </rPr>
      <t>NPI0431</t>
    </r>
  </si>
  <si>
    <r>
      <rPr>
        <sz val="12"/>
        <color indexed="12"/>
        <rFont val="Aptos"/>
      </rPr>
      <t>I learn well through role-play.</t>
    </r>
  </si>
  <si>
    <r>
      <rPr>
        <sz val="12"/>
        <color indexed="12"/>
        <rFont val="Aptos"/>
      </rPr>
      <t>NPI0432</t>
    </r>
  </si>
  <si>
    <r>
      <rPr>
        <sz val="12"/>
        <color indexed="12"/>
        <rFont val="Aptos"/>
      </rPr>
      <t>I learn well through practical tasks.</t>
    </r>
  </si>
  <si>
    <r>
      <rPr>
        <sz val="12"/>
        <color indexed="12"/>
        <rFont val="Aptos"/>
      </rPr>
      <t>NPI0433</t>
    </r>
  </si>
  <si>
    <r>
      <rPr>
        <sz val="12"/>
        <color indexed="12"/>
        <rFont val="Aptos"/>
      </rPr>
      <t>I learn well through solving many examples.</t>
    </r>
  </si>
  <si>
    <r>
      <rPr>
        <sz val="12"/>
        <color indexed="12"/>
        <rFont val="Aptos"/>
      </rPr>
      <t>NPI0434</t>
    </r>
  </si>
  <si>
    <r>
      <rPr>
        <sz val="12"/>
        <color indexed="12"/>
        <rFont val="Aptos"/>
      </rPr>
      <t>I learn well through field visits.</t>
    </r>
  </si>
  <si>
    <r>
      <rPr>
        <sz val="12"/>
        <color indexed="12"/>
        <rFont val="Aptos"/>
      </rPr>
      <t>NPI0435</t>
    </r>
  </si>
  <si>
    <r>
      <rPr>
        <sz val="12"/>
        <color indexed="12"/>
        <rFont val="Aptos"/>
      </rPr>
      <t>I learn well through movement breaks.</t>
    </r>
  </si>
  <si>
    <r>
      <rPr>
        <sz val="12"/>
        <color indexed="12"/>
        <rFont val="Aptos"/>
      </rPr>
      <t>NPI0436</t>
    </r>
  </si>
  <si>
    <r>
      <rPr>
        <sz val="12"/>
        <color indexed="12"/>
        <rFont val="Aptos"/>
      </rPr>
      <t>I learn well through lab learning.</t>
    </r>
  </si>
  <si>
    <r>
      <rPr>
        <sz val="12"/>
        <color indexed="12"/>
        <rFont val="Aptos"/>
      </rPr>
      <t>NPI0437</t>
    </r>
  </si>
  <si>
    <r>
      <rPr>
        <sz val="12"/>
        <color indexed="12"/>
        <rFont val="Aptos"/>
      </rPr>
      <t>I learn well through using technology hands-on.</t>
    </r>
  </si>
  <si>
    <r>
      <rPr>
        <sz val="12"/>
        <color indexed="12"/>
        <rFont val="Aptos"/>
      </rPr>
      <t>NPI0438</t>
    </r>
  </si>
  <si>
    <r>
      <rPr>
        <sz val="12"/>
        <color indexed="12"/>
        <rFont val="Aptos"/>
      </rPr>
      <t>I learn well through repetition and practice.</t>
    </r>
  </si>
  <si>
    <r>
      <rPr>
        <sz val="12"/>
        <color indexed="12"/>
        <rFont val="Aptos"/>
      </rPr>
      <t>NPI0439</t>
    </r>
  </si>
  <si>
    <r>
      <rPr>
        <sz val="12"/>
        <color indexed="12"/>
        <rFont val="Aptos"/>
      </rPr>
      <t>I learn well through hands-on tasks.</t>
    </r>
  </si>
  <si>
    <r>
      <rPr>
        <sz val="12"/>
        <color indexed="12"/>
        <rFont val="Aptos"/>
      </rPr>
      <t>NPI0440</t>
    </r>
  </si>
  <si>
    <r>
      <rPr>
        <sz val="12"/>
        <color indexed="12"/>
        <rFont val="Aptos"/>
      </rPr>
      <t>I learn well through immediate application.</t>
    </r>
  </si>
  <si>
    <r>
      <rPr>
        <sz val="12"/>
        <color indexed="12"/>
        <rFont val="Aptos"/>
      </rPr>
      <t>NPI0441</t>
    </r>
  </si>
  <si>
    <r>
      <rPr>
        <sz val="12"/>
        <color indexed="12"/>
        <rFont val="Aptos"/>
      </rPr>
      <t>ReadingWriting</t>
    </r>
  </si>
  <si>
    <r>
      <rPr>
        <sz val="12"/>
        <color indexed="12"/>
        <rFont val="Aptos"/>
      </rPr>
      <t>I learn well through textbooks and notes.</t>
    </r>
  </si>
  <si>
    <r>
      <rPr>
        <sz val="12"/>
        <color indexed="12"/>
        <rFont val="Aptos"/>
      </rPr>
      <t>NPI0442</t>
    </r>
  </si>
  <si>
    <r>
      <rPr>
        <sz val="12"/>
        <color indexed="12"/>
        <rFont val="Aptos"/>
      </rPr>
      <t>I learn well through writing summaries.</t>
    </r>
  </si>
  <si>
    <r>
      <rPr>
        <sz val="12"/>
        <color indexed="12"/>
        <rFont val="Aptos"/>
      </rPr>
      <t>NPI0443</t>
    </r>
  </si>
  <si>
    <r>
      <rPr>
        <sz val="12"/>
        <color indexed="12"/>
        <rFont val="Aptos"/>
      </rPr>
      <t>I learn well through reading instructions.</t>
    </r>
  </si>
  <si>
    <r>
      <rPr>
        <sz val="12"/>
        <color indexed="12"/>
        <rFont val="Aptos"/>
      </rPr>
      <t>NPI0444</t>
    </r>
  </si>
  <si>
    <r>
      <rPr>
        <sz val="12"/>
        <color indexed="12"/>
        <rFont val="Aptos"/>
      </rPr>
      <t>I learn well through lists and bullet points.</t>
    </r>
  </si>
  <si>
    <r>
      <rPr>
        <sz val="12"/>
        <color indexed="12"/>
        <rFont val="Aptos"/>
      </rPr>
      <t>NPI0445</t>
    </r>
  </si>
  <si>
    <r>
      <rPr>
        <sz val="12"/>
        <color indexed="12"/>
        <rFont val="Aptos"/>
      </rPr>
      <t>I learn well through detailed notes.</t>
    </r>
  </si>
  <si>
    <r>
      <rPr>
        <sz val="12"/>
        <color indexed="12"/>
        <rFont val="Aptos"/>
      </rPr>
      <t>NPI0446</t>
    </r>
  </si>
  <si>
    <r>
      <rPr>
        <sz val="12"/>
        <color indexed="12"/>
        <rFont val="Aptos"/>
      </rPr>
      <t>I learn well through writing definitions.</t>
    </r>
  </si>
  <si>
    <r>
      <rPr>
        <sz val="12"/>
        <color indexed="12"/>
        <rFont val="Aptos"/>
      </rPr>
      <t>NPI0447</t>
    </r>
  </si>
  <si>
    <r>
      <rPr>
        <sz val="12"/>
        <color indexed="12"/>
        <rFont val="Aptos"/>
      </rPr>
      <t>I learn well through reading explanations.</t>
    </r>
  </si>
  <si>
    <r>
      <rPr>
        <sz val="12"/>
        <color indexed="12"/>
        <rFont val="Aptos"/>
      </rPr>
      <t>NPI0448</t>
    </r>
  </si>
  <si>
    <r>
      <rPr>
        <sz val="12"/>
        <color indexed="12"/>
        <rFont val="Aptos"/>
      </rPr>
      <t>I learn well through rewriting key points.</t>
    </r>
  </si>
  <si>
    <r>
      <rPr>
        <sz val="12"/>
        <color indexed="12"/>
        <rFont val="Aptos"/>
      </rPr>
      <t>NPI0449</t>
    </r>
  </si>
  <si>
    <r>
      <rPr>
        <sz val="12"/>
        <color indexed="12"/>
        <rFont val="Aptos"/>
      </rPr>
      <t>I learn well through written assignments.</t>
    </r>
  </si>
  <si>
    <r>
      <rPr>
        <sz val="12"/>
        <color indexed="12"/>
        <rFont val="Aptos"/>
      </rPr>
      <t>NPI0450</t>
    </r>
  </si>
  <si>
    <r>
      <rPr>
        <sz val="12"/>
        <color indexed="12"/>
        <rFont val="Aptos"/>
      </rPr>
      <t>I learn well through worksheets.</t>
    </r>
  </si>
  <si>
    <r>
      <rPr>
        <sz val="12"/>
        <color indexed="12"/>
        <rFont val="Aptos"/>
      </rPr>
      <t>NPI0451</t>
    </r>
  </si>
  <si>
    <r>
      <rPr>
        <sz val="12"/>
        <color indexed="12"/>
        <rFont val="Aptos"/>
      </rPr>
      <t>I learn well through quiet reading.</t>
    </r>
  </si>
  <si>
    <r>
      <rPr>
        <sz val="12"/>
        <color indexed="12"/>
        <rFont val="Aptos"/>
      </rPr>
      <t>NPI0452</t>
    </r>
  </si>
  <si>
    <r>
      <rPr>
        <sz val="12"/>
        <color indexed="12"/>
        <rFont val="Aptos"/>
      </rPr>
      <t>I learn well through written checklists.</t>
    </r>
  </si>
  <si>
    <r>
      <rPr>
        <sz val="12"/>
        <color indexed="12"/>
        <rFont val="Aptos"/>
      </rPr>
      <t>NPI0453</t>
    </r>
  </si>
  <si>
    <r>
      <rPr>
        <sz val="12"/>
        <color indexed="12"/>
        <rFont val="Aptos"/>
      </rPr>
      <t>I learn well through flashcards.</t>
    </r>
  </si>
  <si>
    <r>
      <rPr>
        <sz val="12"/>
        <color indexed="12"/>
        <rFont val="Aptos"/>
      </rPr>
      <t>NPI0454</t>
    </r>
  </si>
  <si>
    <r>
      <rPr>
        <sz val="12"/>
        <color indexed="12"/>
        <rFont val="Aptos"/>
      </rPr>
      <t>I learn well through annotating text.</t>
    </r>
  </si>
  <si>
    <r>
      <rPr>
        <sz val="12"/>
        <color indexed="12"/>
        <rFont val="Aptos"/>
      </rPr>
      <t>NPI0455</t>
    </r>
  </si>
  <si>
    <r>
      <rPr>
        <sz val="12"/>
        <color indexed="12"/>
        <rFont val="Aptos"/>
      </rPr>
      <t>I learn well through written examples.</t>
    </r>
  </si>
  <si>
    <r>
      <rPr>
        <sz val="12"/>
        <color indexed="12"/>
        <rFont val="Aptos"/>
      </rPr>
      <t>NPI0456</t>
    </r>
  </si>
  <si>
    <r>
      <rPr>
        <sz val="12"/>
        <color indexed="12"/>
        <rFont val="Aptos"/>
      </rPr>
      <t>Additional NeuroPi Indicators</t>
    </r>
  </si>
  <si>
    <r>
      <rPr>
        <sz val="12"/>
        <color indexed="12"/>
        <rFont val="Aptos"/>
      </rPr>
      <t>Motivation</t>
    </r>
  </si>
  <si>
    <r>
      <rPr>
        <sz val="12"/>
        <color indexed="12"/>
        <rFont val="Aptos"/>
      </rPr>
      <t>I know why studies matter.</t>
    </r>
  </si>
  <si>
    <r>
      <rPr>
        <sz val="12"/>
        <color indexed="12"/>
        <rFont val="Aptos"/>
      </rPr>
      <t>NPI0457</t>
    </r>
  </si>
  <si>
    <r>
      <rPr>
        <sz val="12"/>
        <color indexed="12"/>
        <rFont val="Aptos"/>
      </rPr>
      <t>I feel motivated by progress.</t>
    </r>
  </si>
  <si>
    <r>
      <rPr>
        <sz val="12"/>
        <color indexed="12"/>
        <rFont val="Aptos"/>
      </rPr>
      <t>NPI0458</t>
    </r>
  </si>
  <si>
    <r>
      <rPr>
        <sz val="12"/>
        <color indexed="12"/>
        <rFont val="Aptos"/>
      </rPr>
      <t>I set goals.</t>
    </r>
  </si>
  <si>
    <r>
      <rPr>
        <sz val="12"/>
        <color indexed="12"/>
        <rFont val="Aptos"/>
      </rPr>
      <t>NPI0459</t>
    </r>
  </si>
  <si>
    <r>
      <rPr>
        <sz val="12"/>
        <color indexed="12"/>
        <rFont val="Aptos"/>
      </rPr>
      <t>I like growth challenges.</t>
    </r>
  </si>
  <si>
    <r>
      <rPr>
        <sz val="12"/>
        <color indexed="12"/>
        <rFont val="Aptos"/>
      </rPr>
      <t>NPI0460</t>
    </r>
  </si>
  <si>
    <r>
      <rPr>
        <sz val="12"/>
        <color indexed="12"/>
        <rFont val="Aptos"/>
      </rPr>
      <t>I feel inspired by role models.</t>
    </r>
  </si>
  <si>
    <r>
      <rPr>
        <sz val="12"/>
        <color indexed="12"/>
        <rFont val="Aptos"/>
      </rPr>
      <t>NPI0461</t>
    </r>
  </si>
  <si>
    <r>
      <rPr>
        <sz val="12"/>
        <color indexed="12"/>
        <rFont val="Aptos"/>
      </rPr>
      <t>I enjoy improving skills.</t>
    </r>
  </si>
  <si>
    <r>
      <rPr>
        <sz val="12"/>
        <color indexed="12"/>
        <rFont val="Aptos"/>
      </rPr>
      <t>NPI0462</t>
    </r>
  </si>
  <si>
    <r>
      <rPr>
        <sz val="12"/>
        <color indexed="12"/>
        <rFont val="Aptos"/>
      </rPr>
      <t>I feel energized by meaningful goals.</t>
    </r>
  </si>
  <si>
    <r>
      <rPr>
        <sz val="12"/>
        <color indexed="12"/>
        <rFont val="Aptos"/>
      </rPr>
      <t>NPI0463</t>
    </r>
  </si>
  <si>
    <r>
      <rPr>
        <sz val="12"/>
        <color indexed="12"/>
        <rFont val="Aptos"/>
      </rPr>
      <t>I connect subjects to life goals.</t>
    </r>
  </si>
  <si>
    <r>
      <rPr>
        <sz val="12"/>
        <color indexed="12"/>
        <rFont val="Aptos"/>
      </rPr>
      <t>NPI0464</t>
    </r>
  </si>
  <si>
    <r>
      <rPr>
        <sz val="12"/>
        <color indexed="12"/>
        <rFont val="Aptos"/>
      </rPr>
      <t>I track my progress.</t>
    </r>
  </si>
  <si>
    <r>
      <rPr>
        <sz val="12"/>
        <color indexed="12"/>
        <rFont val="Aptos"/>
      </rPr>
      <t>NPI0465</t>
    </r>
  </si>
  <si>
    <r>
      <rPr>
        <sz val="12"/>
        <color indexed="12"/>
        <rFont val="Aptos"/>
      </rPr>
      <t>I continue when work is not exciting.</t>
    </r>
  </si>
  <si>
    <r>
      <rPr>
        <sz val="12"/>
        <color indexed="12"/>
        <rFont val="Aptos"/>
      </rPr>
      <t>NPI0466</t>
    </r>
  </si>
  <si>
    <r>
      <rPr>
        <sz val="12"/>
        <color indexed="12"/>
        <rFont val="Aptos"/>
      </rPr>
      <t>I feel proud completing goals.</t>
    </r>
  </si>
  <si>
    <r>
      <rPr>
        <sz val="12"/>
        <color indexed="12"/>
        <rFont val="Aptos"/>
      </rPr>
      <t>NPI0467</t>
    </r>
  </si>
  <si>
    <r>
      <rPr>
        <sz val="12"/>
        <color indexed="12"/>
        <rFont val="Aptos"/>
      </rPr>
      <t>I work harder when I understand the reason.</t>
    </r>
  </si>
  <si>
    <r>
      <rPr>
        <sz val="12"/>
        <color indexed="12"/>
        <rFont val="Aptos"/>
      </rPr>
      <t>NPI0468</t>
    </r>
  </si>
  <si>
    <r>
      <rPr>
        <sz val="12"/>
        <color indexed="12"/>
        <rFont val="Aptos"/>
      </rPr>
      <t>I like constructive feedback.</t>
    </r>
  </si>
  <si>
    <r>
      <rPr>
        <sz val="12"/>
        <color indexed="12"/>
        <rFont val="Aptos"/>
      </rPr>
      <t>NPI0469</t>
    </r>
  </si>
  <si>
    <r>
      <rPr>
        <sz val="12"/>
        <color indexed="12"/>
        <rFont val="Aptos"/>
      </rPr>
      <t>I feel future is within my influence.</t>
    </r>
  </si>
  <si>
    <r>
      <rPr>
        <sz val="12"/>
        <color indexed="12"/>
        <rFont val="Aptos"/>
      </rPr>
      <t>NPI0470</t>
    </r>
  </si>
  <si>
    <r>
      <rPr>
        <sz val="12"/>
        <color indexed="12"/>
        <rFont val="Aptos"/>
      </rPr>
      <t>I enjoy purposeful learning.</t>
    </r>
  </si>
  <si>
    <r>
      <rPr>
        <sz val="12"/>
        <color indexed="12"/>
        <rFont val="Aptos"/>
      </rPr>
      <t>NPI0471</t>
    </r>
  </si>
  <si>
    <r>
      <rPr>
        <sz val="12"/>
        <color indexed="12"/>
        <rFont val="Aptos"/>
      </rPr>
      <t>I feel motivated by clear plans.</t>
    </r>
  </si>
  <si>
    <r>
      <rPr>
        <sz val="12"/>
        <color indexed="12"/>
        <rFont val="Aptos"/>
      </rPr>
      <t>NPI0472</t>
    </r>
  </si>
  <si>
    <r>
      <rPr>
        <sz val="12"/>
        <color indexed="12"/>
        <rFont val="Aptos"/>
      </rPr>
      <t>I like seeing improvement.</t>
    </r>
  </si>
  <si>
    <r>
      <rPr>
        <sz val="12"/>
        <color indexed="12"/>
        <rFont val="Aptos"/>
      </rPr>
      <t>NPI0473</t>
    </r>
  </si>
  <si>
    <r>
      <rPr>
        <sz val="12"/>
        <color indexed="12"/>
        <rFont val="Aptos"/>
      </rPr>
      <t>I value effort.</t>
    </r>
  </si>
  <si>
    <r>
      <rPr>
        <sz val="12"/>
        <color indexed="12"/>
        <rFont val="Aptos"/>
      </rPr>
      <t>NPI0474</t>
    </r>
  </si>
  <si>
    <r>
      <rPr>
        <sz val="12"/>
        <color indexed="12"/>
        <rFont val="Aptos"/>
      </rPr>
      <t>I can work toward long-term goals.</t>
    </r>
  </si>
  <si>
    <r>
      <rPr>
        <sz val="12"/>
        <color indexed="12"/>
        <rFont val="Aptos"/>
      </rPr>
      <t>NPI0475</t>
    </r>
  </si>
  <si>
    <r>
      <rPr>
        <sz val="12"/>
        <color indexed="12"/>
        <rFont val="Aptos"/>
      </rPr>
      <t>I feel learning can change my future.</t>
    </r>
  </si>
  <si>
    <r>
      <rPr>
        <sz val="12"/>
        <color indexed="12"/>
        <rFont val="Aptos"/>
      </rPr>
      <t>NPI0476</t>
    </r>
  </si>
  <si>
    <r>
      <rPr>
        <sz val="12"/>
        <color indexed="12"/>
        <rFont val="Aptos"/>
      </rPr>
      <t>StudyHabits</t>
    </r>
  </si>
  <si>
    <r>
      <rPr>
        <sz val="12"/>
        <color indexed="12"/>
        <rFont val="Aptos"/>
      </rPr>
      <t>I study regularly.</t>
    </r>
  </si>
  <si>
    <r>
      <rPr>
        <sz val="12"/>
        <color indexed="12"/>
        <rFont val="Aptos"/>
      </rPr>
      <t>NPI0477</t>
    </r>
  </si>
  <si>
    <r>
      <rPr>
        <sz val="12"/>
        <color indexed="12"/>
        <rFont val="Aptos"/>
      </rPr>
      <t>I revise after class.</t>
    </r>
  </si>
  <si>
    <r>
      <rPr>
        <sz val="12"/>
        <color indexed="12"/>
        <rFont val="Aptos"/>
      </rPr>
      <t>NPI0478</t>
    </r>
  </si>
  <si>
    <r>
      <rPr>
        <sz val="12"/>
        <color indexed="12"/>
        <rFont val="Aptos"/>
      </rPr>
      <t>I keep a weekly plan.</t>
    </r>
  </si>
  <si>
    <r>
      <rPr>
        <sz val="12"/>
        <color indexed="12"/>
        <rFont val="Aptos"/>
      </rPr>
      <t>NPI0479</t>
    </r>
  </si>
  <si>
    <r>
      <rPr>
        <sz val="12"/>
        <color indexed="12"/>
        <rFont val="Aptos"/>
      </rPr>
      <t>I remove distractions.</t>
    </r>
  </si>
  <si>
    <r>
      <rPr>
        <sz val="12"/>
        <color indexed="12"/>
        <rFont val="Aptos"/>
      </rPr>
      <t>NPI0480</t>
    </r>
  </si>
  <si>
    <r>
      <rPr>
        <sz val="12"/>
        <color indexed="12"/>
        <rFont val="Aptos"/>
      </rPr>
      <t>I test myself.</t>
    </r>
  </si>
  <si>
    <r>
      <rPr>
        <sz val="12"/>
        <color indexed="12"/>
        <rFont val="Aptos"/>
      </rPr>
      <t>NPI0481</t>
    </r>
  </si>
  <si>
    <r>
      <rPr>
        <sz val="12"/>
        <color indexed="12"/>
        <rFont val="Aptos"/>
      </rPr>
      <t>I solve practice questions.</t>
    </r>
  </si>
  <si>
    <r>
      <rPr>
        <sz val="12"/>
        <color indexed="12"/>
        <rFont val="Aptos"/>
      </rPr>
      <t>NPI0482</t>
    </r>
  </si>
  <si>
    <r>
      <rPr>
        <sz val="12"/>
        <color indexed="12"/>
        <rFont val="Aptos"/>
      </rPr>
      <t>I organize my study space.</t>
    </r>
  </si>
  <si>
    <r>
      <rPr>
        <sz val="12"/>
        <color indexed="12"/>
        <rFont val="Aptos"/>
      </rPr>
      <t>NPI0483</t>
    </r>
  </si>
  <si>
    <r>
      <rPr>
        <sz val="12"/>
        <color indexed="12"/>
        <rFont val="Aptos"/>
      </rPr>
      <t>I take short breaks.</t>
    </r>
  </si>
  <si>
    <r>
      <rPr>
        <sz val="12"/>
        <color indexed="12"/>
        <rFont val="Aptos"/>
      </rPr>
      <t>NPI0484</t>
    </r>
  </si>
  <si>
    <r>
      <rPr>
        <sz val="12"/>
        <color indexed="12"/>
        <rFont val="Aptos"/>
      </rPr>
      <t>I clarify doubts quickly.</t>
    </r>
  </si>
  <si>
    <r>
      <rPr>
        <sz val="12"/>
        <color indexed="12"/>
        <rFont val="Aptos"/>
      </rPr>
      <t>NPI0485</t>
    </r>
  </si>
  <si>
    <r>
      <rPr>
        <sz val="12"/>
        <color indexed="12"/>
        <rFont val="Aptos"/>
      </rPr>
      <t>I review mistakes.</t>
    </r>
  </si>
  <si>
    <r>
      <rPr>
        <sz val="12"/>
        <color indexed="12"/>
        <rFont val="Aptos"/>
      </rPr>
      <t>NPI0486</t>
    </r>
  </si>
  <si>
    <r>
      <rPr>
        <sz val="12"/>
        <color indexed="12"/>
        <rFont val="Aptos"/>
      </rPr>
      <t>I make notes in my words.</t>
    </r>
  </si>
  <si>
    <r>
      <rPr>
        <sz val="12"/>
        <color indexed="12"/>
        <rFont val="Aptos"/>
      </rPr>
      <t>NPI0487</t>
    </r>
  </si>
  <si>
    <r>
      <rPr>
        <sz val="12"/>
        <color indexed="12"/>
        <rFont val="Aptos"/>
      </rPr>
      <t>I use a timetable.</t>
    </r>
  </si>
  <si>
    <r>
      <rPr>
        <sz val="12"/>
        <color indexed="12"/>
        <rFont val="Aptos"/>
      </rPr>
      <t>NPI0488</t>
    </r>
  </si>
  <si>
    <r>
      <rPr>
        <sz val="12"/>
        <color indexed="12"/>
        <rFont val="Aptos"/>
      </rPr>
      <t>I sleep enough before tests.</t>
    </r>
  </si>
  <si>
    <r>
      <rPr>
        <sz val="12"/>
        <color indexed="12"/>
        <rFont val="Aptos"/>
      </rPr>
      <t>NPI0489</t>
    </r>
  </si>
  <si>
    <r>
      <rPr>
        <sz val="12"/>
        <color indexed="12"/>
        <rFont val="Aptos"/>
      </rPr>
      <t>I plan my day.</t>
    </r>
  </si>
  <si>
    <r>
      <rPr>
        <sz val="12"/>
        <color indexed="12"/>
        <rFont val="Aptos"/>
      </rPr>
      <t>NPI0490</t>
    </r>
  </si>
  <si>
    <r>
      <rPr>
        <sz val="12"/>
        <color indexed="12"/>
        <rFont val="Aptos"/>
      </rPr>
      <t>I start difficult topics early.</t>
    </r>
  </si>
  <si>
    <r>
      <rPr>
        <sz val="12"/>
        <color indexed="12"/>
        <rFont val="Aptos"/>
      </rPr>
      <t>NPI0491</t>
    </r>
  </si>
  <si>
    <r>
      <rPr>
        <sz val="12"/>
        <color indexed="12"/>
        <rFont val="Aptos"/>
      </rPr>
      <t>I use revision cycles.</t>
    </r>
  </si>
  <si>
    <r>
      <rPr>
        <sz val="12"/>
        <color indexed="12"/>
        <rFont val="Aptos"/>
      </rPr>
      <t>NPI0492</t>
    </r>
  </si>
  <si>
    <r>
      <rPr>
        <sz val="12"/>
        <color indexed="12"/>
        <rFont val="Aptos"/>
      </rPr>
      <t>I practice active recall.</t>
    </r>
  </si>
  <si>
    <r>
      <rPr>
        <sz val="12"/>
        <color indexed="12"/>
        <rFont val="Aptos"/>
      </rPr>
      <t>NPI0493</t>
    </r>
  </si>
  <si>
    <r>
      <rPr>
        <sz val="12"/>
        <color indexed="12"/>
        <rFont val="Aptos"/>
      </rPr>
      <t>I summarize chapters.</t>
    </r>
  </si>
  <si>
    <r>
      <rPr>
        <sz val="12"/>
        <color indexed="12"/>
        <rFont val="Aptos"/>
      </rPr>
      <t>NPI0494</t>
    </r>
  </si>
  <si>
    <r>
      <rPr>
        <sz val="12"/>
        <color indexed="12"/>
        <rFont val="Aptos"/>
      </rPr>
      <t>I track completion.</t>
    </r>
  </si>
  <si>
    <r>
      <rPr>
        <sz val="12"/>
        <color indexed="12"/>
        <rFont val="Aptos"/>
      </rPr>
      <t>NPI0495</t>
    </r>
  </si>
  <si>
    <r>
      <rPr>
        <sz val="12"/>
        <color indexed="12"/>
        <rFont val="Aptos"/>
      </rPr>
      <t>I ask for help on weak areas.</t>
    </r>
  </si>
  <si>
    <r>
      <rPr>
        <sz val="12"/>
        <color indexed="12"/>
        <rFont val="Aptos"/>
      </rPr>
      <t>NPI0496</t>
    </r>
  </si>
  <si>
    <r>
      <rPr>
        <sz val="12"/>
        <color indexed="12"/>
        <rFont val="Aptos"/>
      </rPr>
      <t>CareerClarity</t>
    </r>
  </si>
  <si>
    <r>
      <rPr>
        <sz val="12"/>
        <color indexed="12"/>
        <rFont val="Aptos"/>
      </rPr>
      <t>I explored career options.</t>
    </r>
  </si>
  <si>
    <r>
      <rPr>
        <sz val="12"/>
        <color indexed="12"/>
        <rFont val="Aptos"/>
      </rPr>
      <t>NPI0497</t>
    </r>
  </si>
  <si>
    <r>
      <rPr>
        <sz val="12"/>
        <color indexed="12"/>
        <rFont val="Aptos"/>
      </rPr>
      <t>I know subjects linked to goals.</t>
    </r>
  </si>
  <si>
    <r>
      <rPr>
        <sz val="12"/>
        <color indexed="12"/>
        <rFont val="Aptos"/>
      </rPr>
      <t>NPI0498</t>
    </r>
  </si>
  <si>
    <r>
      <rPr>
        <sz val="12"/>
        <color indexed="12"/>
        <rFont val="Aptos"/>
      </rPr>
      <t>I know my strengths and interests.</t>
    </r>
  </si>
  <si>
    <r>
      <rPr>
        <sz val="12"/>
        <color indexed="12"/>
        <rFont val="Aptos"/>
      </rPr>
      <t>NPI0499</t>
    </r>
  </si>
  <si>
    <r>
      <rPr>
        <sz val="12"/>
        <color indexed="12"/>
        <rFont val="Aptos"/>
      </rPr>
      <t>I understand skills needed for careers.</t>
    </r>
  </si>
  <si>
    <r>
      <rPr>
        <sz val="12"/>
        <color indexed="12"/>
        <rFont val="Aptos"/>
      </rPr>
      <t>NPI0500</t>
    </r>
  </si>
  <si>
    <r>
      <rPr>
        <sz val="12"/>
        <color indexed="12"/>
        <rFont val="Aptos"/>
      </rPr>
      <t>I spoken about career options.</t>
    </r>
  </si>
  <si>
    <r>
      <rPr>
        <sz val="12"/>
        <color indexed="12"/>
        <rFont val="Aptos"/>
      </rPr>
      <t>NPI0501</t>
    </r>
  </si>
  <si>
    <r>
      <rPr>
        <sz val="12"/>
        <color indexed="12"/>
        <rFont val="Aptos"/>
      </rPr>
      <t>I know three possible pathways.</t>
    </r>
  </si>
  <si>
    <r>
      <rPr>
        <sz val="12"/>
        <color indexed="12"/>
        <rFont val="Aptos"/>
      </rPr>
      <t>NPI0502</t>
    </r>
  </si>
  <si>
    <r>
      <rPr>
        <sz val="12"/>
        <color indexed="12"/>
        <rFont val="Aptos"/>
      </rPr>
      <t>I can explain why a career interests me.</t>
    </r>
  </si>
  <si>
    <r>
      <rPr>
        <sz val="12"/>
        <color indexed="12"/>
        <rFont val="Aptos"/>
      </rPr>
      <t>NPI0503</t>
    </r>
  </si>
  <si>
    <r>
      <rPr>
        <sz val="12"/>
        <color indexed="12"/>
        <rFont val="Aptos"/>
      </rPr>
      <t>I am open to exploring careers.</t>
    </r>
  </si>
  <si>
    <r>
      <rPr>
        <sz val="12"/>
        <color indexed="12"/>
        <rFont val="Aptos"/>
      </rPr>
      <t>NPI0504</t>
    </r>
  </si>
  <si>
    <r>
      <rPr>
        <sz val="12"/>
        <color indexed="12"/>
        <rFont val="Aptos"/>
      </rPr>
      <t>I know stream options.</t>
    </r>
  </si>
  <si>
    <r>
      <rPr>
        <sz val="12"/>
        <color indexed="12"/>
        <rFont val="Aptos"/>
      </rPr>
      <t>NPI0505</t>
    </r>
  </si>
  <si>
    <r>
      <rPr>
        <sz val="12"/>
        <color indexed="12"/>
        <rFont val="Aptos"/>
      </rPr>
      <t>I know entrance pathways.</t>
    </r>
  </si>
  <si>
    <r>
      <rPr>
        <sz val="12"/>
        <color indexed="12"/>
        <rFont val="Aptos"/>
      </rPr>
      <t>NPI0506</t>
    </r>
  </si>
  <si>
    <r>
      <rPr>
        <sz val="12"/>
        <color indexed="12"/>
        <rFont val="Aptos"/>
      </rPr>
      <t>I feel parents and I can discuss future.</t>
    </r>
  </si>
  <si>
    <r>
      <rPr>
        <sz val="12"/>
        <color indexed="12"/>
        <rFont val="Aptos"/>
      </rPr>
      <t>NPI0507</t>
    </r>
  </si>
  <si>
    <r>
      <rPr>
        <sz val="12"/>
        <color indexed="12"/>
        <rFont val="Aptos"/>
      </rPr>
      <t>I tried career-related activities.</t>
    </r>
  </si>
  <si>
    <r>
      <rPr>
        <sz val="12"/>
        <color indexed="12"/>
        <rFont val="Aptos"/>
      </rPr>
      <t>NPI0508</t>
    </r>
  </si>
  <si>
    <r>
      <rPr>
        <sz val="12"/>
        <color indexed="12"/>
        <rFont val="Aptos"/>
      </rPr>
      <t>I know the work environment I like.</t>
    </r>
  </si>
  <si>
    <r>
      <rPr>
        <sz val="12"/>
        <color indexed="12"/>
        <rFont val="Aptos"/>
      </rPr>
      <t>NPI0509</t>
    </r>
  </si>
  <si>
    <r>
      <rPr>
        <sz val="12"/>
        <color indexed="12"/>
        <rFont val="Aptos"/>
      </rPr>
      <t>I feel clearer after counseling.</t>
    </r>
  </si>
  <si>
    <r>
      <rPr>
        <sz val="12"/>
        <color indexed="12"/>
        <rFont val="Aptos"/>
      </rPr>
      <t>NPI0510</t>
    </r>
  </si>
  <si>
    <r>
      <rPr>
        <sz val="12"/>
        <color indexed="12"/>
        <rFont val="Aptos"/>
      </rPr>
      <t>I can shortlist careers.</t>
    </r>
  </si>
  <si>
    <r>
      <rPr>
        <sz val="12"/>
        <color indexed="12"/>
        <rFont val="Aptos"/>
      </rPr>
      <t>NPI0511</t>
    </r>
  </si>
  <si>
    <r>
      <rPr>
        <sz val="12"/>
        <color indexed="12"/>
        <rFont val="Aptos"/>
      </rPr>
      <t>I know what I do not want.</t>
    </r>
  </si>
  <si>
    <r>
      <rPr>
        <sz val="12"/>
        <color indexed="12"/>
        <rFont val="Aptos"/>
      </rPr>
      <t>NPI0512</t>
    </r>
  </si>
  <si>
    <r>
      <rPr>
        <sz val="12"/>
        <color indexed="12"/>
        <rFont val="Aptos"/>
      </rPr>
      <t>I can compare paths.</t>
    </r>
  </si>
  <si>
    <r>
      <rPr>
        <sz val="12"/>
        <color indexed="12"/>
        <rFont val="Aptos"/>
      </rPr>
      <t>NPI0513</t>
    </r>
  </si>
  <si>
    <r>
      <rPr>
        <sz val="12"/>
        <color indexed="12"/>
        <rFont val="Aptos"/>
      </rPr>
      <t>I understand trade-offs.</t>
    </r>
  </si>
  <si>
    <r>
      <rPr>
        <sz val="12"/>
        <color indexed="12"/>
        <rFont val="Aptos"/>
      </rPr>
      <t>NPI0514</t>
    </r>
  </si>
  <si>
    <r>
      <rPr>
        <sz val="12"/>
        <color indexed="12"/>
        <rFont val="Aptos"/>
      </rPr>
      <t>I have career questions ready.</t>
    </r>
  </si>
  <si>
    <r>
      <rPr>
        <sz val="12"/>
        <color indexed="12"/>
        <rFont val="Aptos"/>
      </rPr>
      <t>NPI0515</t>
    </r>
  </si>
  <si>
    <r>
      <rPr>
        <sz val="12"/>
        <color indexed="12"/>
        <rFont val="Aptos"/>
      </rPr>
      <t>I want exposure before deciding.</t>
    </r>
  </si>
  <si>
    <r>
      <rPr>
        <sz val="12"/>
        <color indexed="12"/>
        <rFont val="Aptos"/>
      </rPr>
      <t>NPI0516</t>
    </r>
  </si>
  <si>
    <r>
      <rPr>
        <sz val="12"/>
        <color indexed="12"/>
        <rFont val="Aptos"/>
      </rPr>
      <t>Validity &amp; Readiness</t>
    </r>
  </si>
  <si>
    <r>
      <rPr>
        <sz val="12"/>
        <color indexed="12"/>
        <rFont val="Aptos"/>
      </rPr>
      <t>Validity</t>
    </r>
  </si>
  <si>
    <r>
      <rPr>
        <sz val="12"/>
        <color indexed="12"/>
        <rFont val="Aptos"/>
      </rPr>
      <t>I answered these questions honestly.</t>
    </r>
  </si>
  <si>
    <r>
      <rPr>
        <sz val="12"/>
        <color indexed="12"/>
        <rFont val="Aptos"/>
      </rPr>
      <t>NPI0517</t>
    </r>
  </si>
  <si>
    <r>
      <rPr>
        <sz val="12"/>
        <color indexed="12"/>
        <rFont val="Aptos"/>
      </rPr>
      <t>I read each question carefully before answering.</t>
    </r>
  </si>
  <si>
    <r>
      <rPr>
        <sz val="12"/>
        <color indexed="12"/>
        <rFont val="Aptos"/>
      </rPr>
      <t>NPI0518</t>
    </r>
  </si>
  <si>
    <r>
      <rPr>
        <sz val="12"/>
        <color indexed="12"/>
        <rFont val="Aptos"/>
      </rPr>
      <t>I selected random answers without reading.</t>
    </r>
  </si>
  <si>
    <r>
      <rPr>
        <sz val="12"/>
        <color indexed="12"/>
        <rFont val="Aptos"/>
      </rPr>
      <t>NPI0519</t>
    </r>
  </si>
  <si>
    <r>
      <rPr>
        <sz val="12"/>
        <color indexed="12"/>
        <rFont val="Aptos"/>
      </rPr>
      <t>I tried to give answers that only look good.</t>
    </r>
  </si>
  <si>
    <r>
      <rPr>
        <sz val="12"/>
        <color indexed="12"/>
        <rFont val="Aptos"/>
      </rPr>
      <t>NPI0520</t>
    </r>
  </si>
  <si>
    <r>
      <rPr>
        <sz val="12"/>
        <color indexed="12"/>
        <rFont val="Aptos"/>
      </rPr>
      <t>My answers reflect how I usually behave.</t>
    </r>
  </si>
  <si>
    <r>
      <rPr>
        <sz val="12"/>
        <color indexed="12"/>
        <rFont val="Aptos"/>
      </rPr>
      <t>NPI0521</t>
    </r>
  </si>
  <si>
    <r>
      <rPr>
        <sz val="12"/>
        <color indexed="12"/>
        <rFont val="Aptos"/>
      </rPr>
      <t>I was too tired to answer properly.</t>
    </r>
  </si>
  <si>
    <r>
      <rPr>
        <sz val="12"/>
        <color indexed="12"/>
        <rFont val="Aptos"/>
      </rPr>
      <t>NPI0522</t>
    </r>
  </si>
  <si>
    <r>
      <rPr>
        <sz val="12"/>
        <color indexed="12"/>
        <rFont val="Aptos"/>
      </rPr>
      <t>I understood most questions clearly.</t>
    </r>
  </si>
  <si>
    <r>
      <rPr>
        <sz val="12"/>
        <color indexed="12"/>
        <rFont val="Aptos"/>
      </rPr>
      <t>NPI0523</t>
    </r>
  </si>
  <si>
    <r>
      <rPr>
        <sz val="12"/>
        <color indexed="12"/>
        <rFont val="Aptos"/>
      </rPr>
      <t>I rushed through the test.</t>
    </r>
  </si>
  <si>
    <r>
      <rPr>
        <sz val="12"/>
        <color indexed="12"/>
        <rFont val="Aptos"/>
      </rPr>
      <t>NPI0524</t>
    </r>
  </si>
  <si>
    <r>
      <rPr>
        <sz val="12"/>
        <color indexed="12"/>
        <rFont val="Aptos"/>
      </rPr>
      <t>I felt safe answering honestly.</t>
    </r>
  </si>
  <si>
    <r>
      <rPr>
        <sz val="12"/>
        <color indexed="12"/>
        <rFont val="Aptos"/>
      </rPr>
      <t>NPI0525</t>
    </r>
  </si>
  <si>
    <r>
      <rPr>
        <sz val="12"/>
        <color indexed="12"/>
        <rFont val="Aptos"/>
      </rPr>
      <t>I would like to discuss my results with a counselor.</t>
    </r>
  </si>
  <si>
    <t>Score_Summary</t>
  </si>
  <si>
    <t>Automated Score Summary</t>
  </si>
  <si>
    <t>Formula-driven summary from Student_Responses</t>
  </si>
  <si>
    <t>Raw Score</t>
  </si>
  <si>
    <t>Score %</t>
  </si>
  <si>
    <t>Band</t>
  </si>
  <si>
    <t>Interpretation</t>
  </si>
  <si>
    <t>Low</t>
  </si>
  <si>
    <r>
      <rPr>
        <sz val="12"/>
        <color indexed="12"/>
        <rFont val="Aptos"/>
      </rPr>
      <t>Practical exposure needed before hands-on pathways are recommended.</t>
    </r>
  </si>
  <si>
    <r>
      <rPr>
        <sz val="12"/>
        <color indexed="12"/>
        <rFont val="Aptos"/>
      </rPr>
      <t>Needs guided curiosity-building.</t>
    </r>
  </si>
  <si>
    <r>
      <rPr>
        <sz val="12"/>
        <color indexed="12"/>
        <rFont val="Aptos"/>
      </rPr>
      <t>Creative interests not currently dominant.</t>
    </r>
  </si>
  <si>
    <r>
      <rPr>
        <sz val="12"/>
        <color indexed="12"/>
        <rFont val="Aptos"/>
      </rPr>
      <t>May prefer independent work.</t>
    </r>
  </si>
  <si>
    <r>
      <rPr>
        <sz val="12"/>
        <color indexed="12"/>
        <rFont val="Aptos"/>
      </rPr>
      <t>May prefer non-leadership roles initially.</t>
    </r>
  </si>
  <si>
    <r>
      <rPr>
        <sz val="12"/>
        <color indexed="12"/>
        <rFont val="Aptos"/>
      </rPr>
      <t>May resist routine.</t>
    </r>
  </si>
  <si>
    <r>
      <rPr>
        <sz val="12"/>
        <color indexed="12"/>
        <rFont val="Aptos"/>
      </rPr>
      <t>Prefers familiar methods.</t>
    </r>
  </si>
  <si>
    <r>
      <rPr>
        <sz val="12"/>
        <color indexed="12"/>
        <rFont val="Aptos"/>
      </rPr>
      <t>Needs routines and accountability.</t>
    </r>
  </si>
  <si>
    <r>
      <rPr>
        <sz val="12"/>
        <color indexed="12"/>
        <rFont val="Aptos"/>
      </rPr>
      <t>Prefers quiet independent work.</t>
    </r>
  </si>
  <si>
    <r>
      <rPr>
        <sz val="12"/>
        <color indexed="12"/>
        <rFont val="Aptos"/>
      </rPr>
      <t>May be direct or competitive.</t>
    </r>
  </si>
  <si>
    <r>
      <rPr>
        <sz val="12"/>
        <color indexed="12"/>
        <rFont val="Aptos"/>
      </rPr>
      <t>Emotionally steady under pressure.</t>
    </r>
  </si>
  <si>
    <r>
      <rPr>
        <sz val="12"/>
        <color indexed="12"/>
        <rFont val="Aptos"/>
      </rPr>
      <t>Needs step-by-step reasoning support.</t>
    </r>
  </si>
  <si>
    <r>
      <rPr>
        <sz val="12"/>
        <color indexed="12"/>
        <rFont val="Aptos"/>
      </rPr>
      <t>Needs number confidence practice.</t>
    </r>
  </si>
  <si>
    <r>
      <rPr>
        <sz val="12"/>
        <color indexed="12"/>
        <rFont val="Aptos"/>
      </rPr>
      <t>Needs vocabulary/comprehension support.</t>
    </r>
  </si>
  <si>
    <r>
      <rPr>
        <sz val="12"/>
        <color indexed="12"/>
        <rFont val="Aptos"/>
      </rPr>
      <t>Needs pattern-thinking practice.</t>
    </r>
  </si>
  <si>
    <r>
      <rPr>
        <sz val="12"/>
        <color indexed="12"/>
        <rFont val="Aptos"/>
      </rPr>
      <t>Needs visual-spatial practice.</t>
    </r>
  </si>
  <si>
    <r>
      <rPr>
        <sz val="12"/>
        <color indexed="12"/>
        <rFont val="Aptos"/>
      </rPr>
      <t>Low reported stress.</t>
    </r>
  </si>
  <si>
    <r>
      <rPr>
        <sz val="12"/>
        <color indexed="12"/>
        <rFont val="Aptos"/>
      </rPr>
      <t>Low confidence; may understate ability.</t>
    </r>
  </si>
  <si>
    <r>
      <rPr>
        <sz val="12"/>
        <color indexed="12"/>
        <rFont val="Aptos"/>
      </rPr>
      <t>May give up quickly after setbacks.</t>
    </r>
  </si>
  <si>
    <r>
      <rPr>
        <sz val="12"/>
        <color indexed="12"/>
        <rFont val="Aptos"/>
      </rPr>
      <t>Needs healthier coping strategies.</t>
    </r>
  </si>
  <si>
    <r>
      <rPr>
        <sz val="12"/>
        <color indexed="12"/>
        <rFont val="Aptos"/>
      </rPr>
      <t>Visual mode not dominant.</t>
    </r>
  </si>
  <si>
    <r>
      <rPr>
        <sz val="12"/>
        <color indexed="12"/>
        <rFont val="Aptos"/>
      </rPr>
      <t>Listening mode not dominant.</t>
    </r>
  </si>
  <si>
    <r>
      <rPr>
        <sz val="12"/>
        <color indexed="12"/>
        <rFont val="Aptos"/>
      </rPr>
      <t>Hands-on learning not dominant.</t>
    </r>
  </si>
  <si>
    <r>
      <rPr>
        <sz val="12"/>
        <color indexed="12"/>
        <rFont val="Aptos"/>
      </rPr>
      <t>Text mode not dominant.</t>
    </r>
  </si>
  <si>
    <r>
      <rPr>
        <sz val="12"/>
        <color indexed="12"/>
        <rFont val="Aptos"/>
      </rPr>
      <t>Needs motivation support.</t>
    </r>
  </si>
  <si>
    <r>
      <rPr>
        <sz val="12"/>
        <color indexed="12"/>
        <rFont val="Aptos"/>
      </rPr>
      <t>Needs study routine support.</t>
    </r>
  </si>
  <si>
    <r>
      <rPr>
        <sz val="12"/>
        <color indexed="12"/>
        <rFont val="Aptos"/>
      </rPr>
      <t>Needs exploration.</t>
    </r>
  </si>
  <si>
    <r>
      <rPr>
        <sz val="12"/>
        <color indexed="12"/>
        <rFont val="Aptos"/>
      </rPr>
      <t>Response consistency needs review.</t>
    </r>
  </si>
  <si>
    <t>NeuroPi Dashboard</t>
  </si>
  <si>
    <t>Key indices for counselor review</t>
  </si>
  <si>
    <t>Index</t>
  </si>
  <si>
    <t>Formula Basis</t>
  </si>
  <si>
    <t>RIASEC Clarity</t>
  </si>
  <si>
    <t>Top interest concentration</t>
  </si>
  <si>
    <t>Strongest interest signal</t>
  </si>
  <si>
    <t>Big Five Balance</t>
  </si>
  <si>
    <t>Adaptive traits average</t>
  </si>
  <si>
    <t>Behavioral regulation and personality fit</t>
  </si>
  <si>
    <t>Cognitive Index</t>
  </si>
  <si>
    <t>Average cognitive score</t>
  </si>
  <si>
    <t>Reasoning capacity</t>
  </si>
  <si>
    <t>Emotional Sustainability</t>
  </si>
  <si>
    <t>Confidence/resilience/coping minus stress</t>
  </si>
  <si>
    <t>Ability to sustain effort</t>
  </si>
  <si>
    <t>Learning Fit</t>
  </si>
  <si>
    <t>Dominant learning preference</t>
  </si>
  <si>
    <t>Learning strategy clarity</t>
  </si>
  <si>
    <t>Career Readiness</t>
  </si>
  <si>
    <t>Clarity + interest + emotion</t>
  </si>
  <si>
    <t>Readiness for decision support</t>
  </si>
  <si>
    <t>Profile Element</t>
  </si>
  <si>
    <t>Result</t>
  </si>
  <si>
    <t>Top RIASEC Code</t>
  </si>
  <si>
    <t>Top Big Five Trait</t>
  </si>
  <si>
    <t>Dominant Learning Preference</t>
  </si>
  <si>
    <t>Primary Alert</t>
  </si>
  <si>
    <t>Low study consistency</t>
  </si>
  <si>
    <t>Counselor Focus</t>
  </si>
  <si>
    <t>Study routine and accountability</t>
  </si>
  <si>
    <t>Report_Summary</t>
  </si>
  <si>
    <t>NeuroPi Student Report Summary</t>
  </si>
  <si>
    <t>Auto-generated draft language</t>
  </si>
  <si>
    <t>Student Summary</t>
  </si>
  <si>
    <r>
      <rPr>
        <sz val="12"/>
        <color indexed="12"/>
        <rFont val="Aptos"/>
      </rPr>
      <t>This student shows Low cognitive readiness, Low emotional sustainability, and a dominant Visual learning preference. The strongest interest code is R.</t>
    </r>
  </si>
  <si>
    <t>Interest Interpretation</t>
  </si>
  <si>
    <r>
      <rPr>
        <sz val="12"/>
        <color indexed="12"/>
        <rFont val="Aptos"/>
      </rPr>
      <t>The primary RIASEC code is R. Use this as a directional signal for career exploration, not a fixed decision.</t>
    </r>
  </si>
  <si>
    <t>Personality Interpretation</t>
  </si>
  <si>
    <r>
      <rPr>
        <sz val="12"/>
        <color indexed="12"/>
        <rFont val="Aptos"/>
      </rPr>
      <t>The strongest Big Five trait is Openness. Interpret this with study habits, confidence and emotional profile.</t>
    </r>
  </si>
  <si>
    <t>Learning Recommendation</t>
  </si>
  <si>
    <r>
      <rPr>
        <sz val="12"/>
        <color indexed="12"/>
        <rFont val="Aptos"/>
      </rPr>
      <t>Prioritize Visual methods with structured practice and regular feedback.</t>
    </r>
  </si>
  <si>
    <t>Risk/Alert</t>
  </si>
  <si>
    <r>
      <rPr>
        <sz val="12"/>
        <color indexed="12"/>
        <rFont val="Aptos"/>
      </rPr>
      <t>Primary alert: Low study consistency. Counselor focus: Study routine and accountability.</t>
    </r>
  </si>
  <si>
    <t>Parent Guidance</t>
  </si>
  <si>
    <t>Encourage effort, avoid comparison, discuss future options calmly, and use the report as a growth roadmap rather than a label.</t>
  </si>
  <si>
    <t>Ethical Note</t>
  </si>
  <si>
    <t>This report is developmental and non-diagnostic. It should guide discussion, not replace professional evaluation where needed.</t>
  </si>
  <si>
    <t>Answer_Key</t>
  </si>
  <si>
    <t>Answer Key / Scoring Key</t>
  </si>
  <si>
    <t>Full key linked from the question bank</t>
  </si>
  <si>
    <r>
      <rPr>
        <b val="1"/>
        <sz val="12"/>
        <color indexed="12"/>
        <rFont val="Aptos"/>
      </rPr>
      <t>QID</t>
    </r>
  </si>
  <si>
    <r>
      <rPr>
        <b val="1"/>
        <sz val="12"/>
        <color indexed="12"/>
        <rFont val="Aptos"/>
      </rPr>
      <t>Domain</t>
    </r>
  </si>
  <si>
    <r>
      <rPr>
        <b val="1"/>
        <sz val="12"/>
        <color indexed="12"/>
        <rFont val="Aptos"/>
      </rPr>
      <t>Subdomain</t>
    </r>
  </si>
  <si>
    <r>
      <rPr>
        <b val="1"/>
        <sz val="12"/>
        <color indexed="12"/>
        <rFont val="Aptos"/>
      </rPr>
      <t>Question Type</t>
    </r>
  </si>
  <si>
    <r>
      <rPr>
        <b val="1"/>
        <sz val="12"/>
        <color indexed="12"/>
        <rFont val="Aptos"/>
      </rPr>
      <t>Correct/Key</t>
    </r>
  </si>
  <si>
    <r>
      <rPr>
        <b val="1"/>
        <sz val="12"/>
        <color indexed="12"/>
        <rFont val="Aptos"/>
      </rPr>
      <t>Reverse Scored</t>
    </r>
  </si>
  <si>
    <t>Direct: response score</t>
  </si>
  <si>
    <t>Reverse: 6-response</t>
  </si>
  <si>
    <t>Correct=1, Incorrect=0</t>
  </si>
  <si>
    <t>Administration_Guide</t>
  </si>
  <si>
    <t>Administration &amp; Interpretation Guide</t>
  </si>
  <si>
    <t>For NeuroPi counselors and schools</t>
  </si>
  <si>
    <t>Recommended grade group</t>
  </si>
  <si>
    <t>Grade 8–12. Use shorter deployment versions for school pilots and full bank for adaptive platform use.</t>
  </si>
  <si>
    <t>Minimum test set</t>
  </si>
  <si>
    <t>36 RIASEC + 40 Big Five + 20 Cognitive + 20 Emotional + 12 Learning/Study items.</t>
  </si>
  <si>
    <t>Scoring bands</t>
  </si>
  <si>
    <t>Low &lt;40%, Moderate 40–69%, High ≥70%. Interpret contextually.</t>
  </si>
  <si>
    <t>Answers: What do you like? Use top 2–3 codes for career cluster exploration.</t>
  </si>
  <si>
    <t>Answers: How do you behave? Use for study routine, collaboration, stress sensitivity and learning environment.</t>
  </si>
  <si>
    <t>Answers: What can you do? Use as readiness, not fixed ability label.</t>
  </si>
  <si>
    <t>Answers: Will you sustain it? Use for stress, confidence, resilience and coping support.</t>
  </si>
  <si>
    <t>Counseling caution</t>
  </si>
  <si>
    <t>Never say “you cannot do this career”. Say “this pathway may require these supports”.</t>
  </si>
  <si>
    <t>If validity/readiness is low, use interview follow-up or re-administer shorter form.</t>
  </si>
  <si>
    <t>Data privacy</t>
  </si>
  <si>
    <t>Collect consent and restrict access to reports.</t>
  </si>
  <si>
    <t>Short_Form_Blueprint</t>
  </si>
  <si>
    <t>Short Form / Adaptive Test Blueprint</t>
  </si>
  <si>
    <t>Suggested item counts for deployment</t>
  </si>
  <si>
    <t>Layer</t>
  </si>
  <si>
    <t>What it answers</t>
  </si>
  <si>
    <t>Recommended Items</t>
  </si>
  <si>
    <t>Use</t>
  </si>
  <si>
    <t>Notes</t>
  </si>
  <si>
    <t>What do you like?</t>
  </si>
  <si>
    <t>36–60</t>
  </si>
  <si>
    <t>Career interest mapping</t>
  </si>
  <si>
    <t>Balanced across R/I/A/S/E/C</t>
  </si>
  <si>
    <t>How do you behave?</t>
  </si>
  <si>
    <t>40–50</t>
  </si>
  <si>
    <t>Personality tendency</t>
  </si>
  <si>
    <t>Include reverse-coded items</t>
  </si>
  <si>
    <t>What can you do?</t>
  </si>
  <si>
    <t>20–30</t>
  </si>
  <si>
    <t>Reasoning profile</t>
  </si>
  <si>
    <t>Use mixed difficulty</t>
  </si>
  <si>
    <t>Will you sustain it?</t>
  </si>
  <si>
    <t>Stress, confidence, resilience, coping</t>
  </si>
  <si>
    <t>Use soft language</t>
  </si>
  <si>
    <t>How do you learn?</t>
  </si>
  <si>
    <t>12–20</t>
  </si>
  <si>
    <t>Study strategy</t>
  </si>
  <si>
    <t>Do not label as fixed style</t>
  </si>
  <si>
    <t>Motivation/Study Habits</t>
  </si>
  <si>
    <t>What support is needed?</t>
  </si>
  <si>
    <t>10–20</t>
  </si>
  <si>
    <t>Action planning</t>
  </si>
  <si>
    <t>Useful for interventions</t>
  </si>
  <si>
    <t>Are responses reliable?</t>
  </si>
  <si>
    <t>5–10</t>
  </si>
  <si>
    <t>Quality check</t>
  </si>
  <si>
    <t>Internal use</t>
  </si>
</sst>
</file>

<file path=xl/styles.xml><?xml version="1.0" encoding="utf-8"?>
<styleSheet xmlns="http://schemas.openxmlformats.org/spreadsheetml/2006/main">
  <numFmts count="2">
    <numFmt numFmtId="0" formatCode="General"/>
    <numFmt numFmtId="59" formatCode="0.0%"/>
  </numFmts>
  <fonts count="25">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4"/>
      <color indexed="12"/>
      <name val="Aptos Display"/>
    </font>
    <font>
      <sz val="10"/>
      <color indexed="8"/>
      <name val="Aptos"/>
    </font>
    <font>
      <i val="1"/>
      <sz val="12"/>
      <color indexed="12"/>
      <name val="Aptos"/>
    </font>
    <font>
      <sz val="12"/>
      <color indexed="12"/>
      <name val="Aptos"/>
    </font>
    <font>
      <b val="1"/>
      <sz val="12"/>
      <color indexed="12"/>
      <name val="Aptos"/>
    </font>
    <font>
      <b val="1"/>
      <sz val="12"/>
      <color indexed="12"/>
      <name val="Times New Roman"/>
    </font>
    <font>
      <sz val="12"/>
      <color indexed="12"/>
      <name val="Times New Roman"/>
    </font>
    <font>
      <b val="1"/>
      <sz val="14"/>
      <color indexed="12"/>
      <name val="Times New Roman"/>
    </font>
    <font>
      <sz val="14"/>
      <color indexed="12"/>
      <name val="Times New Roman"/>
    </font>
    <font>
      <i val="1"/>
      <sz val="13"/>
      <color indexed="12"/>
      <name val="Aptos"/>
    </font>
    <font>
      <b val="1"/>
      <sz val="13"/>
      <color indexed="12"/>
      <name val="Aptos"/>
    </font>
    <font>
      <b val="1"/>
      <sz val="14"/>
      <color indexed="12"/>
      <name val="Aptos"/>
    </font>
    <font>
      <sz val="13"/>
      <color indexed="12"/>
      <name val="Aptos"/>
    </font>
    <font>
      <b val="1"/>
      <sz val="12"/>
      <color indexed="12"/>
      <name val="Aptos Display"/>
    </font>
    <font>
      <b val="1"/>
      <sz val="12"/>
      <color indexed="15"/>
      <name val="Aptos"/>
    </font>
    <font>
      <sz val="11"/>
      <color indexed="8"/>
      <name val="Helvetica Neue"/>
    </font>
    <font>
      <sz val="10"/>
      <color indexed="8"/>
      <name val="Calibri"/>
    </font>
    <font>
      <sz val="18"/>
      <color indexed="8"/>
      <name val="Calibri"/>
    </font>
    <font>
      <b val="1"/>
      <sz val="18"/>
      <color indexed="8"/>
      <name val="Calibri"/>
    </font>
  </fonts>
  <fills count="1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5"/>
        <bgColor auto="1"/>
      </patternFill>
    </fill>
    <fill>
      <patternFill patternType="solid">
        <fgColor indexed="16"/>
        <bgColor auto="1"/>
      </patternFill>
    </fill>
    <fill>
      <patternFill patternType="solid">
        <fgColor indexed="19"/>
        <bgColor auto="1"/>
      </patternFill>
    </fill>
    <fill>
      <patternFill patternType="solid">
        <fgColor indexed="23"/>
        <bgColor auto="1"/>
      </patternFill>
    </fill>
    <fill>
      <patternFill patternType="solid">
        <fgColor indexed="24"/>
        <bgColor auto="1"/>
      </patternFill>
    </fill>
    <fill>
      <patternFill patternType="solid">
        <fgColor indexed="25"/>
        <bgColor auto="1"/>
      </patternFill>
    </fill>
    <fill>
      <patternFill patternType="solid">
        <fgColor indexed="26"/>
        <bgColor auto="1"/>
      </patternFill>
    </fill>
    <fill>
      <patternFill patternType="solid">
        <fgColor indexed="27"/>
        <bgColor auto="1"/>
      </patternFill>
    </fill>
    <fill>
      <patternFill patternType="solid">
        <fgColor indexed="28"/>
        <bgColor auto="1"/>
      </patternFill>
    </fill>
    <fill>
      <patternFill patternType="solid">
        <fgColor indexed="29"/>
        <bgColor auto="1"/>
      </patternFill>
    </fill>
    <fill>
      <patternFill patternType="solid">
        <fgColor indexed="30"/>
        <bgColor auto="1"/>
      </patternFill>
    </fill>
  </fills>
  <borders count="49">
    <border>
      <left/>
      <right/>
      <top/>
      <bottom/>
      <diagonal/>
    </border>
    <border>
      <left style="thin">
        <color indexed="14"/>
      </left>
      <right/>
      <top style="thin">
        <color indexed="14"/>
      </top>
      <bottom/>
      <diagonal/>
    </border>
    <border>
      <left/>
      <right/>
      <top style="thin">
        <color indexed="14"/>
      </top>
      <bottom/>
      <diagonal/>
    </border>
    <border>
      <left/>
      <right style="thin">
        <color indexed="14"/>
      </right>
      <top style="thin">
        <color indexed="14"/>
      </top>
      <bottom/>
      <diagonal/>
    </border>
    <border>
      <left style="thin">
        <color indexed="14"/>
      </left>
      <right/>
      <top/>
      <bottom/>
      <diagonal/>
    </border>
    <border>
      <left/>
      <right/>
      <top/>
      <bottom/>
      <diagonal/>
    </border>
    <border>
      <left/>
      <right style="thin">
        <color indexed="14"/>
      </right>
      <top/>
      <bottom/>
      <diagonal/>
    </border>
    <border>
      <left style="thin">
        <color indexed="14"/>
      </left>
      <right/>
      <top/>
      <bottom style="thin">
        <color indexed="17"/>
      </bottom>
      <diagonal/>
    </border>
    <border>
      <left/>
      <right/>
      <top/>
      <bottom style="thin">
        <color indexed="17"/>
      </bottom>
      <diagonal/>
    </border>
    <border>
      <left style="thin">
        <color indexed="17"/>
      </left>
      <right style="thin">
        <color indexed="18"/>
      </right>
      <top style="thin">
        <color indexed="17"/>
      </top>
      <bottom style="thin">
        <color indexed="18"/>
      </bottom>
      <diagonal/>
    </border>
    <border>
      <left style="thin">
        <color indexed="18"/>
      </left>
      <right style="thin">
        <color indexed="18"/>
      </right>
      <top style="thin">
        <color indexed="17"/>
      </top>
      <bottom style="thin">
        <color indexed="18"/>
      </bottom>
      <diagonal/>
    </border>
    <border>
      <left style="thin">
        <color indexed="18"/>
      </left>
      <right style="thin">
        <color indexed="17"/>
      </right>
      <top style="thin">
        <color indexed="17"/>
      </top>
      <bottom style="thin">
        <color indexed="18"/>
      </bottom>
      <diagonal/>
    </border>
    <border>
      <left style="thin">
        <color indexed="17"/>
      </left>
      <right/>
      <top/>
      <bottom/>
      <diagonal/>
    </border>
    <border>
      <left style="thin">
        <color indexed="17"/>
      </left>
      <right style="thin">
        <color indexed="18"/>
      </right>
      <top style="thin">
        <color indexed="18"/>
      </top>
      <bottom style="thin">
        <color indexed="18"/>
      </bottom>
      <diagonal/>
    </border>
    <border>
      <left style="thin">
        <color indexed="18"/>
      </left>
      <right style="thin">
        <color indexed="18"/>
      </right>
      <top style="thin">
        <color indexed="18"/>
      </top>
      <bottom style="thin">
        <color indexed="18"/>
      </bottom>
      <diagonal/>
    </border>
    <border>
      <left style="thin">
        <color indexed="18"/>
      </left>
      <right style="thin">
        <color indexed="17"/>
      </right>
      <top style="thin">
        <color indexed="18"/>
      </top>
      <bottom style="thin">
        <color indexed="18"/>
      </bottom>
      <diagonal/>
    </border>
    <border>
      <left style="thin">
        <color indexed="17"/>
      </left>
      <right style="thin">
        <color indexed="18"/>
      </right>
      <top style="thin">
        <color indexed="18"/>
      </top>
      <bottom style="thin">
        <color indexed="17"/>
      </bottom>
      <diagonal/>
    </border>
    <border>
      <left style="thin">
        <color indexed="18"/>
      </left>
      <right style="thin">
        <color indexed="18"/>
      </right>
      <top style="thin">
        <color indexed="18"/>
      </top>
      <bottom style="thin">
        <color indexed="17"/>
      </bottom>
      <diagonal/>
    </border>
    <border>
      <left style="thin">
        <color indexed="18"/>
      </left>
      <right style="thin">
        <color indexed="17"/>
      </right>
      <top style="thin">
        <color indexed="18"/>
      </top>
      <bottom style="thin">
        <color indexed="17"/>
      </bottom>
      <diagonal/>
    </border>
    <border>
      <left style="thin">
        <color indexed="14"/>
      </left>
      <right/>
      <top style="thin">
        <color indexed="17"/>
      </top>
      <bottom/>
      <diagonal/>
    </border>
    <border>
      <left/>
      <right/>
      <top style="thin">
        <color indexed="17"/>
      </top>
      <bottom/>
      <diagonal/>
    </border>
    <border>
      <left/>
      <right/>
      <top/>
      <bottom>
        <color indexed="8"/>
      </bottom>
      <diagonal/>
    </border>
    <border>
      <left style="thin">
        <color indexed="17"/>
      </left>
      <right>
        <color indexed="8"/>
      </right>
      <top>
        <color indexed="8"/>
      </top>
      <bottom>
        <color indexed="8"/>
      </bottom>
      <diagonal/>
    </border>
    <border>
      <left>
        <color indexed="8"/>
      </left>
      <right>
        <color indexed="8"/>
      </right>
      <top>
        <color indexed="8"/>
      </top>
      <bottom>
        <color indexed="8"/>
      </bottom>
      <diagonal/>
    </border>
    <border>
      <left>
        <color indexed="8"/>
      </left>
      <right/>
      <top/>
      <bottom/>
      <diagonal/>
    </border>
    <border>
      <left style="thin">
        <color indexed="14"/>
      </left>
      <right/>
      <top style="thin">
        <color indexed="17"/>
      </top>
      <bottom style="thin">
        <color indexed="14"/>
      </bottom>
      <diagonal/>
    </border>
    <border>
      <left/>
      <right/>
      <top style="thin">
        <color indexed="17"/>
      </top>
      <bottom style="thin">
        <color indexed="14"/>
      </bottom>
      <diagonal/>
    </border>
    <border>
      <left/>
      <right/>
      <top>
        <color indexed="8"/>
      </top>
      <bottom style="thin">
        <color indexed="14"/>
      </bottom>
      <diagonal/>
    </border>
    <border>
      <left/>
      <right/>
      <top/>
      <bottom style="thin">
        <color indexed="14"/>
      </bottom>
      <diagonal/>
    </border>
    <border>
      <left/>
      <right style="thin">
        <color indexed="14"/>
      </right>
      <top/>
      <bottom style="thin">
        <color indexed="14"/>
      </bottom>
      <diagonal/>
    </border>
    <border>
      <left style="thin">
        <color indexed="14"/>
      </left>
      <right/>
      <top/>
      <bottom style="medium">
        <color indexed="20"/>
      </bottom>
      <diagonal/>
    </border>
    <border>
      <left/>
      <right/>
      <top/>
      <bottom style="medium">
        <color indexed="20"/>
      </bottom>
      <diagonal/>
    </border>
    <border>
      <left/>
      <right style="thin">
        <color indexed="14"/>
      </right>
      <top/>
      <bottom style="medium">
        <color indexed="20"/>
      </bottom>
      <diagonal/>
    </border>
    <border>
      <left style="thin">
        <color indexed="14"/>
      </left>
      <right/>
      <top style="medium">
        <color indexed="20"/>
      </top>
      <bottom style="medium">
        <color indexed="21"/>
      </bottom>
      <diagonal/>
    </border>
    <border>
      <left/>
      <right/>
      <top style="medium">
        <color indexed="20"/>
      </top>
      <bottom style="medium">
        <color indexed="21"/>
      </bottom>
      <diagonal/>
    </border>
    <border>
      <left/>
      <right style="thin">
        <color indexed="14"/>
      </right>
      <top style="medium">
        <color indexed="20"/>
      </top>
      <bottom style="medium">
        <color indexed="21"/>
      </bottom>
      <diagonal/>
    </border>
    <border>
      <left style="thin">
        <color indexed="14"/>
      </left>
      <right/>
      <top style="medium">
        <color indexed="21"/>
      </top>
      <bottom/>
      <diagonal/>
    </border>
    <border>
      <left/>
      <right/>
      <top style="medium">
        <color indexed="21"/>
      </top>
      <bottom/>
      <diagonal/>
    </border>
    <border>
      <left/>
      <right style="thin">
        <color indexed="14"/>
      </right>
      <top style="medium">
        <color indexed="21"/>
      </top>
      <bottom/>
      <diagonal/>
    </border>
    <border>
      <left style="thin">
        <color indexed="14"/>
      </left>
      <right/>
      <top/>
      <bottom style="thin">
        <color indexed="14"/>
      </bottom>
      <diagonal/>
    </border>
    <border>
      <left style="thin">
        <color indexed="14"/>
      </left>
      <right/>
      <top style="medium">
        <color indexed="20"/>
      </top>
      <bottom style="thin">
        <color indexed="22"/>
      </bottom>
      <diagonal/>
    </border>
    <border>
      <left/>
      <right/>
      <top style="medium">
        <color indexed="20"/>
      </top>
      <bottom style="thin">
        <color indexed="22"/>
      </bottom>
      <diagonal/>
    </border>
    <border>
      <left/>
      <right style="thin">
        <color indexed="14"/>
      </right>
      <top style="medium">
        <color indexed="20"/>
      </top>
      <bottom style="thin">
        <color indexed="22"/>
      </bottom>
      <diagonal/>
    </border>
    <border>
      <left style="thin">
        <color indexed="14"/>
      </left>
      <right/>
      <top style="thin">
        <color indexed="22"/>
      </top>
      <bottom style="thin">
        <color indexed="22"/>
      </bottom>
      <diagonal/>
    </border>
    <border>
      <left/>
      <right/>
      <top style="thin">
        <color indexed="22"/>
      </top>
      <bottom style="thin">
        <color indexed="22"/>
      </bottom>
      <diagonal/>
    </border>
    <border>
      <left/>
      <right style="thin">
        <color indexed="14"/>
      </right>
      <top style="thin">
        <color indexed="22"/>
      </top>
      <bottom style="thin">
        <color indexed="22"/>
      </bottom>
      <diagonal/>
    </border>
    <border>
      <left style="thin">
        <color indexed="14"/>
      </left>
      <right/>
      <top style="medium">
        <color indexed="20"/>
      </top>
      <bottom/>
      <diagonal/>
    </border>
    <border>
      <left/>
      <right/>
      <top style="medium">
        <color indexed="20"/>
      </top>
      <bottom/>
      <diagonal/>
    </border>
    <border>
      <left/>
      <right style="thin">
        <color indexed="14"/>
      </right>
      <top style="medium">
        <color indexed="20"/>
      </top>
      <bottom/>
      <diagonal/>
    </border>
  </borders>
  <cellStyleXfs count="1">
    <xf numFmtId="0" fontId="0" applyNumberFormat="0" applyFont="1" applyFill="0" applyBorder="0" applyAlignment="1" applyProtection="0">
      <alignment vertical="bottom"/>
    </xf>
  </cellStyleXfs>
  <cellXfs count="178">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top"/>
    </xf>
    <xf numFmtId="0" fontId="7" fillId="5" borderId="2" applyNumberFormat="0" applyFont="1" applyFill="1" applyBorder="1" applyAlignment="1" applyProtection="0">
      <alignment vertical="top"/>
    </xf>
    <xf numFmtId="0" fontId="7" fillId="5" borderId="3" applyNumberFormat="0" applyFont="1" applyFill="1" applyBorder="1" applyAlignment="1" applyProtection="0">
      <alignment vertical="top"/>
    </xf>
    <xf numFmtId="0" fontId="8" fillId="5" borderId="4" applyNumberFormat="0" applyFont="1" applyFill="1" applyBorder="1" applyAlignment="1" applyProtection="0">
      <alignment horizontal="center" vertical="top"/>
    </xf>
    <xf numFmtId="0" fontId="7" fillId="5" borderId="5" applyNumberFormat="0" applyFont="1" applyFill="1" applyBorder="1" applyAlignment="1" applyProtection="0">
      <alignment vertical="top"/>
    </xf>
    <xf numFmtId="0" fontId="7" fillId="5" borderId="6" applyNumberFormat="0" applyFont="1" applyFill="1" applyBorder="1" applyAlignment="1" applyProtection="0">
      <alignment vertical="top"/>
    </xf>
    <xf numFmtId="0" fontId="9" fillId="5" borderId="4" applyNumberFormat="0" applyFont="1" applyFill="1" applyBorder="1" applyAlignment="1" applyProtection="0">
      <alignment vertical="top"/>
    </xf>
    <xf numFmtId="0" fontId="9" fillId="5" borderId="5" applyNumberFormat="0" applyFont="1" applyFill="1" applyBorder="1" applyAlignment="1" applyProtection="0">
      <alignment vertical="top"/>
    </xf>
    <xf numFmtId="0" fontId="9" fillId="5" borderId="6" applyNumberFormat="0" applyFont="1" applyFill="1" applyBorder="1" applyAlignment="1" applyProtection="0">
      <alignment vertical="top"/>
    </xf>
    <xf numFmtId="49" fontId="10" fillId="6" borderId="4" applyNumberFormat="1" applyFont="1" applyFill="1" applyBorder="1" applyAlignment="1" applyProtection="0">
      <alignment vertical="top"/>
    </xf>
    <xf numFmtId="49" fontId="9" fillId="5" borderId="5" applyNumberFormat="1" applyFont="1" applyFill="1" applyBorder="1" applyAlignment="1" applyProtection="0">
      <alignment vertical="top" wrapText="1"/>
    </xf>
    <xf numFmtId="0" fontId="11" borderId="4" applyNumberFormat="0" applyFont="1" applyFill="0" applyBorder="1" applyAlignment="1" applyProtection="0">
      <alignment horizontal="left" vertical="center" wrapText="1"/>
    </xf>
    <xf numFmtId="0" fontId="0" borderId="5" applyNumberFormat="0" applyFont="1" applyFill="0" applyBorder="1" applyAlignment="1" applyProtection="0">
      <alignment vertical="bottom"/>
    </xf>
    <xf numFmtId="0" fontId="12" borderId="6" applyNumberFormat="0" applyFont="1" applyFill="0" applyBorder="1" applyAlignment="1" applyProtection="0">
      <alignment vertical="bottom"/>
    </xf>
    <xf numFmtId="49" fontId="13" borderId="4" applyNumberFormat="1" applyFont="1" applyFill="0" applyBorder="1" applyAlignment="1" applyProtection="0">
      <alignment horizontal="left" vertical="center" wrapText="1"/>
    </xf>
    <xf numFmtId="0" fontId="14" borderId="6" applyNumberFormat="0" applyFont="1" applyFill="0" applyBorder="1" applyAlignment="1" applyProtection="0">
      <alignment vertical="bottom"/>
    </xf>
    <xf numFmtId="49" fontId="12" borderId="4" applyNumberFormat="1" applyFont="1" applyFill="0" applyBorder="1" applyAlignment="1" applyProtection="0">
      <alignment vertical="bottom"/>
    </xf>
    <xf numFmtId="0" fontId="0" borderId="6" applyNumberFormat="0" applyFont="1" applyFill="0" applyBorder="1" applyAlignment="1" applyProtection="0">
      <alignment vertical="bottom"/>
    </xf>
    <xf numFmtId="0" fontId="0" borderId="4" applyNumberFormat="0" applyFont="1" applyFill="0" applyBorder="1" applyAlignment="1" applyProtection="0">
      <alignment vertical="bottom"/>
    </xf>
    <xf numFmtId="0" fontId="12" borderId="5" applyNumberFormat="0" applyFont="1" applyFill="0" applyBorder="1" applyAlignment="1" applyProtection="0">
      <alignment vertical="bottom"/>
    </xf>
    <xf numFmtId="0" fontId="12" borderId="4" applyNumberFormat="0" applyFont="1" applyFill="0" applyBorder="1" applyAlignment="1" applyProtection="0">
      <alignment vertical="bottom"/>
    </xf>
    <xf numFmtId="49" fontId="13" borderId="7" applyNumberFormat="1" applyFont="1" applyFill="0" applyBorder="1" applyAlignment="1" applyProtection="0">
      <alignment vertical="bottom"/>
    </xf>
    <xf numFmtId="0" fontId="12" borderId="8" applyNumberFormat="0" applyFont="1" applyFill="0" applyBorder="1" applyAlignment="1" applyProtection="0">
      <alignment vertical="bottom"/>
    </xf>
    <xf numFmtId="49" fontId="11" borderId="9" applyNumberFormat="1" applyFont="1" applyFill="0" applyBorder="1" applyAlignment="1" applyProtection="0">
      <alignment vertical="center"/>
    </xf>
    <xf numFmtId="49" fontId="12" borderId="10" applyNumberFormat="1" applyFont="1" applyFill="0" applyBorder="1" applyAlignment="1" applyProtection="0">
      <alignment vertical="center"/>
    </xf>
    <xf numFmtId="49" fontId="12" borderId="10" applyNumberFormat="1" applyFont="1" applyFill="0" applyBorder="1" applyAlignment="1" applyProtection="0">
      <alignment vertical="center" wrapText="1"/>
    </xf>
    <xf numFmtId="49" fontId="12" borderId="11" applyNumberFormat="1" applyFont="1" applyFill="0" applyBorder="1" applyAlignment="1" applyProtection="0">
      <alignment vertical="center"/>
    </xf>
    <xf numFmtId="49" fontId="12" borderId="11" applyNumberFormat="1" applyFont="1" applyFill="0" applyBorder="1" applyAlignment="1" applyProtection="0">
      <alignment vertical="center" wrapText="1"/>
    </xf>
    <xf numFmtId="0" fontId="12" borderId="12" applyNumberFormat="0" applyFont="1" applyFill="0" applyBorder="1" applyAlignment="1" applyProtection="0">
      <alignment vertical="bottom"/>
    </xf>
    <xf numFmtId="49" fontId="11" borderId="13" applyNumberFormat="1" applyFont="1" applyFill="0" applyBorder="1" applyAlignment="1" applyProtection="0">
      <alignment vertical="center"/>
    </xf>
    <xf numFmtId="49" fontId="12" borderId="14" applyNumberFormat="1" applyFont="1" applyFill="0" applyBorder="1" applyAlignment="1" applyProtection="0">
      <alignment vertical="center"/>
    </xf>
    <xf numFmtId="49" fontId="12" borderId="14" applyNumberFormat="1" applyFont="1" applyFill="0" applyBorder="1" applyAlignment="1" applyProtection="0">
      <alignment vertical="center" wrapText="1"/>
    </xf>
    <xf numFmtId="49" fontId="12" borderId="15" applyNumberFormat="1" applyFont="1" applyFill="0" applyBorder="1" applyAlignment="1" applyProtection="0">
      <alignment vertical="center"/>
    </xf>
    <xf numFmtId="49" fontId="12" borderId="15" applyNumberFormat="1" applyFont="1" applyFill="0" applyBorder="1" applyAlignment="1" applyProtection="0">
      <alignment vertical="center" wrapText="1"/>
    </xf>
    <xf numFmtId="49" fontId="11" borderId="16" applyNumberFormat="1" applyFont="1" applyFill="0" applyBorder="1" applyAlignment="1" applyProtection="0">
      <alignment vertical="center"/>
    </xf>
    <xf numFmtId="49" fontId="12" borderId="17" applyNumberFormat="1" applyFont="1" applyFill="0" applyBorder="1" applyAlignment="1" applyProtection="0">
      <alignment vertical="center"/>
    </xf>
    <xf numFmtId="49" fontId="12" borderId="17" applyNumberFormat="1" applyFont="1" applyFill="0" applyBorder="1" applyAlignment="1" applyProtection="0">
      <alignment vertical="center" wrapText="1"/>
    </xf>
    <xf numFmtId="49" fontId="12" borderId="18" applyNumberFormat="1" applyFont="1" applyFill="0" applyBorder="1" applyAlignment="1" applyProtection="0">
      <alignment vertical="center"/>
    </xf>
    <xf numFmtId="49" fontId="12" borderId="18" applyNumberFormat="1" applyFont="1" applyFill="0" applyBorder="1" applyAlignment="1" applyProtection="0">
      <alignment vertical="center" wrapText="1"/>
    </xf>
    <xf numFmtId="0" fontId="12" borderId="19" applyNumberFormat="0" applyFont="1" applyFill="0" applyBorder="1" applyAlignment="1" applyProtection="0">
      <alignment vertical="bottom"/>
    </xf>
    <xf numFmtId="0" fontId="12" borderId="20" applyNumberFormat="0" applyFont="1" applyFill="0" applyBorder="1" applyAlignment="1" applyProtection="0">
      <alignment vertical="bottom"/>
    </xf>
    <xf numFmtId="49" fontId="14" borderId="7" applyNumberFormat="1" applyFont="1" applyFill="0" applyBorder="1" applyAlignment="1" applyProtection="0">
      <alignment vertical="bottom"/>
    </xf>
    <xf numFmtId="0" fontId="12" borderId="21" applyNumberFormat="0" applyFont="1" applyFill="0" applyBorder="1" applyAlignment="1" applyProtection="0">
      <alignment vertical="bottom"/>
    </xf>
    <xf numFmtId="49" fontId="11" borderId="9" applyNumberFormat="1" applyFont="1" applyFill="0" applyBorder="1" applyAlignment="1" applyProtection="0">
      <alignment vertical="center" wrapText="1"/>
    </xf>
    <xf numFmtId="0" fontId="12" borderId="22" applyNumberFormat="0" applyFont="1" applyFill="0" applyBorder="1" applyAlignment="1" applyProtection="0">
      <alignment vertical="bottom" wrapText="1"/>
    </xf>
    <xf numFmtId="0" fontId="12" borderId="23" applyNumberFormat="0" applyFont="1" applyFill="0" applyBorder="1" applyAlignment="1" applyProtection="0">
      <alignment vertical="bottom" wrapText="1"/>
    </xf>
    <xf numFmtId="0" fontId="12" borderId="24" applyNumberFormat="0" applyFont="1" applyFill="0" applyBorder="1" applyAlignment="1" applyProtection="0">
      <alignment vertical="bottom"/>
    </xf>
    <xf numFmtId="49" fontId="11" borderId="13" applyNumberFormat="1" applyFont="1" applyFill="0" applyBorder="1" applyAlignment="1" applyProtection="0">
      <alignment vertical="center" wrapText="1"/>
    </xf>
    <xf numFmtId="49" fontId="12" borderId="13" applyNumberFormat="1" applyFont="1" applyFill="0" applyBorder="1" applyAlignment="1" applyProtection="0">
      <alignment vertical="center" wrapText="1"/>
    </xf>
    <xf numFmtId="49" fontId="12" borderId="16" applyNumberFormat="1" applyFont="1" applyFill="0" applyBorder="1" applyAlignment="1" applyProtection="0">
      <alignment vertical="center" wrapText="1"/>
    </xf>
    <xf numFmtId="0" fontId="12" borderId="25" applyNumberFormat="0" applyFont="1" applyFill="0" applyBorder="1" applyAlignment="1" applyProtection="0">
      <alignment vertical="bottom"/>
    </xf>
    <xf numFmtId="0" fontId="12" borderId="26" applyNumberFormat="0" applyFont="1" applyFill="0" applyBorder="1" applyAlignment="1" applyProtection="0">
      <alignment vertical="bottom"/>
    </xf>
    <xf numFmtId="0" fontId="12" borderId="27" applyNumberFormat="0" applyFont="1" applyFill="0" applyBorder="1" applyAlignment="1" applyProtection="0">
      <alignment vertical="bottom"/>
    </xf>
    <xf numFmtId="0" fontId="12" borderId="28" applyNumberFormat="0" applyFont="1" applyFill="0" applyBorder="1" applyAlignment="1" applyProtection="0">
      <alignment vertical="bottom"/>
    </xf>
    <xf numFmtId="0" fontId="12" borderId="29" applyNumberFormat="0" applyFont="1" applyFill="0" applyBorder="1" applyAlignment="1" applyProtection="0">
      <alignment vertical="bottom"/>
    </xf>
    <xf numFmtId="0" fontId="0" applyNumberFormat="1" applyFont="1" applyFill="0" applyBorder="0" applyAlignment="1" applyProtection="0">
      <alignment vertical="bottom"/>
    </xf>
    <xf numFmtId="49" fontId="15" fillId="5" borderId="4" applyNumberFormat="1" applyFont="1" applyFill="1" applyBorder="1" applyAlignment="1" applyProtection="0">
      <alignment horizontal="center" vertical="top"/>
    </xf>
    <xf numFmtId="0" fontId="16" fillId="7" borderId="30" applyNumberFormat="0" applyFont="1" applyFill="1" applyBorder="1" applyAlignment="1" applyProtection="0">
      <alignment horizontal="center" vertical="top" wrapText="1"/>
    </xf>
    <xf numFmtId="0" fontId="16" fillId="7" borderId="31" applyNumberFormat="0" applyFont="1" applyFill="1" applyBorder="1" applyAlignment="1" applyProtection="0">
      <alignment horizontal="center" vertical="top" wrapText="1"/>
    </xf>
    <xf numFmtId="0" fontId="16" fillId="7" borderId="32" applyNumberFormat="0" applyFont="1" applyFill="1" applyBorder="1" applyAlignment="1" applyProtection="0">
      <alignment horizontal="center" vertical="top" wrapText="1"/>
    </xf>
    <xf numFmtId="49" fontId="17" fillId="5" borderId="33" applyNumberFormat="1" applyFont="1" applyFill="1" applyBorder="1" applyAlignment="1" applyProtection="0">
      <alignment vertical="top" wrapText="1"/>
    </xf>
    <xf numFmtId="49" fontId="17" fillId="5" borderId="34" applyNumberFormat="1" applyFont="1" applyFill="1" applyBorder="1" applyAlignment="1" applyProtection="0">
      <alignment vertical="top" wrapText="1"/>
    </xf>
    <xf numFmtId="0" fontId="17" fillId="5" borderId="34" applyNumberFormat="0" applyFont="1" applyFill="1" applyBorder="1" applyAlignment="1" applyProtection="0">
      <alignment vertical="top" wrapText="1"/>
    </xf>
    <xf numFmtId="0" fontId="17" fillId="5" borderId="35" applyNumberFormat="0" applyFont="1" applyFill="1" applyBorder="1" applyAlignment="1" applyProtection="0">
      <alignment vertical="top" wrapText="1"/>
    </xf>
    <xf numFmtId="49" fontId="18" fillId="5" borderId="36" applyNumberFormat="1" applyFont="1" applyFill="1" applyBorder="1" applyAlignment="1" applyProtection="0">
      <alignment vertical="top" wrapText="1"/>
    </xf>
    <xf numFmtId="49" fontId="18" fillId="5" borderId="37" applyNumberFormat="1" applyFont="1" applyFill="1" applyBorder="1" applyAlignment="1" applyProtection="0">
      <alignment vertical="top" wrapText="1"/>
    </xf>
    <xf numFmtId="0" fontId="18" fillId="5" borderId="37" applyNumberFormat="0" applyFont="1" applyFill="1" applyBorder="1" applyAlignment="1" applyProtection="0">
      <alignment vertical="top" wrapText="1"/>
    </xf>
    <xf numFmtId="0" fontId="18" fillId="5" borderId="38" applyNumberFormat="0" applyFont="1" applyFill="1" applyBorder="1" applyAlignment="1" applyProtection="0">
      <alignment vertical="top" wrapText="1"/>
    </xf>
    <xf numFmtId="49" fontId="18" fillId="5" borderId="4" applyNumberFormat="1" applyFont="1" applyFill="1" applyBorder="1" applyAlignment="1" applyProtection="0">
      <alignment vertical="top" wrapText="1"/>
    </xf>
    <xf numFmtId="49" fontId="18" fillId="5" borderId="5" applyNumberFormat="1" applyFont="1" applyFill="1" applyBorder="1" applyAlignment="1" applyProtection="0">
      <alignment vertical="top" wrapText="1"/>
    </xf>
    <xf numFmtId="0" fontId="18" fillId="5" borderId="5" applyNumberFormat="0" applyFont="1" applyFill="1" applyBorder="1" applyAlignment="1" applyProtection="0">
      <alignment vertical="top" wrapText="1"/>
    </xf>
    <xf numFmtId="0" fontId="18" fillId="5" borderId="6" applyNumberFormat="0" applyFont="1" applyFill="1" applyBorder="1" applyAlignment="1" applyProtection="0">
      <alignment vertical="top" wrapText="1"/>
    </xf>
    <xf numFmtId="49" fontId="18" fillId="5" borderId="39" applyNumberFormat="1" applyFont="1" applyFill="1" applyBorder="1" applyAlignment="1" applyProtection="0">
      <alignment vertical="top" wrapText="1"/>
    </xf>
    <xf numFmtId="49" fontId="18" fillId="5" borderId="28" applyNumberFormat="1" applyFont="1" applyFill="1" applyBorder="1" applyAlignment="1" applyProtection="0">
      <alignment vertical="top" wrapText="1"/>
    </xf>
    <xf numFmtId="0" fontId="18" fillId="5" borderId="28" applyNumberFormat="0" applyFont="1" applyFill="1" applyBorder="1" applyAlignment="1" applyProtection="0">
      <alignment vertical="top" wrapText="1"/>
    </xf>
    <xf numFmtId="0" fontId="18" fillId="5" borderId="29" applyNumberFormat="0" applyFont="1" applyFill="1" applyBorder="1" applyAlignment="1" applyProtection="0">
      <alignment vertical="top" wrapText="1"/>
    </xf>
    <xf numFmtId="0" fontId="0" applyNumberFormat="1" applyFont="1" applyFill="0" applyBorder="0" applyAlignment="1" applyProtection="0">
      <alignment vertical="bottom"/>
    </xf>
    <xf numFmtId="49" fontId="19" fillId="4" borderId="1" applyNumberFormat="1" applyFont="1" applyFill="1" applyBorder="1" applyAlignment="1" applyProtection="0">
      <alignment horizontal="center" vertical="top"/>
    </xf>
    <xf numFmtId="0" fontId="9" fillId="5" borderId="2" applyNumberFormat="0" applyFont="1" applyFill="1" applyBorder="1" applyAlignment="1" applyProtection="0">
      <alignment vertical="top"/>
    </xf>
    <xf numFmtId="0" fontId="9" fillId="5" borderId="3" applyNumberFormat="0" applyFont="1" applyFill="1" applyBorder="1" applyAlignment="1" applyProtection="0">
      <alignment vertical="top"/>
    </xf>
    <xf numFmtId="49" fontId="8" fillId="5" borderId="4" applyNumberFormat="1" applyFont="1" applyFill="1" applyBorder="1" applyAlignment="1" applyProtection="0">
      <alignment horizontal="center" vertical="top"/>
    </xf>
    <xf numFmtId="0" fontId="10" fillId="7" borderId="30" applyNumberFormat="0" applyFont="1" applyFill="1" applyBorder="1" applyAlignment="1" applyProtection="0">
      <alignment horizontal="center" vertical="top" wrapText="1"/>
    </xf>
    <xf numFmtId="0" fontId="10" fillId="7" borderId="31" applyNumberFormat="0" applyFont="1" applyFill="1" applyBorder="1" applyAlignment="1" applyProtection="0">
      <alignment horizontal="center" vertical="top" wrapText="1"/>
    </xf>
    <xf numFmtId="0" fontId="10" fillId="7" borderId="32" applyNumberFormat="0" applyFont="1" applyFill="1" applyBorder="1" applyAlignment="1" applyProtection="0">
      <alignment horizontal="center" vertical="top" wrapText="1"/>
    </xf>
    <xf numFmtId="49" fontId="10" fillId="5" borderId="40" applyNumberFormat="1" applyFont="1" applyFill="1" applyBorder="1" applyAlignment="1" applyProtection="0">
      <alignment vertical="top" wrapText="1"/>
    </xf>
    <xf numFmtId="49" fontId="10" fillId="5" borderId="41" applyNumberFormat="1" applyFont="1" applyFill="1" applyBorder="1" applyAlignment="1" applyProtection="0">
      <alignment vertical="top" wrapText="1"/>
    </xf>
    <xf numFmtId="49" fontId="10" fillId="5" borderId="42" applyNumberFormat="1" applyFont="1" applyFill="1" applyBorder="1" applyAlignment="1" applyProtection="0">
      <alignment vertical="top" wrapText="1"/>
    </xf>
    <xf numFmtId="49" fontId="9" fillId="8" borderId="43" applyNumberFormat="1" applyFont="1" applyFill="1" applyBorder="1" applyAlignment="1" applyProtection="0">
      <alignment vertical="top" wrapText="1"/>
    </xf>
    <xf numFmtId="49" fontId="9" fillId="8" borderId="44" applyNumberFormat="1" applyFont="1" applyFill="1" applyBorder="1" applyAlignment="1" applyProtection="0">
      <alignment vertical="top" wrapText="1"/>
    </xf>
    <xf numFmtId="49" fontId="9" fillId="5" borderId="44" applyNumberFormat="1" applyFont="1" applyFill="1" applyBorder="1" applyAlignment="1" applyProtection="0">
      <alignment vertical="top" wrapText="1"/>
    </xf>
    <xf numFmtId="0" fontId="9" fillId="5" borderId="44" applyNumberFormat="0" applyFont="1" applyFill="1" applyBorder="1" applyAlignment="1" applyProtection="0">
      <alignment vertical="top" wrapText="1"/>
    </xf>
    <xf numFmtId="49" fontId="9" fillId="5" borderId="45" applyNumberFormat="1" applyFont="1" applyFill="1" applyBorder="1" applyAlignment="1" applyProtection="0">
      <alignment vertical="top" wrapText="1"/>
    </xf>
    <xf numFmtId="49" fontId="9" fillId="9" borderId="43" applyNumberFormat="1" applyFont="1" applyFill="1" applyBorder="1" applyAlignment="1" applyProtection="0">
      <alignment vertical="top" wrapText="1"/>
    </xf>
    <xf numFmtId="49" fontId="9" fillId="9" borderId="44" applyNumberFormat="1" applyFont="1" applyFill="1" applyBorder="1" applyAlignment="1" applyProtection="0">
      <alignment vertical="top" wrapText="1"/>
    </xf>
    <xf numFmtId="49" fontId="9" fillId="10" borderId="43" applyNumberFormat="1" applyFont="1" applyFill="1" applyBorder="1" applyAlignment="1" applyProtection="0">
      <alignment vertical="top" wrapText="1"/>
    </xf>
    <xf numFmtId="49" fontId="9" fillId="10" borderId="44" applyNumberFormat="1" applyFont="1" applyFill="1" applyBorder="1" applyAlignment="1" applyProtection="0">
      <alignment vertical="top" wrapText="1"/>
    </xf>
    <xf numFmtId="49" fontId="9" fillId="11" borderId="43" applyNumberFormat="1" applyFont="1" applyFill="1" applyBorder="1" applyAlignment="1" applyProtection="0">
      <alignment vertical="top" wrapText="1"/>
    </xf>
    <xf numFmtId="49" fontId="9" fillId="11" borderId="44" applyNumberFormat="1" applyFont="1" applyFill="1" applyBorder="1" applyAlignment="1" applyProtection="0">
      <alignment vertical="top" wrapText="1"/>
    </xf>
    <xf numFmtId="49" fontId="9" fillId="12" borderId="43" applyNumberFormat="1" applyFont="1" applyFill="1" applyBorder="1" applyAlignment="1" applyProtection="0">
      <alignment vertical="top" wrapText="1"/>
    </xf>
    <xf numFmtId="49" fontId="9" fillId="12" borderId="44" applyNumberFormat="1" applyFont="1" applyFill="1" applyBorder="1" applyAlignment="1" applyProtection="0">
      <alignment vertical="top" wrapText="1"/>
    </xf>
    <xf numFmtId="49" fontId="9" fillId="13" borderId="43" applyNumberFormat="1" applyFont="1" applyFill="1" applyBorder="1" applyAlignment="1" applyProtection="0">
      <alignment vertical="top" wrapText="1"/>
    </xf>
    <xf numFmtId="49" fontId="9" fillId="13" borderId="44" applyNumberFormat="1" applyFont="1" applyFill="1" applyBorder="1" applyAlignment="1" applyProtection="0">
      <alignment vertical="top" wrapText="1"/>
    </xf>
    <xf numFmtId="49" fontId="9" fillId="14" borderId="43" applyNumberFormat="1" applyFont="1" applyFill="1" applyBorder="1" applyAlignment="1" applyProtection="0">
      <alignment vertical="top" wrapText="1"/>
    </xf>
    <xf numFmtId="49" fontId="9" fillId="14" borderId="44" applyNumberFormat="1" applyFont="1" applyFill="1" applyBorder="1" applyAlignment="1" applyProtection="0">
      <alignment vertical="top" wrapText="1"/>
    </xf>
    <xf numFmtId="0" fontId="0" applyNumberFormat="1" applyFont="1" applyFill="0" applyBorder="0" applyAlignment="1" applyProtection="0">
      <alignment vertical="bottom"/>
    </xf>
    <xf numFmtId="0" fontId="9" fillId="5" borderId="7" applyNumberFormat="0" applyFont="1" applyFill="1" applyBorder="1" applyAlignment="1" applyProtection="0">
      <alignment vertical="top"/>
    </xf>
    <xf numFmtId="0" fontId="9" fillId="5" borderId="8" applyNumberFormat="0" applyFont="1" applyFill="1" applyBorder="1" applyAlignment="1" applyProtection="0">
      <alignment vertical="top"/>
    </xf>
    <xf numFmtId="49" fontId="10" fillId="15" borderId="9" applyNumberFormat="1" applyFont="1" applyFill="1" applyBorder="1" applyAlignment="1" applyProtection="0">
      <alignment vertical="top" wrapText="1"/>
    </xf>
    <xf numFmtId="0" fontId="9" fillId="10" borderId="11" applyNumberFormat="0" applyFont="1" applyFill="1" applyBorder="1" applyAlignment="1" applyProtection="0">
      <alignment vertical="top"/>
    </xf>
    <xf numFmtId="0" fontId="9" fillId="5" borderId="12" applyNumberFormat="0" applyFont="1" applyFill="1" applyBorder="1" applyAlignment="1" applyProtection="0">
      <alignment vertical="top"/>
    </xf>
    <xf numFmtId="49" fontId="10" fillId="15" borderId="13" applyNumberFormat="1" applyFont="1" applyFill="1" applyBorder="1" applyAlignment="1" applyProtection="0">
      <alignment vertical="top" wrapText="1"/>
    </xf>
    <xf numFmtId="0" fontId="9" fillId="10" borderId="15" applyNumberFormat="0" applyFont="1" applyFill="1" applyBorder="1" applyAlignment="1" applyProtection="0">
      <alignment vertical="top"/>
    </xf>
    <xf numFmtId="49" fontId="10" fillId="15" borderId="16" applyNumberFormat="1" applyFont="1" applyFill="1" applyBorder="1" applyAlignment="1" applyProtection="0">
      <alignment vertical="top" wrapText="1"/>
    </xf>
    <xf numFmtId="0" fontId="9" fillId="10" borderId="18" applyNumberFormat="0" applyFont="1" applyFill="1" applyBorder="1" applyAlignment="1" applyProtection="0">
      <alignment vertical="top"/>
    </xf>
    <xf numFmtId="0" fontId="9" fillId="5" borderId="19" applyNumberFormat="0" applyFont="1" applyFill="1" applyBorder="1" applyAlignment="1" applyProtection="0">
      <alignment vertical="top"/>
    </xf>
    <xf numFmtId="0" fontId="9" fillId="5" borderId="20" applyNumberFormat="0" applyFont="1" applyFill="1" applyBorder="1" applyAlignment="1" applyProtection="0">
      <alignment vertical="top"/>
    </xf>
    <xf numFmtId="49" fontId="20" fillId="7" borderId="30" applyNumberFormat="1" applyFont="1" applyFill="1" applyBorder="1" applyAlignment="1" applyProtection="0">
      <alignment horizontal="center" vertical="top" wrapText="1"/>
    </xf>
    <xf numFmtId="49" fontId="20" fillId="7" borderId="31" applyNumberFormat="1" applyFont="1" applyFill="1" applyBorder="1" applyAlignment="1" applyProtection="0">
      <alignment horizontal="center" vertical="top" wrapText="1"/>
    </xf>
    <xf numFmtId="49" fontId="20" fillId="7" borderId="32" applyNumberFormat="1" applyFont="1" applyFill="1" applyBorder="1" applyAlignment="1" applyProtection="0">
      <alignment horizontal="center" vertical="top" wrapText="1"/>
    </xf>
    <xf numFmtId="0" fontId="9" fillId="5" borderId="40" applyNumberFormat="0" applyFont="1" applyFill="1" applyBorder="1" applyAlignment="1" applyProtection="0">
      <alignment vertical="top" wrapText="1"/>
    </xf>
    <xf numFmtId="0" fontId="9" fillId="5" borderId="41" applyNumberFormat="0" applyFont="1" applyFill="1" applyBorder="1" applyAlignment="1" applyProtection="0">
      <alignment vertical="top" wrapText="1"/>
    </xf>
    <xf numFmtId="0" fontId="9" fillId="10" borderId="41" applyNumberFormat="0" applyFont="1" applyFill="1" applyBorder="1" applyAlignment="1" applyProtection="0">
      <alignment vertical="top" wrapText="1"/>
    </xf>
    <xf numFmtId="0" fontId="9" fillId="5" borderId="42" applyNumberFormat="1" applyFont="1" applyFill="1" applyBorder="1" applyAlignment="1" applyProtection="0">
      <alignment vertical="top" wrapText="1"/>
    </xf>
    <xf numFmtId="0" fontId="9" fillId="5" borderId="43" applyNumberFormat="0" applyFont="1" applyFill="1" applyBorder="1" applyAlignment="1" applyProtection="0">
      <alignment vertical="top" wrapText="1"/>
    </xf>
    <xf numFmtId="0" fontId="9" fillId="5" borderId="44" applyNumberFormat="1" applyFont="1" applyFill="1" applyBorder="1" applyAlignment="1" applyProtection="0">
      <alignment vertical="top" wrapText="1"/>
    </xf>
    <xf numFmtId="0" fontId="9" fillId="10" borderId="44" applyNumberFormat="0" applyFont="1" applyFill="1" applyBorder="1" applyAlignment="1" applyProtection="0">
      <alignment vertical="top" wrapText="1"/>
    </xf>
    <xf numFmtId="0" fontId="9" fillId="5" borderId="45" applyNumberFormat="1" applyFont="1" applyFill="1" applyBorder="1" applyAlignment="1" applyProtection="0">
      <alignment vertical="top" wrapText="1"/>
    </xf>
    <xf numFmtId="0" fontId="0" applyNumberFormat="1" applyFont="1" applyFill="0" applyBorder="0" applyAlignment="1" applyProtection="0">
      <alignment vertical="bottom"/>
    </xf>
    <xf numFmtId="0" fontId="20" fillId="7" borderId="32" applyNumberFormat="0" applyFont="1" applyFill="1" applyBorder="1" applyAlignment="1" applyProtection="0">
      <alignment horizontal="center" vertical="top" wrapText="1"/>
    </xf>
    <xf numFmtId="49" fontId="9" fillId="5" borderId="46" applyNumberFormat="1" applyFont="1" applyFill="1" applyBorder="1" applyAlignment="1" applyProtection="0">
      <alignment vertical="top" wrapText="1"/>
    </xf>
    <xf numFmtId="49" fontId="9" fillId="5" borderId="47" applyNumberFormat="1" applyFont="1" applyFill="1" applyBorder="1" applyAlignment="1" applyProtection="0">
      <alignment vertical="top" wrapText="1"/>
    </xf>
    <xf numFmtId="0" fontId="9" fillId="5" borderId="47" applyNumberFormat="1" applyFont="1" applyFill="1" applyBorder="1" applyAlignment="1" applyProtection="0">
      <alignment vertical="top" wrapText="1"/>
    </xf>
    <xf numFmtId="59" fontId="9" fillId="5" borderId="47" applyNumberFormat="1" applyFont="1" applyFill="1" applyBorder="1" applyAlignment="1" applyProtection="0">
      <alignment vertical="top" wrapText="1"/>
    </xf>
    <xf numFmtId="0" fontId="9" fillId="5" borderId="47" applyNumberFormat="0" applyFont="1" applyFill="1" applyBorder="1" applyAlignment="1" applyProtection="0">
      <alignment vertical="top" wrapText="1"/>
    </xf>
    <xf numFmtId="0" fontId="9" fillId="5" borderId="48" applyNumberFormat="0" applyFont="1" applyFill="1" applyBorder="1" applyAlignment="1" applyProtection="0">
      <alignment vertical="top" wrapText="1"/>
    </xf>
    <xf numFmtId="49" fontId="9" fillId="5" borderId="4" applyNumberFormat="1" applyFont="1" applyFill="1" applyBorder="1" applyAlignment="1" applyProtection="0">
      <alignment vertical="top" wrapText="1"/>
    </xf>
    <xf numFmtId="0" fontId="9" fillId="5" borderId="5" applyNumberFormat="1" applyFont="1" applyFill="1" applyBorder="1" applyAlignment="1" applyProtection="0">
      <alignment vertical="top" wrapText="1"/>
    </xf>
    <xf numFmtId="59" fontId="9" fillId="5" borderId="5" applyNumberFormat="1" applyFont="1" applyFill="1" applyBorder="1" applyAlignment="1" applyProtection="0">
      <alignment vertical="top" wrapText="1"/>
    </xf>
    <xf numFmtId="0" fontId="9" fillId="5" borderId="5" applyNumberFormat="0" applyFont="1" applyFill="1" applyBorder="1" applyAlignment="1" applyProtection="0">
      <alignment vertical="top" wrapText="1"/>
    </xf>
    <xf numFmtId="0" fontId="9" fillId="5" borderId="6" applyNumberFormat="0" applyFont="1" applyFill="1" applyBorder="1" applyAlignment="1" applyProtection="0">
      <alignment vertical="top" wrapText="1"/>
    </xf>
    <xf numFmtId="49" fontId="9" fillId="5" borderId="39" applyNumberFormat="1" applyFont="1" applyFill="1" applyBorder="1" applyAlignment="1" applyProtection="0">
      <alignment vertical="top" wrapText="1"/>
    </xf>
    <xf numFmtId="49" fontId="9" fillId="5" borderId="28" applyNumberFormat="1" applyFont="1" applyFill="1" applyBorder="1" applyAlignment="1" applyProtection="0">
      <alignment vertical="top" wrapText="1"/>
    </xf>
    <xf numFmtId="0" fontId="9" fillId="5" borderId="28" applyNumberFormat="1" applyFont="1" applyFill="1" applyBorder="1" applyAlignment="1" applyProtection="0">
      <alignment vertical="top" wrapText="1"/>
    </xf>
    <xf numFmtId="59" fontId="9" fillId="5" borderId="28" applyNumberFormat="1" applyFont="1" applyFill="1" applyBorder="1" applyAlignment="1" applyProtection="0">
      <alignment vertical="top" wrapText="1"/>
    </xf>
    <xf numFmtId="0" fontId="9" fillId="5" borderId="28" applyNumberFormat="0" applyFont="1" applyFill="1" applyBorder="1" applyAlignment="1" applyProtection="0">
      <alignment vertical="top" wrapText="1"/>
    </xf>
    <xf numFmtId="0" fontId="9" fillId="5" borderId="29" applyNumberFormat="0" applyFont="1" applyFill="1" applyBorder="1" applyAlignment="1" applyProtection="0">
      <alignment vertical="top" wrapText="1"/>
    </xf>
    <xf numFmtId="0" fontId="0" applyNumberFormat="1" applyFont="1" applyFill="0" applyBorder="0" applyAlignment="1" applyProtection="0">
      <alignment vertical="bottom"/>
    </xf>
    <xf numFmtId="0" fontId="20" fillId="7" borderId="31" applyNumberFormat="0" applyFont="1" applyFill="1" applyBorder="1" applyAlignment="1" applyProtection="0">
      <alignment horizontal="center" vertical="top" wrapText="1"/>
    </xf>
    <xf numFmtId="49" fontId="9" fillId="5" borderId="46" applyNumberFormat="1" applyFont="1" applyFill="1" applyBorder="1" applyAlignment="1" applyProtection="0">
      <alignment vertical="top"/>
    </xf>
    <xf numFmtId="49" fontId="9" fillId="5" borderId="47" applyNumberFormat="1" applyFont="1" applyFill="1" applyBorder="1" applyAlignment="1" applyProtection="0">
      <alignment vertical="top"/>
    </xf>
    <xf numFmtId="59" fontId="9" fillId="5" borderId="47" applyNumberFormat="1" applyFont="1" applyFill="1" applyBorder="1" applyAlignment="1" applyProtection="0">
      <alignment vertical="top"/>
    </xf>
    <xf numFmtId="0" fontId="9" fillId="5" borderId="47" applyNumberFormat="0" applyFont="1" applyFill="1" applyBorder="1" applyAlignment="1" applyProtection="0">
      <alignment vertical="top"/>
    </xf>
    <xf numFmtId="0" fontId="9" fillId="5" borderId="48" applyNumberFormat="0" applyFont="1" applyFill="1" applyBorder="1" applyAlignment="1" applyProtection="0">
      <alignment vertical="top"/>
    </xf>
    <xf numFmtId="49" fontId="9" fillId="5" borderId="4" applyNumberFormat="1" applyFont="1" applyFill="1" applyBorder="1" applyAlignment="1" applyProtection="0">
      <alignment vertical="top"/>
    </xf>
    <xf numFmtId="49" fontId="9" fillId="5" borderId="5" applyNumberFormat="1" applyFont="1" applyFill="1" applyBorder="1" applyAlignment="1" applyProtection="0">
      <alignment vertical="top"/>
    </xf>
    <xf numFmtId="59" fontId="9" fillId="5" borderId="5" applyNumberFormat="1" applyFont="1" applyFill="1" applyBorder="1" applyAlignment="1" applyProtection="0">
      <alignment vertical="top"/>
    </xf>
    <xf numFmtId="49" fontId="9" fillId="5" borderId="39" applyNumberFormat="1" applyFont="1" applyFill="1" applyBorder="1" applyAlignment="1" applyProtection="0">
      <alignment vertical="top"/>
    </xf>
    <xf numFmtId="0" fontId="9" fillId="5" borderId="28" applyNumberFormat="0" applyFont="1" applyFill="1" applyBorder="1" applyAlignment="1" applyProtection="0">
      <alignment vertical="top"/>
    </xf>
    <xf numFmtId="0" fontId="9" fillId="5" borderId="29" applyNumberFormat="0" applyFont="1" applyFill="1" applyBorder="1" applyAlignment="1" applyProtection="0">
      <alignment vertical="top"/>
    </xf>
    <xf numFmtId="0" fontId="0" applyNumberFormat="1" applyFont="1" applyFill="0" applyBorder="0" applyAlignment="1" applyProtection="0">
      <alignment vertical="bottom"/>
    </xf>
    <xf numFmtId="49" fontId="10" fillId="6" borderId="39" applyNumberFormat="1" applyFont="1" applyFill="1" applyBorder="1" applyAlignment="1" applyProtection="0">
      <alignment vertical="top"/>
    </xf>
    <xf numFmtId="0" fontId="0" applyNumberFormat="1" applyFont="1" applyFill="0" applyBorder="0" applyAlignment="1" applyProtection="0">
      <alignment vertical="bottom"/>
    </xf>
    <xf numFmtId="0" fontId="10" fillId="5" borderId="46" applyNumberFormat="0" applyFont="1" applyFill="1" applyBorder="1" applyAlignment="1" applyProtection="0">
      <alignment vertical="top"/>
    </xf>
    <xf numFmtId="0" fontId="10" fillId="5" borderId="47" applyNumberFormat="0" applyFont="1" applyFill="1" applyBorder="1" applyAlignment="1" applyProtection="0">
      <alignment vertical="top"/>
    </xf>
    <xf numFmtId="0" fontId="10" fillId="5" borderId="48" applyNumberFormat="0" applyFont="1" applyFill="1" applyBorder="1" applyAlignment="1" applyProtection="0">
      <alignment vertical="top"/>
    </xf>
    <xf numFmtId="0" fontId="9" fillId="5" borderId="5" applyNumberFormat="1" applyFont="1" applyFill="1" applyBorder="1" applyAlignment="1" applyProtection="0">
      <alignment vertical="top"/>
    </xf>
    <xf numFmtId="0" fontId="9" fillId="5" borderId="39" applyNumberFormat="0" applyFont="1" applyFill="1" applyBorder="1" applyAlignment="1" applyProtection="0">
      <alignment vertical="top"/>
    </xf>
    <xf numFmtId="0" fontId="9" fillId="5" borderId="28" applyNumberFormat="1" applyFont="1" applyFill="1" applyBorder="1" applyAlignment="1" applyProtection="0">
      <alignment vertical="top"/>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9" fillId="5" borderId="28" applyNumberFormat="1" applyFont="1" applyFill="1"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014357"/>
      <rgbColor rgb="ffdff5ec"/>
      <rgbColor rgb="ffaaaaaa"/>
      <rgbColor rgb="ffffffff"/>
      <rgbColor rgb="ffe0d9c4"/>
      <rgbColor rgb="ff5bc6e5"/>
      <rgbColor rgb="fff5aa99"/>
      <rgbColor rgb="ff1f4e5f"/>
      <rgbColor rgb="ff4f9a94"/>
      <rgbColor rgb="ffd4e7e1"/>
      <rgbColor rgb="ffd9d9d9"/>
      <rgbColor rgb="ffd9ead3"/>
      <rgbColor rgb="ffeae4f2"/>
      <rgbColor rgb="ffd9eaf7"/>
      <rgbColor rgb="fff8cfcf"/>
      <rgbColor rgb="ffcdefef"/>
      <rgbColor rgb="fffce4d6"/>
      <rgbColor rgb="ffe7e6e6"/>
      <rgbColor rgb="ffeee5d3"/>
      <rgbColor rgb="ff878787"/>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9.xml"/><Relationship Id="rId14" Type="http://schemas.openxmlformats.org/officeDocument/2006/relationships/worksheet" Target="worksheets/sheet10.xml"/><Relationship Id="rId15" Type="http://schemas.openxmlformats.org/officeDocument/2006/relationships/worksheet" Target="worksheets/sheet11.xml"/></Relationships>

</file>

<file path=xl/charts/chart1.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1" i="0" strike="noStrike" sz="1800" u="none">
                <a:solidFill>
                  <a:srgbClr val="000000"/>
                </a:solidFill>
                <a:latin typeface="Calibri"/>
              </a:defRPr>
            </a:pPr>
            <a:r>
              <a:rPr b="1" i="0" strike="noStrike" sz="1800" u="none">
                <a:solidFill>
                  <a:srgbClr val="000000"/>
                </a:solidFill>
                <a:latin typeface="Calibri"/>
              </a:rPr>
              <a:t>NeuroPi Key Indices</a:t>
            </a:r>
          </a:p>
        </c:rich>
      </c:tx>
      <c:layout>
        <c:manualLayout>
          <c:xMode val="edge"/>
          <c:yMode val="edge"/>
          <c:x val="0.281286"/>
          <c:y val="0"/>
          <c:w val="0.437429"/>
          <c:h val="0.184695"/>
        </c:manualLayout>
      </c:layout>
      <c:overlay val="1"/>
      <c:spPr>
        <a:noFill/>
        <a:effectLst/>
      </c:spPr>
    </c:title>
    <c:autoTitleDeleted val="1"/>
    <c:plotArea>
      <c:layout>
        <c:manualLayout>
          <c:layoutTarget val="inner"/>
          <c:xMode val="edge"/>
          <c:yMode val="edge"/>
          <c:x val="0.0748213"/>
          <c:y val="0.184695"/>
          <c:w val="0.920179"/>
          <c:h val="0.661923"/>
        </c:manualLayout>
      </c:layout>
      <c:barChart>
        <c:barDir val="col"/>
        <c:grouping val="clustered"/>
        <c:varyColors val="0"/>
        <c:ser>
          <c:idx val="0"/>
          <c:order val="0"/>
          <c:tx>
            <c:strRef>
              <c:f>'Dashboard'!$C$4</c:f>
              <c:strCache>
                <c:ptCount val="1"/>
                <c:pt idx="0">
                  <c:v>Score</c:v>
                </c:pt>
              </c:strCache>
            </c:strRef>
          </c:tx>
          <c:spPr>
            <a:solidFill>
              <a:schemeClr val="accent1"/>
            </a:solidFill>
            <a:ln w="12700" cap="flat">
              <a:noFill/>
              <a:miter lim="400000"/>
            </a:ln>
            <a:effectLst/>
          </c:spPr>
          <c:invertIfNegative val="0"/>
          <c:dLbls>
            <c:numFmt formatCode="#,##0" sourceLinked="1"/>
            <c:txPr>
              <a:bodyPr/>
              <a:lstStyle/>
              <a:p>
                <a:pPr>
                  <a:defRPr b="0" i="0" strike="noStrike" sz="1000" u="none">
                    <a:solidFill>
                      <a:srgbClr val="000000"/>
                    </a:solidFill>
                    <a:latin typeface="Calibri"/>
                  </a:defRPr>
                </a:pPr>
              </a:p>
            </c:txPr>
            <c:dLblPos val="outEnd"/>
            <c:showLegendKey val="0"/>
            <c:showVal val="0"/>
            <c:showCatName val="0"/>
            <c:showSerName val="0"/>
            <c:showPercent val="0"/>
            <c:showBubbleSize val="0"/>
            <c:showLeaderLines val="0"/>
          </c:dLbls>
          <c:cat>
            <c:strRef>
              <c:f>'Dashboard'!$A$5:$A$10</c:f>
              <c:strCache>
                <c:ptCount val="6"/>
                <c:pt idx="0">
                  <c:v>RIASEC Clarity</c:v>
                </c:pt>
                <c:pt idx="1">
                  <c:v>Big Five Balance</c:v>
                </c:pt>
                <c:pt idx="2">
                  <c:v>Cognitive Index</c:v>
                </c:pt>
                <c:pt idx="3">
                  <c:v>Emotional Sustainability</c:v>
                </c:pt>
                <c:pt idx="4">
                  <c:v>Learning Fit</c:v>
                </c:pt>
                <c:pt idx="5">
                  <c:v>Career Readiness</c:v>
                </c:pt>
              </c:strCache>
            </c:strRef>
          </c:cat>
          <c:val>
            <c:numRef>
              <c:f>'Dashboard'!$C$5:$C$10</c:f>
              <c:numCache>
                <c:ptCount val="6"/>
                <c:pt idx="0">
                  <c:v>0.000000</c:v>
                </c:pt>
                <c:pt idx="1">
                  <c:v>0.200000</c:v>
                </c:pt>
                <c:pt idx="2">
                  <c:v>0.000000</c:v>
                </c:pt>
                <c:pt idx="3">
                  <c:v>0.250000</c:v>
                </c:pt>
                <c:pt idx="4">
                  <c:v>0.000000</c:v>
                </c:pt>
                <c:pt idx="5">
                  <c:v>0.083333</c:v>
                </c:pt>
              </c:numCache>
            </c:numRef>
          </c:val>
        </c:ser>
        <c:gapWidth val="150"/>
        <c:overlap val="0"/>
        <c:axId val="2094734552"/>
        <c:axId val="2094734553"/>
      </c:barChart>
      <c:catAx>
        <c:axId val="2094734552"/>
        <c:scaling>
          <c:orientation val="minMax"/>
        </c:scaling>
        <c:delete val="0"/>
        <c:axPos val="b"/>
        <c:numFmt formatCode="General" sourceLinked="1"/>
        <c:majorTickMark val="out"/>
        <c:minorTickMark val="none"/>
        <c:tickLblPos val="low"/>
        <c:spPr>
          <a:ln w="12700" cap="flat">
            <a:solidFill>
              <a:srgbClr val="888888"/>
            </a:solidFill>
            <a:prstDash val="solid"/>
            <a:round/>
          </a:ln>
        </c:spPr>
        <c:txPr>
          <a:bodyPr rot="0"/>
          <a:lstStyle/>
          <a:p>
            <a:pPr>
              <a:defRPr b="0" i="0" strike="noStrike" sz="1800" u="none">
                <a:solidFill>
                  <a:srgbClr val="000000"/>
                </a:solidFill>
                <a:latin typeface="Calibri"/>
              </a:defRPr>
            </a:pPr>
          </a:p>
        </c:txPr>
        <c:crossAx val="2094734553"/>
        <c:crosses val="autoZero"/>
        <c:auto val="1"/>
        <c:lblAlgn val="ctr"/>
        <c:noMultiLvlLbl val="1"/>
      </c:catAx>
      <c:valAx>
        <c:axId val="2094734553"/>
        <c:scaling>
          <c:orientation val="minMax"/>
        </c:scaling>
        <c:delete val="0"/>
        <c:axPos val="l"/>
        <c:majorGridlines>
          <c:spPr>
            <a:ln w="12700" cap="flat">
              <a:solidFill>
                <a:srgbClr val="888888"/>
              </a:solidFill>
              <a:prstDash val="solid"/>
              <a:round/>
            </a:ln>
          </c:spPr>
        </c:majorGridlines>
        <c:numFmt formatCode="General" sourceLinked="1"/>
        <c:majorTickMark val="none"/>
        <c:minorTickMark val="none"/>
        <c:tickLblPos val="none"/>
        <c:spPr>
          <a:ln w="12700" cap="flat">
            <a:noFill/>
            <a:prstDash val="solid"/>
            <a:round/>
          </a:ln>
        </c:spPr>
        <c:txPr>
          <a:bodyPr rot="0"/>
          <a:lstStyle/>
          <a:p>
            <a:pPr>
              <a:defRPr b="0" i="0" strike="noStrike" sz="1000" u="none">
                <a:solidFill>
                  <a:srgbClr val="000000"/>
                </a:solidFill>
                <a:latin typeface="Calibri"/>
              </a:defRPr>
            </a:pPr>
          </a:p>
        </c:txPr>
        <c:crossAx val="2094734552"/>
        <c:crosses val="autoZero"/>
        <c:crossBetween val="between"/>
        <c:majorUnit val="0.075"/>
        <c:minorUnit val="0.0375"/>
      </c:valAx>
      <c:spPr>
        <a:solidFill>
          <a:srgbClr val="FFFFFF"/>
        </a:solidFill>
        <a:ln w="12700" cap="flat">
          <a:noFill/>
          <a:miter lim="400000"/>
        </a:ln>
        <a:effectLst/>
      </c:spPr>
    </c:plotArea>
    <c:plotVisOnly val="1"/>
    <c:dispBlanksAs val="gap"/>
  </c:chart>
  <c:spPr>
    <a:solidFill>
      <a:srgbClr val="FFFFFF"/>
    </a:solidFill>
    <a:ln w="12700" cap="flat">
      <a:solidFill>
        <a:srgbClr val="888888"/>
      </a:solidFill>
      <a:prstDash val="solid"/>
      <a:round/>
    </a:ln>
    <a:effectLst/>
  </c:spPr>
</c:chartSpace>
</file>

<file path=xl/drawings/_rels/drawing2.xml.rels><?xml version="1.0" encoding="UTF-8"?>
<Relationships xmlns="http://schemas.openxmlformats.org/package/2006/relationships"><Relationship Id="rId1" Type="http://schemas.openxmlformats.org/officeDocument/2006/relationships/chart" Target="../charts/chart1.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5</xdr:col>
      <xdr:colOff>515535</xdr:colOff>
      <xdr:row>3</xdr:row>
      <xdr:rowOff>44616</xdr:rowOff>
    </xdr:from>
    <xdr:to>
      <xdr:col>12</xdr:col>
      <xdr:colOff>116299</xdr:colOff>
      <xdr:row>14</xdr:row>
      <xdr:rowOff>204517</xdr:rowOff>
    </xdr:to>
    <xdr:graphicFrame>
      <xdr:nvGraphicFramePr>
        <xdr:cNvPr id="3" name="Chart 1"/>
        <xdr:cNvGraphicFramePr/>
      </xdr:nvGraphicFramePr>
      <xdr:xfrm>
        <a:off x="13317135" y="709461"/>
        <a:ext cx="4312465" cy="2616717"/>
      </xdr:xfrm>
      <a:graphic xmlns:a="http://schemas.openxmlformats.org/drawingml/2006/main">
        <a:graphicData uri="http://schemas.openxmlformats.org/drawingml/2006/chart">
          <c:chart xmlns:c="http://schemas.openxmlformats.org/drawingml/2006/chart"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5.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7.xml.rels><?xml version="1.0" encoding="UTF-8"?>
<Relationships xmlns="http://schemas.openxmlformats.org/package/2006/relationships"><Relationship Id="rId1" Type="http://schemas.openxmlformats.org/officeDocument/2006/relationships/drawing" Target="../drawings/drawing2.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65</v>
      </c>
      <c r="C11" s="3"/>
      <c r="D11" s="3"/>
    </row>
    <row r="12">
      <c r="B12" s="4"/>
      <c r="C12" t="s" s="4">
        <v>5</v>
      </c>
      <c r="D12" t="s" s="5">
        <v>65</v>
      </c>
    </row>
    <row r="13">
      <c r="B13" t="s" s="3">
        <v>219</v>
      </c>
      <c r="C13" s="3"/>
      <c r="D13" s="3"/>
    </row>
    <row r="14">
      <c r="B14" s="4"/>
      <c r="C14" t="s" s="4">
        <v>5</v>
      </c>
      <c r="D14" t="s" s="5">
        <v>219</v>
      </c>
    </row>
    <row r="15">
      <c r="B15" t="s" s="3">
        <v>1622</v>
      </c>
      <c r="C15" s="3"/>
      <c r="D15" s="3"/>
    </row>
    <row r="16">
      <c r="B16" s="4"/>
      <c r="C16" t="s" s="4">
        <v>5</v>
      </c>
      <c r="D16" t="s" s="5">
        <v>1622</v>
      </c>
    </row>
    <row r="17">
      <c r="B17" t="s" s="3">
        <v>3023</v>
      </c>
      <c r="C17" s="3"/>
      <c r="D17" s="3"/>
    </row>
    <row r="18">
      <c r="B18" s="4"/>
      <c r="C18" t="s" s="4">
        <v>5</v>
      </c>
      <c r="D18" t="s" s="5">
        <v>3023</v>
      </c>
    </row>
    <row r="19">
      <c r="B19" t="s" s="3">
        <v>25</v>
      </c>
      <c r="C19" s="3"/>
      <c r="D19" s="3"/>
    </row>
    <row r="20">
      <c r="B20" s="4"/>
      <c r="C20" t="s" s="4">
        <v>5</v>
      </c>
      <c r="D20" t="s" s="5">
        <v>25</v>
      </c>
    </row>
    <row r="21">
      <c r="B21" t="s" s="3">
        <v>3090</v>
      </c>
      <c r="C21" s="3"/>
      <c r="D21" s="3"/>
    </row>
    <row r="22">
      <c r="B22" s="4"/>
      <c r="C22" t="s" s="4">
        <v>5</v>
      </c>
      <c r="D22" t="s" s="5">
        <v>3090</v>
      </c>
    </row>
    <row r="23">
      <c r="B23" t="s" s="3">
        <v>3107</v>
      </c>
      <c r="C23" s="3"/>
      <c r="D23" s="3"/>
    </row>
    <row r="24">
      <c r="B24" s="4"/>
      <c r="C24" t="s" s="4">
        <v>5</v>
      </c>
      <c r="D24" t="s" s="5">
        <v>3107</v>
      </c>
    </row>
    <row r="25">
      <c r="B25" t="s" s="3">
        <v>3119</v>
      </c>
      <c r="C25" s="3"/>
      <c r="D25" s="3"/>
    </row>
    <row r="26">
      <c r="B26" s="4"/>
      <c r="C26" t="s" s="4">
        <v>5</v>
      </c>
      <c r="D26" t="s" s="5">
        <v>3119</v>
      </c>
    </row>
    <row r="27">
      <c r="B27" t="s" s="3">
        <v>3137</v>
      </c>
      <c r="C27" s="3"/>
      <c r="D27" s="3"/>
    </row>
    <row r="28">
      <c r="B28" s="4"/>
      <c r="C28" t="s" s="4">
        <v>5</v>
      </c>
      <c r="D28" t="s" s="5">
        <v>3137</v>
      </c>
    </row>
  </sheetData>
  <mergeCells count="1">
    <mergeCell ref="B3:D3"/>
  </mergeCells>
  <hyperlinks>
    <hyperlink ref="D10" location="'Instructions'!R1C1" tooltip="" display="Instructions"/>
    <hyperlink ref="D12" location="'Scoring_Map'!R1C1" tooltip="" display="Scoring_Map"/>
    <hyperlink ref="D14" location="'Question_Bank'!R1C1" tooltip="" display="Question_Bank"/>
    <hyperlink ref="D16" location="'Student_Responses'!R1C1" tooltip="" display="Student_Responses"/>
    <hyperlink ref="D18" location="'Score_Summary'!R1C1" tooltip="" display="Score_Summary"/>
    <hyperlink ref="D20" location="'Dashboard'!R1C1" tooltip="" display="Dashboard"/>
    <hyperlink ref="D22" location="'Report_Summary'!R1C1" tooltip="" display="Report_Summary"/>
    <hyperlink ref="D24" location="'Answer_Key'!R1C1" tooltip="" display="Answer_Key"/>
    <hyperlink ref="D26" location="'Administration_Guide'!R1C1" tooltip="" display="Administration_Guide"/>
    <hyperlink ref="D28" location="'Short_Form_Blueprint'!R1C1" tooltip="" display="Short_Form_Blueprint"/>
  </hyperlinks>
</worksheet>
</file>

<file path=xl/worksheets/sheet2.xml><?xml version="1.0" encoding="utf-8"?>
<worksheet xmlns:r="http://schemas.openxmlformats.org/officeDocument/2006/relationships" xmlns="http://schemas.openxmlformats.org/spreadsheetml/2006/main">
  <dimension ref="A1:H37"/>
  <sheetViews>
    <sheetView workbookViewId="0" showGridLines="0" defaultGridColor="1"/>
  </sheetViews>
  <sheetFormatPr defaultColWidth="8.83333" defaultRowHeight="15" customHeight="1" outlineLevelRow="0" outlineLevelCol="0"/>
  <cols>
    <col min="1" max="1" width="26" style="6" customWidth="1"/>
    <col min="2" max="8" width="18" style="6" customWidth="1"/>
    <col min="9" max="16384" width="8.85156" style="6" customWidth="1"/>
  </cols>
  <sheetData>
    <row r="1" ht="18.4" customHeight="1">
      <c r="A1" t="s" s="7">
        <v>6</v>
      </c>
      <c r="B1" s="8"/>
      <c r="C1" s="8"/>
      <c r="D1" s="8"/>
      <c r="E1" s="8"/>
      <c r="F1" s="8"/>
      <c r="G1" s="8"/>
      <c r="H1" s="9"/>
    </row>
    <row r="2" ht="17.45" customHeight="1">
      <c r="A2" s="10"/>
      <c r="B2" s="11"/>
      <c r="C2" s="11"/>
      <c r="D2" s="11"/>
      <c r="E2" s="11"/>
      <c r="F2" s="11"/>
      <c r="G2" s="11"/>
      <c r="H2" s="12"/>
    </row>
    <row r="3" ht="17.45" customHeight="1">
      <c r="A3" s="13"/>
      <c r="B3" s="14"/>
      <c r="C3" s="14"/>
      <c r="D3" s="14"/>
      <c r="E3" s="14"/>
      <c r="F3" s="14"/>
      <c r="G3" s="14"/>
      <c r="H3" s="15"/>
    </row>
    <row r="4" ht="42" customHeight="1">
      <c r="A4" t="s" s="16">
        <v>7</v>
      </c>
      <c r="B4" t="s" s="17">
        <v>8</v>
      </c>
      <c r="C4" s="11"/>
      <c r="D4" s="11"/>
      <c r="E4" s="11"/>
      <c r="F4" s="11"/>
      <c r="G4" s="11"/>
      <c r="H4" s="12"/>
    </row>
    <row r="5" ht="42" customHeight="1">
      <c r="A5" t="s" s="16">
        <v>9</v>
      </c>
      <c r="B5" t="s" s="17">
        <v>10</v>
      </c>
      <c r="C5" s="11"/>
      <c r="D5" s="11"/>
      <c r="E5" s="11"/>
      <c r="F5" s="11"/>
      <c r="G5" s="11"/>
      <c r="H5" s="12"/>
    </row>
    <row r="6" ht="42" customHeight="1">
      <c r="A6" t="s" s="16">
        <v>11</v>
      </c>
      <c r="B6" t="s" s="17">
        <v>12</v>
      </c>
      <c r="C6" s="11"/>
      <c r="D6" s="11"/>
      <c r="E6" s="11"/>
      <c r="F6" s="11"/>
      <c r="G6" s="11"/>
      <c r="H6" s="12"/>
    </row>
    <row r="7" ht="42" customHeight="1">
      <c r="A7" t="s" s="16">
        <v>13</v>
      </c>
      <c r="B7" t="s" s="17">
        <v>14</v>
      </c>
      <c r="C7" s="11"/>
      <c r="D7" s="11"/>
      <c r="E7" s="11"/>
      <c r="F7" s="11"/>
      <c r="G7" s="11"/>
      <c r="H7" s="12"/>
    </row>
    <row r="8" ht="42" customHeight="1">
      <c r="A8" t="s" s="16">
        <v>15</v>
      </c>
      <c r="B8" t="s" s="17">
        <v>16</v>
      </c>
      <c r="C8" s="11"/>
      <c r="D8" s="11"/>
      <c r="E8" s="11"/>
      <c r="F8" s="11"/>
      <c r="G8" s="11"/>
      <c r="H8" s="12"/>
    </row>
    <row r="9" ht="42" customHeight="1">
      <c r="A9" t="s" s="16">
        <v>17</v>
      </c>
      <c r="B9" t="s" s="17">
        <v>18</v>
      </c>
      <c r="C9" s="11"/>
      <c r="D9" s="11"/>
      <c r="E9" s="11"/>
      <c r="F9" s="11"/>
      <c r="G9" s="11"/>
      <c r="H9" s="12"/>
    </row>
    <row r="10" ht="17.45" customHeight="1">
      <c r="A10" s="18"/>
      <c r="B10" s="19"/>
      <c r="C10" s="19"/>
      <c r="D10" s="19"/>
      <c r="E10" s="19"/>
      <c r="F10" s="19"/>
      <c r="G10" s="19"/>
      <c r="H10" s="20"/>
    </row>
    <row r="11" ht="18.4" customHeight="1">
      <c r="A11" t="s" s="21">
        <v>19</v>
      </c>
      <c r="B11" s="19"/>
      <c r="C11" s="19"/>
      <c r="D11" s="19"/>
      <c r="E11" s="19"/>
      <c r="F11" s="19"/>
      <c r="G11" s="19"/>
      <c r="H11" s="22"/>
    </row>
    <row r="12" ht="8.5" customHeight="1">
      <c r="A12" t="s" s="23">
        <v>20</v>
      </c>
      <c r="B12" s="19"/>
      <c r="C12" s="19"/>
      <c r="D12" s="19"/>
      <c r="E12" s="19"/>
      <c r="F12" s="19"/>
      <c r="G12" s="19"/>
      <c r="H12" s="24"/>
    </row>
    <row r="13" ht="8.5" customHeight="1">
      <c r="A13" s="25"/>
      <c r="B13" s="19"/>
      <c r="C13" s="19"/>
      <c r="D13" s="19"/>
      <c r="E13" s="19"/>
      <c r="F13" s="19"/>
      <c r="G13" s="19"/>
      <c r="H13" s="24"/>
    </row>
    <row r="14" ht="17.45" customHeight="1">
      <c r="A14" t="s" s="23">
        <v>21</v>
      </c>
      <c r="B14" s="26"/>
      <c r="C14" s="26"/>
      <c r="D14" s="26"/>
      <c r="E14" s="26"/>
      <c r="F14" s="26"/>
      <c r="G14" s="26"/>
      <c r="H14" s="20"/>
    </row>
    <row r="15" ht="17.45" customHeight="1">
      <c r="A15" t="s" s="23">
        <v>21</v>
      </c>
      <c r="B15" s="26"/>
      <c r="C15" s="26"/>
      <c r="D15" s="26"/>
      <c r="E15" s="26"/>
      <c r="F15" s="26"/>
      <c r="G15" s="26"/>
      <c r="H15" s="20"/>
    </row>
    <row r="16" ht="17.45" customHeight="1">
      <c r="A16" t="s" s="23">
        <v>22</v>
      </c>
      <c r="B16" s="26"/>
      <c r="C16" s="26"/>
      <c r="D16" s="26"/>
      <c r="E16" s="26"/>
      <c r="F16" s="26"/>
      <c r="G16" s="26"/>
      <c r="H16" s="20"/>
    </row>
    <row r="17" ht="17.45" customHeight="1">
      <c r="A17" t="s" s="23">
        <v>23</v>
      </c>
      <c r="B17" s="26"/>
      <c r="C17" s="26"/>
      <c r="D17" s="26"/>
      <c r="E17" s="26"/>
      <c r="F17" s="26"/>
      <c r="G17" s="26"/>
      <c r="H17" s="20"/>
    </row>
    <row r="18" ht="17.45" customHeight="1">
      <c r="A18" t="s" s="23">
        <v>24</v>
      </c>
      <c r="B18" s="26"/>
      <c r="C18" s="26"/>
      <c r="D18" s="26"/>
      <c r="E18" s="26"/>
      <c r="F18" s="26"/>
      <c r="G18" s="26"/>
      <c r="H18" s="20"/>
    </row>
    <row r="19" ht="17.45" customHeight="1">
      <c r="A19" t="s" s="23">
        <v>25</v>
      </c>
      <c r="B19" s="26"/>
      <c r="C19" s="26"/>
      <c r="D19" s="26"/>
      <c r="E19" s="26"/>
      <c r="F19" s="26"/>
      <c r="G19" s="26"/>
      <c r="H19" s="20"/>
    </row>
    <row r="20" ht="17.45" customHeight="1">
      <c r="A20" t="s" s="23">
        <v>26</v>
      </c>
      <c r="B20" s="26"/>
      <c r="C20" s="26"/>
      <c r="D20" s="26"/>
      <c r="E20" s="26"/>
      <c r="F20" s="26"/>
      <c r="G20" s="26"/>
      <c r="H20" s="20"/>
    </row>
    <row r="21" ht="17.45" customHeight="1">
      <c r="A21" t="s" s="23">
        <v>27</v>
      </c>
      <c r="B21" s="26"/>
      <c r="C21" s="26"/>
      <c r="D21" s="26"/>
      <c r="E21" s="26"/>
      <c r="F21" s="26"/>
      <c r="G21" s="26"/>
      <c r="H21" s="20"/>
    </row>
    <row r="22" ht="17.45" customHeight="1">
      <c r="A22" s="27"/>
      <c r="B22" s="26"/>
      <c r="C22" s="26"/>
      <c r="D22" s="26"/>
      <c r="E22" s="26"/>
      <c r="F22" s="26"/>
      <c r="G22" s="26"/>
      <c r="H22" s="20"/>
    </row>
    <row r="23" ht="18.4" customHeight="1">
      <c r="A23" t="s" s="28">
        <v>28</v>
      </c>
      <c r="B23" s="29"/>
      <c r="C23" s="29"/>
      <c r="D23" s="26"/>
      <c r="E23" s="26"/>
      <c r="F23" s="26"/>
      <c r="G23" s="26"/>
      <c r="H23" s="20"/>
    </row>
    <row r="24" ht="92.45" customHeight="1">
      <c r="A24" t="s" s="30">
        <v>29</v>
      </c>
      <c r="B24" t="s" s="32">
        <v>30</v>
      </c>
      <c r="C24" t="s" s="34">
        <v>31</v>
      </c>
      <c r="D24" s="35"/>
      <c r="E24" s="26"/>
      <c r="F24" s="26"/>
      <c r="G24" s="26"/>
      <c r="H24" s="20"/>
    </row>
    <row r="25" ht="92.45" customHeight="1">
      <c r="A25" t="s" s="36">
        <v>32</v>
      </c>
      <c r="B25" t="s" s="38">
        <v>33</v>
      </c>
      <c r="C25" t="s" s="40">
        <v>34</v>
      </c>
      <c r="D25" s="35"/>
      <c r="E25" s="26"/>
      <c r="F25" s="26"/>
      <c r="G25" s="26"/>
      <c r="H25" s="20"/>
    </row>
    <row r="26" ht="92.45" customHeight="1">
      <c r="A26" t="s" s="36">
        <v>35</v>
      </c>
      <c r="B26" t="s" s="38">
        <v>36</v>
      </c>
      <c r="C26" t="s" s="40">
        <v>37</v>
      </c>
      <c r="D26" s="35"/>
      <c r="E26" s="26"/>
      <c r="F26" s="26"/>
      <c r="G26" s="26"/>
      <c r="H26" s="20"/>
    </row>
    <row r="27" ht="92.45" customHeight="1">
      <c r="A27" t="s" s="36">
        <v>38</v>
      </c>
      <c r="B27" t="s" s="38">
        <v>39</v>
      </c>
      <c r="C27" t="s" s="40">
        <v>40</v>
      </c>
      <c r="D27" s="35"/>
      <c r="E27" s="26"/>
      <c r="F27" s="26"/>
      <c r="G27" s="26"/>
      <c r="H27" s="20"/>
    </row>
    <row r="28" ht="92.45" customHeight="1">
      <c r="A28" t="s" s="36">
        <v>41</v>
      </c>
      <c r="B28" t="s" s="38">
        <v>42</v>
      </c>
      <c r="C28" t="s" s="40">
        <v>43</v>
      </c>
      <c r="D28" s="35"/>
      <c r="E28" s="26"/>
      <c r="F28" s="26"/>
      <c r="G28" s="26"/>
      <c r="H28" s="20"/>
    </row>
    <row r="29" ht="92.45" customHeight="1">
      <c r="A29" t="s" s="41">
        <v>44</v>
      </c>
      <c r="B29" t="s" s="43">
        <v>45</v>
      </c>
      <c r="C29" t="s" s="45">
        <v>46</v>
      </c>
      <c r="D29" s="35"/>
      <c r="E29" s="26"/>
      <c r="F29" s="26"/>
      <c r="G29" s="26"/>
      <c r="H29" s="20"/>
    </row>
    <row r="30" ht="17.45" customHeight="1">
      <c r="A30" s="46"/>
      <c r="B30" s="47"/>
      <c r="C30" s="47"/>
      <c r="D30" s="26"/>
      <c r="E30" s="26"/>
      <c r="F30" s="26"/>
      <c r="G30" s="26"/>
      <c r="H30" s="20"/>
    </row>
    <row r="31" ht="18.4" customHeight="1">
      <c r="A31" t="s" s="48">
        <v>47</v>
      </c>
      <c r="B31" s="29"/>
      <c r="C31" s="29"/>
      <c r="D31" s="29"/>
      <c r="E31" s="49"/>
      <c r="F31" s="49"/>
      <c r="G31" s="26"/>
      <c r="H31" s="20"/>
    </row>
    <row r="32" ht="136.5" customHeight="1">
      <c r="A32" t="s" s="50">
        <v>48</v>
      </c>
      <c r="B32" t="s" s="32">
        <v>49</v>
      </c>
      <c r="C32" t="s" s="32">
        <v>50</v>
      </c>
      <c r="D32" t="s" s="34">
        <v>51</v>
      </c>
      <c r="E32" s="51"/>
      <c r="F32" s="52"/>
      <c r="G32" s="53"/>
      <c r="H32" s="20"/>
    </row>
    <row r="33" ht="91.5" customHeight="1">
      <c r="A33" t="s" s="54">
        <v>52</v>
      </c>
      <c r="B33" t="s" s="38">
        <v>53</v>
      </c>
      <c r="C33" t="s" s="38">
        <v>54</v>
      </c>
      <c r="D33" t="s" s="40">
        <v>55</v>
      </c>
      <c r="E33" s="51"/>
      <c r="F33" s="52"/>
      <c r="G33" s="53"/>
      <c r="H33" s="20"/>
    </row>
    <row r="34" ht="106.5" customHeight="1">
      <c r="A34" t="s" s="55">
        <v>56</v>
      </c>
      <c r="B34" t="s" s="38">
        <v>57</v>
      </c>
      <c r="C34" t="s" s="38">
        <v>58</v>
      </c>
      <c r="D34" t="s" s="40">
        <v>59</v>
      </c>
      <c r="E34" s="51"/>
      <c r="F34" s="52"/>
      <c r="G34" s="53"/>
      <c r="H34" s="20"/>
    </row>
    <row r="35" ht="91.5" customHeight="1">
      <c r="A35" t="s" s="54">
        <v>60</v>
      </c>
      <c r="B35" t="s" s="38">
        <v>61</v>
      </c>
      <c r="C35" t="s" s="38">
        <v>62</v>
      </c>
      <c r="D35" t="s" s="40">
        <v>63</v>
      </c>
      <c r="E35" s="51"/>
      <c r="F35" s="52"/>
      <c r="G35" s="53"/>
      <c r="H35" s="20"/>
    </row>
    <row r="36" ht="91.5" customHeight="1">
      <c r="A36" t="s" s="56">
        <v>64</v>
      </c>
      <c r="B36" t="s" s="43">
        <v>61</v>
      </c>
      <c r="C36" t="s" s="43">
        <v>62</v>
      </c>
      <c r="D36" t="s" s="45">
        <v>63</v>
      </c>
      <c r="E36" s="51"/>
      <c r="F36" s="52"/>
      <c r="G36" s="53"/>
      <c r="H36" s="20"/>
    </row>
    <row r="37" ht="17.45" customHeight="1">
      <c r="A37" s="57"/>
      <c r="B37" s="58"/>
      <c r="C37" s="58"/>
      <c r="D37" s="58"/>
      <c r="E37" s="59"/>
      <c r="F37" s="59"/>
      <c r="G37" s="60"/>
      <c r="H37" s="61"/>
    </row>
  </sheetData>
  <mergeCells count="11">
    <mergeCell ref="B8:H8"/>
    <mergeCell ref="B9:H9"/>
    <mergeCell ref="B4:H4"/>
    <mergeCell ref="A2:H2"/>
    <mergeCell ref="B6:H6"/>
    <mergeCell ref="B7:H7"/>
    <mergeCell ref="A1:H1"/>
    <mergeCell ref="B5:H5"/>
    <mergeCell ref="A12:H13"/>
    <mergeCell ref="A11:G11"/>
    <mergeCell ref="A10:G10"/>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H32"/>
  <sheetViews>
    <sheetView workbookViewId="0" showGridLines="0" defaultGridColor="1"/>
  </sheetViews>
  <sheetFormatPr defaultColWidth="8.83333" defaultRowHeight="15" customHeight="1" outlineLevelRow="0" outlineLevelCol="0"/>
  <cols>
    <col min="1" max="1" width="18" style="62" customWidth="1"/>
    <col min="2" max="2" width="22" style="62" customWidth="1"/>
    <col min="3" max="5" width="34" style="62" customWidth="1"/>
    <col min="6" max="6" width="42" style="62" customWidth="1"/>
    <col min="7" max="8" width="8.85156" style="62" customWidth="1"/>
    <col min="9" max="16384" width="8.85156" style="62" customWidth="1"/>
  </cols>
  <sheetData>
    <row r="1" ht="18.4" customHeight="1">
      <c r="A1" t="s" s="7">
        <v>66</v>
      </c>
      <c r="B1" s="8"/>
      <c r="C1" s="8"/>
      <c r="D1" s="8"/>
      <c r="E1" s="8"/>
      <c r="F1" s="8"/>
      <c r="G1" s="8"/>
      <c r="H1" s="9"/>
    </row>
    <row r="2" ht="18.4" customHeight="1">
      <c r="A2" t="s" s="63">
        <v>67</v>
      </c>
      <c r="B2" s="11"/>
      <c r="C2" s="11"/>
      <c r="D2" s="11"/>
      <c r="E2" s="11"/>
      <c r="F2" s="11"/>
      <c r="G2" s="11"/>
      <c r="H2" s="12"/>
    </row>
    <row r="3" ht="18.9" customHeight="1">
      <c r="A3" s="64"/>
      <c r="B3" s="65"/>
      <c r="C3" s="65"/>
      <c r="D3" s="65"/>
      <c r="E3" s="65"/>
      <c r="F3" s="65"/>
      <c r="G3" s="65"/>
      <c r="H3" s="66"/>
    </row>
    <row r="4" ht="19.4" customHeight="1">
      <c r="A4" t="s" s="67">
        <v>68</v>
      </c>
      <c r="B4" t="s" s="68">
        <v>69</v>
      </c>
      <c r="C4" t="s" s="68">
        <v>70</v>
      </c>
      <c r="D4" t="s" s="68">
        <v>71</v>
      </c>
      <c r="E4" t="s" s="68">
        <v>72</v>
      </c>
      <c r="F4" t="s" s="68">
        <v>73</v>
      </c>
      <c r="G4" s="69"/>
      <c r="H4" s="70"/>
    </row>
    <row r="5" ht="50.9" customHeight="1">
      <c r="A5" t="s" s="71">
        <v>28</v>
      </c>
      <c r="B5" t="s" s="72">
        <v>74</v>
      </c>
      <c r="C5" t="s" s="72">
        <v>75</v>
      </c>
      <c r="D5" t="s" s="72">
        <v>76</v>
      </c>
      <c r="E5" t="s" s="72">
        <v>77</v>
      </c>
      <c r="F5" t="s" s="72">
        <v>78</v>
      </c>
      <c r="G5" s="73"/>
      <c r="H5" s="74"/>
    </row>
    <row r="6" ht="34.4" customHeight="1">
      <c r="A6" t="s" s="75">
        <v>28</v>
      </c>
      <c r="B6" t="s" s="76">
        <v>79</v>
      </c>
      <c r="C6" t="s" s="76">
        <v>80</v>
      </c>
      <c r="D6" t="s" s="76">
        <v>81</v>
      </c>
      <c r="E6" t="s" s="76">
        <v>82</v>
      </c>
      <c r="F6" t="s" s="76">
        <v>83</v>
      </c>
      <c r="G6" s="77"/>
      <c r="H6" s="78"/>
    </row>
    <row r="7" ht="34.4" customHeight="1">
      <c r="A7" t="s" s="75">
        <v>28</v>
      </c>
      <c r="B7" t="s" s="76">
        <v>84</v>
      </c>
      <c r="C7" t="s" s="76">
        <v>85</v>
      </c>
      <c r="D7" t="s" s="76">
        <v>86</v>
      </c>
      <c r="E7" t="s" s="76">
        <v>87</v>
      </c>
      <c r="F7" t="s" s="76">
        <v>88</v>
      </c>
      <c r="G7" s="77"/>
      <c r="H7" s="78"/>
    </row>
    <row r="8" ht="34.4" customHeight="1">
      <c r="A8" t="s" s="75">
        <v>28</v>
      </c>
      <c r="B8" t="s" s="76">
        <v>89</v>
      </c>
      <c r="C8" t="s" s="76">
        <v>90</v>
      </c>
      <c r="D8" t="s" s="76">
        <v>91</v>
      </c>
      <c r="E8" t="s" s="76">
        <v>92</v>
      </c>
      <c r="F8" t="s" s="76">
        <v>93</v>
      </c>
      <c r="G8" s="77"/>
      <c r="H8" s="78"/>
    </row>
    <row r="9" ht="34.4" customHeight="1">
      <c r="A9" t="s" s="75">
        <v>28</v>
      </c>
      <c r="B9" t="s" s="76">
        <v>94</v>
      </c>
      <c r="C9" t="s" s="76">
        <v>95</v>
      </c>
      <c r="D9" t="s" s="76">
        <v>96</v>
      </c>
      <c r="E9" t="s" s="76">
        <v>97</v>
      </c>
      <c r="F9" t="s" s="76">
        <v>98</v>
      </c>
      <c r="G9" s="77"/>
      <c r="H9" s="78"/>
    </row>
    <row r="10" ht="34.4" customHeight="1">
      <c r="A10" t="s" s="75">
        <v>28</v>
      </c>
      <c r="B10" t="s" s="76">
        <v>99</v>
      </c>
      <c r="C10" t="s" s="76">
        <v>100</v>
      </c>
      <c r="D10" t="s" s="76">
        <v>101</v>
      </c>
      <c r="E10" t="s" s="76">
        <v>102</v>
      </c>
      <c r="F10" t="s" s="76">
        <v>103</v>
      </c>
      <c r="G10" s="77"/>
      <c r="H10" s="78"/>
    </row>
    <row r="11" ht="34.4" customHeight="1">
      <c r="A11" t="s" s="75">
        <v>104</v>
      </c>
      <c r="B11" t="s" s="76">
        <v>105</v>
      </c>
      <c r="C11" t="s" s="76">
        <v>106</v>
      </c>
      <c r="D11" t="s" s="76">
        <v>107</v>
      </c>
      <c r="E11" t="s" s="76">
        <v>108</v>
      </c>
      <c r="F11" t="s" s="76">
        <v>109</v>
      </c>
      <c r="G11" s="77"/>
      <c r="H11" s="78"/>
    </row>
    <row r="12" ht="18.4" customHeight="1">
      <c r="A12" t="s" s="75">
        <v>104</v>
      </c>
      <c r="B12" t="s" s="76">
        <v>110</v>
      </c>
      <c r="C12" t="s" s="76">
        <v>111</v>
      </c>
      <c r="D12" t="s" s="76">
        <v>112</v>
      </c>
      <c r="E12" t="s" s="76">
        <v>113</v>
      </c>
      <c r="F12" t="s" s="76">
        <v>114</v>
      </c>
      <c r="G12" s="77"/>
      <c r="H12" s="78"/>
    </row>
    <row r="13" ht="34.4" customHeight="1">
      <c r="A13" t="s" s="75">
        <v>104</v>
      </c>
      <c r="B13" t="s" s="76">
        <v>115</v>
      </c>
      <c r="C13" t="s" s="76">
        <v>116</v>
      </c>
      <c r="D13" t="s" s="76">
        <v>117</v>
      </c>
      <c r="E13" t="s" s="76">
        <v>118</v>
      </c>
      <c r="F13" t="s" s="76">
        <v>119</v>
      </c>
      <c r="G13" s="77"/>
      <c r="H13" s="78"/>
    </row>
    <row r="14" ht="18.4" customHeight="1">
      <c r="A14" t="s" s="75">
        <v>104</v>
      </c>
      <c r="B14" t="s" s="76">
        <v>120</v>
      </c>
      <c r="C14" t="s" s="76">
        <v>121</v>
      </c>
      <c r="D14" t="s" s="76">
        <v>122</v>
      </c>
      <c r="E14" t="s" s="76">
        <v>123</v>
      </c>
      <c r="F14" t="s" s="76">
        <v>124</v>
      </c>
      <c r="G14" s="77"/>
      <c r="H14" s="78"/>
    </row>
    <row r="15" ht="34.4" customHeight="1">
      <c r="A15" t="s" s="75">
        <v>104</v>
      </c>
      <c r="B15" t="s" s="76">
        <v>125</v>
      </c>
      <c r="C15" t="s" s="76">
        <v>126</v>
      </c>
      <c r="D15" t="s" s="76">
        <v>127</v>
      </c>
      <c r="E15" t="s" s="76">
        <v>128</v>
      </c>
      <c r="F15" t="s" s="76">
        <v>129</v>
      </c>
      <c r="G15" s="77"/>
      <c r="H15" s="78"/>
    </row>
    <row r="16" ht="18.4" customHeight="1">
      <c r="A16" t="s" s="75">
        <v>130</v>
      </c>
      <c r="B16" t="s" s="76">
        <v>131</v>
      </c>
      <c r="C16" t="s" s="76">
        <v>132</v>
      </c>
      <c r="D16" t="s" s="76">
        <v>133</v>
      </c>
      <c r="E16" t="s" s="76">
        <v>134</v>
      </c>
      <c r="F16" t="s" s="76">
        <v>135</v>
      </c>
      <c r="G16" s="77"/>
      <c r="H16" s="78"/>
    </row>
    <row r="17" ht="34.4" customHeight="1">
      <c r="A17" t="s" s="75">
        <v>130</v>
      </c>
      <c r="B17" t="s" s="76">
        <v>136</v>
      </c>
      <c r="C17" t="s" s="76">
        <v>137</v>
      </c>
      <c r="D17" t="s" s="76">
        <v>138</v>
      </c>
      <c r="E17" t="s" s="76">
        <v>139</v>
      </c>
      <c r="F17" t="s" s="76">
        <v>140</v>
      </c>
      <c r="G17" s="77"/>
      <c r="H17" s="78"/>
    </row>
    <row r="18" ht="34.4" customHeight="1">
      <c r="A18" t="s" s="75">
        <v>130</v>
      </c>
      <c r="B18" t="s" s="76">
        <v>141</v>
      </c>
      <c r="C18" t="s" s="76">
        <v>142</v>
      </c>
      <c r="D18" t="s" s="76">
        <v>143</v>
      </c>
      <c r="E18" t="s" s="76">
        <v>144</v>
      </c>
      <c r="F18" t="s" s="76">
        <v>145</v>
      </c>
      <c r="G18" s="77"/>
      <c r="H18" s="78"/>
    </row>
    <row r="19" ht="34.4" customHeight="1">
      <c r="A19" t="s" s="75">
        <v>130</v>
      </c>
      <c r="B19" t="s" s="76">
        <v>146</v>
      </c>
      <c r="C19" t="s" s="76">
        <v>147</v>
      </c>
      <c r="D19" t="s" s="76">
        <v>148</v>
      </c>
      <c r="E19" t="s" s="76">
        <v>149</v>
      </c>
      <c r="F19" t="s" s="76">
        <v>150</v>
      </c>
      <c r="G19" s="77"/>
      <c r="H19" s="78"/>
    </row>
    <row r="20" ht="34.4" customHeight="1">
      <c r="A20" t="s" s="75">
        <v>130</v>
      </c>
      <c r="B20" t="s" s="76">
        <v>151</v>
      </c>
      <c r="C20" t="s" s="76">
        <v>152</v>
      </c>
      <c r="D20" t="s" s="76">
        <v>153</v>
      </c>
      <c r="E20" t="s" s="76">
        <v>154</v>
      </c>
      <c r="F20" t="s" s="76">
        <v>155</v>
      </c>
      <c r="G20" s="77"/>
      <c r="H20" s="78"/>
    </row>
    <row r="21" ht="34.4" customHeight="1">
      <c r="A21" t="s" s="75">
        <v>156</v>
      </c>
      <c r="B21" t="s" s="76">
        <v>157</v>
      </c>
      <c r="C21" t="s" s="76">
        <v>158</v>
      </c>
      <c r="D21" t="s" s="76">
        <v>159</v>
      </c>
      <c r="E21" t="s" s="76">
        <v>160</v>
      </c>
      <c r="F21" t="s" s="76">
        <v>161</v>
      </c>
      <c r="G21" s="77"/>
      <c r="H21" s="78"/>
    </row>
    <row r="22" ht="34.4" customHeight="1">
      <c r="A22" t="s" s="75">
        <v>156</v>
      </c>
      <c r="B22" t="s" s="76">
        <v>162</v>
      </c>
      <c r="C22" t="s" s="76">
        <v>163</v>
      </c>
      <c r="D22" t="s" s="76">
        <v>164</v>
      </c>
      <c r="E22" t="s" s="76">
        <v>165</v>
      </c>
      <c r="F22" t="s" s="76">
        <v>166</v>
      </c>
      <c r="G22" s="77"/>
      <c r="H22" s="78"/>
    </row>
    <row r="23" ht="18.4" customHeight="1">
      <c r="A23" t="s" s="75">
        <v>156</v>
      </c>
      <c r="B23" t="s" s="76">
        <v>167</v>
      </c>
      <c r="C23" t="s" s="76">
        <v>168</v>
      </c>
      <c r="D23" t="s" s="76">
        <v>169</v>
      </c>
      <c r="E23" t="s" s="76">
        <v>170</v>
      </c>
      <c r="F23" t="s" s="76">
        <v>171</v>
      </c>
      <c r="G23" s="77"/>
      <c r="H23" s="78"/>
    </row>
    <row r="24" ht="18.4" customHeight="1">
      <c r="A24" t="s" s="75">
        <v>156</v>
      </c>
      <c r="B24" t="s" s="76">
        <v>172</v>
      </c>
      <c r="C24" t="s" s="76">
        <v>173</v>
      </c>
      <c r="D24" t="s" s="76">
        <v>174</v>
      </c>
      <c r="E24" t="s" s="76">
        <v>175</v>
      </c>
      <c r="F24" t="s" s="76">
        <v>176</v>
      </c>
      <c r="G24" s="77"/>
      <c r="H24" s="78"/>
    </row>
    <row r="25" ht="18.4" customHeight="1">
      <c r="A25" t="s" s="75">
        <v>177</v>
      </c>
      <c r="B25" t="s" s="76">
        <v>178</v>
      </c>
      <c r="C25" t="s" s="76">
        <v>179</v>
      </c>
      <c r="D25" t="s" s="76">
        <v>180</v>
      </c>
      <c r="E25" t="s" s="76">
        <v>181</v>
      </c>
      <c r="F25" t="s" s="76">
        <v>182</v>
      </c>
      <c r="G25" s="77"/>
      <c r="H25" s="78"/>
    </row>
    <row r="26" ht="18.4" customHeight="1">
      <c r="A26" t="s" s="75">
        <v>177</v>
      </c>
      <c r="B26" t="s" s="76">
        <v>183</v>
      </c>
      <c r="C26" t="s" s="76">
        <v>184</v>
      </c>
      <c r="D26" t="s" s="76">
        <v>185</v>
      </c>
      <c r="E26" t="s" s="76">
        <v>186</v>
      </c>
      <c r="F26" t="s" s="76">
        <v>187</v>
      </c>
      <c r="G26" s="77"/>
      <c r="H26" s="78"/>
    </row>
    <row r="27" ht="18.4" customHeight="1">
      <c r="A27" t="s" s="75">
        <v>177</v>
      </c>
      <c r="B27" t="s" s="76">
        <v>188</v>
      </c>
      <c r="C27" t="s" s="76">
        <v>189</v>
      </c>
      <c r="D27" t="s" s="76">
        <v>190</v>
      </c>
      <c r="E27" t="s" s="76">
        <v>191</v>
      </c>
      <c r="F27" t="s" s="76">
        <v>192</v>
      </c>
      <c r="G27" s="77"/>
      <c r="H27" s="78"/>
    </row>
    <row r="28" ht="18.4" customHeight="1">
      <c r="A28" t="s" s="75">
        <v>177</v>
      </c>
      <c r="B28" t="s" s="76">
        <v>193</v>
      </c>
      <c r="C28" t="s" s="76">
        <v>194</v>
      </c>
      <c r="D28" t="s" s="76">
        <v>195</v>
      </c>
      <c r="E28" t="s" s="76">
        <v>196</v>
      </c>
      <c r="F28" t="s" s="76">
        <v>197</v>
      </c>
      <c r="G28" s="77"/>
      <c r="H28" s="78"/>
    </row>
    <row r="29" ht="18.4" customHeight="1">
      <c r="A29" t="s" s="75">
        <v>198</v>
      </c>
      <c r="B29" t="s" s="76">
        <v>199</v>
      </c>
      <c r="C29" t="s" s="76">
        <v>200</v>
      </c>
      <c r="D29" t="s" s="76">
        <v>201</v>
      </c>
      <c r="E29" t="s" s="76">
        <v>202</v>
      </c>
      <c r="F29" t="s" s="76">
        <v>203</v>
      </c>
      <c r="G29" s="77"/>
      <c r="H29" s="78"/>
    </row>
    <row r="30" ht="18.4" customHeight="1">
      <c r="A30" t="s" s="75">
        <v>198</v>
      </c>
      <c r="B30" t="s" s="76">
        <v>204</v>
      </c>
      <c r="C30" t="s" s="76">
        <v>205</v>
      </c>
      <c r="D30" t="s" s="76">
        <v>206</v>
      </c>
      <c r="E30" t="s" s="76">
        <v>207</v>
      </c>
      <c r="F30" t="s" s="76">
        <v>208</v>
      </c>
      <c r="G30" s="77"/>
      <c r="H30" s="78"/>
    </row>
    <row r="31" ht="18.4" customHeight="1">
      <c r="A31" t="s" s="75">
        <v>198</v>
      </c>
      <c r="B31" t="s" s="76">
        <v>209</v>
      </c>
      <c r="C31" t="s" s="76">
        <v>210</v>
      </c>
      <c r="D31" t="s" s="76">
        <v>211</v>
      </c>
      <c r="E31" t="s" s="76">
        <v>212</v>
      </c>
      <c r="F31" t="s" s="76">
        <v>213</v>
      </c>
      <c r="G31" s="77"/>
      <c r="H31" s="78"/>
    </row>
    <row r="32" ht="18.4" customHeight="1">
      <c r="A32" t="s" s="79">
        <v>214</v>
      </c>
      <c r="B32" t="s" s="80">
        <v>214</v>
      </c>
      <c r="C32" t="s" s="80">
        <v>215</v>
      </c>
      <c r="D32" t="s" s="80">
        <v>216</v>
      </c>
      <c r="E32" t="s" s="80">
        <v>217</v>
      </c>
      <c r="F32" t="s" s="80">
        <v>218</v>
      </c>
      <c r="G32" s="81"/>
      <c r="H32" s="82"/>
    </row>
  </sheetData>
  <mergeCells count="2">
    <mergeCell ref="A2:H2"/>
    <mergeCell ref="A1:H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Q529"/>
  <sheetViews>
    <sheetView workbookViewId="0" showGridLines="0" defaultGridColor="1"/>
  </sheetViews>
  <sheetFormatPr defaultColWidth="8.83333" defaultRowHeight="15" customHeight="1" outlineLevelRow="0" outlineLevelCol="0"/>
  <cols>
    <col min="1" max="1" width="11" style="83" customWidth="1"/>
    <col min="2" max="2" width="12" style="83" customWidth="1"/>
    <col min="3" max="3" width="24" style="83" customWidth="1"/>
    <col min="4" max="4" width="22" style="83" customWidth="1"/>
    <col min="5" max="5" width="18" style="83" customWidth="1"/>
    <col min="6" max="6" width="14" style="83" customWidth="1"/>
    <col min="7" max="7" width="58" style="83" customWidth="1"/>
    <col min="8" max="11" width="18" style="83" customWidth="1"/>
    <col min="12" max="12" width="14" style="83" customWidth="1"/>
    <col min="13" max="13" width="28" style="83" customWidth="1"/>
    <col min="14" max="15" width="12" style="83" customWidth="1"/>
    <col min="16" max="16" width="22" style="83" customWidth="1"/>
    <col min="17" max="17" width="36" style="83" customWidth="1"/>
    <col min="18" max="16384" width="8.85156" style="83" customWidth="1"/>
  </cols>
  <sheetData>
    <row r="1" ht="17.45" customHeight="1">
      <c r="A1" t="s" s="84">
        <v>220</v>
      </c>
      <c r="B1" s="8"/>
      <c r="C1" s="8"/>
      <c r="D1" s="8"/>
      <c r="E1" s="8"/>
      <c r="F1" s="8"/>
      <c r="G1" s="8"/>
      <c r="H1" s="8"/>
      <c r="I1" s="85"/>
      <c r="J1" s="85"/>
      <c r="K1" s="85"/>
      <c r="L1" s="85"/>
      <c r="M1" s="85"/>
      <c r="N1" s="85"/>
      <c r="O1" s="85"/>
      <c r="P1" s="85"/>
      <c r="Q1" s="86"/>
    </row>
    <row r="2" ht="17.45" customHeight="1">
      <c r="A2" t="s" s="87">
        <v>221</v>
      </c>
      <c r="B2" s="11"/>
      <c r="C2" s="11"/>
      <c r="D2" s="11"/>
      <c r="E2" s="11"/>
      <c r="F2" s="11"/>
      <c r="G2" s="11"/>
      <c r="H2" s="11"/>
      <c r="I2" s="14"/>
      <c r="J2" s="14"/>
      <c r="K2" s="14"/>
      <c r="L2" s="14"/>
      <c r="M2" s="14"/>
      <c r="N2" s="14"/>
      <c r="O2" s="14"/>
      <c r="P2" s="14"/>
      <c r="Q2" s="15"/>
    </row>
    <row r="3" ht="17.95" customHeight="1">
      <c r="A3" s="88"/>
      <c r="B3" s="89"/>
      <c r="C3" s="89"/>
      <c r="D3" s="89"/>
      <c r="E3" s="89"/>
      <c r="F3" s="89"/>
      <c r="G3" s="89"/>
      <c r="H3" s="89"/>
      <c r="I3" s="89"/>
      <c r="J3" s="89"/>
      <c r="K3" s="89"/>
      <c r="L3" s="89"/>
      <c r="M3" s="89"/>
      <c r="N3" s="89"/>
      <c r="O3" s="89"/>
      <c r="P3" s="89"/>
      <c r="Q3" s="90"/>
    </row>
    <row r="4" ht="42" customHeight="1">
      <c r="A4" t="s" s="91">
        <v>222</v>
      </c>
      <c r="B4" t="s" s="92">
        <v>223</v>
      </c>
      <c r="C4" t="s" s="92">
        <v>68</v>
      </c>
      <c r="D4" t="s" s="92">
        <v>69</v>
      </c>
      <c r="E4" t="s" s="92">
        <v>224</v>
      </c>
      <c r="F4" t="s" s="92">
        <v>225</v>
      </c>
      <c r="G4" t="s" s="92">
        <v>226</v>
      </c>
      <c r="H4" t="s" s="92">
        <v>227</v>
      </c>
      <c r="I4" t="s" s="92">
        <v>228</v>
      </c>
      <c r="J4" t="s" s="92">
        <v>229</v>
      </c>
      <c r="K4" t="s" s="92">
        <v>230</v>
      </c>
      <c r="L4" t="s" s="92">
        <v>231</v>
      </c>
      <c r="M4" t="s" s="92">
        <v>232</v>
      </c>
      <c r="N4" t="s" s="92">
        <v>233</v>
      </c>
      <c r="O4" t="s" s="92">
        <v>234</v>
      </c>
      <c r="P4" t="s" s="92">
        <v>235</v>
      </c>
      <c r="Q4" t="s" s="93">
        <v>236</v>
      </c>
    </row>
    <row r="5" ht="42" customHeight="1">
      <c r="A5" t="s" s="94">
        <v>237</v>
      </c>
      <c r="B5" t="s" s="95">
        <v>238</v>
      </c>
      <c r="C5" t="s" s="95">
        <v>239</v>
      </c>
      <c r="D5" t="s" s="95">
        <v>240</v>
      </c>
      <c r="E5" t="s" s="95">
        <v>74</v>
      </c>
      <c r="F5" t="s" s="95">
        <v>241</v>
      </c>
      <c r="G5" t="s" s="96">
        <v>242</v>
      </c>
      <c r="H5" s="97"/>
      <c r="I5" s="97"/>
      <c r="J5" s="97"/>
      <c r="K5" s="97"/>
      <c r="L5" s="97"/>
      <c r="M5" t="s" s="96">
        <v>243</v>
      </c>
      <c r="N5" t="s" s="96">
        <v>244</v>
      </c>
      <c r="O5" t="s" s="96">
        <v>245</v>
      </c>
      <c r="P5" t="s" s="96">
        <v>246</v>
      </c>
      <c r="Q5" t="s" s="98">
        <v>247</v>
      </c>
    </row>
    <row r="6" ht="42" customHeight="1">
      <c r="A6" t="s" s="94">
        <v>248</v>
      </c>
      <c r="B6" t="s" s="95">
        <v>238</v>
      </c>
      <c r="C6" t="s" s="95">
        <v>239</v>
      </c>
      <c r="D6" t="s" s="95">
        <v>240</v>
      </c>
      <c r="E6" t="s" s="95">
        <v>74</v>
      </c>
      <c r="F6" t="s" s="95">
        <v>241</v>
      </c>
      <c r="G6" t="s" s="96">
        <v>249</v>
      </c>
      <c r="H6" s="97"/>
      <c r="I6" s="97"/>
      <c r="J6" s="97"/>
      <c r="K6" s="97"/>
      <c r="L6" s="97"/>
      <c r="M6" t="s" s="96">
        <v>243</v>
      </c>
      <c r="N6" t="s" s="96">
        <v>244</v>
      </c>
      <c r="O6" t="s" s="96">
        <v>245</v>
      </c>
      <c r="P6" t="s" s="96">
        <v>246</v>
      </c>
      <c r="Q6" t="s" s="98">
        <v>247</v>
      </c>
    </row>
    <row r="7" ht="42" customHeight="1">
      <c r="A7" t="s" s="94">
        <v>250</v>
      </c>
      <c r="B7" t="s" s="95">
        <v>238</v>
      </c>
      <c r="C7" t="s" s="95">
        <v>239</v>
      </c>
      <c r="D7" t="s" s="95">
        <v>240</v>
      </c>
      <c r="E7" t="s" s="95">
        <v>74</v>
      </c>
      <c r="F7" t="s" s="95">
        <v>241</v>
      </c>
      <c r="G7" t="s" s="96">
        <v>251</v>
      </c>
      <c r="H7" s="97"/>
      <c r="I7" s="97"/>
      <c r="J7" s="97"/>
      <c r="K7" s="97"/>
      <c r="L7" s="97"/>
      <c r="M7" t="s" s="96">
        <v>243</v>
      </c>
      <c r="N7" t="s" s="96">
        <v>244</v>
      </c>
      <c r="O7" t="s" s="96">
        <v>245</v>
      </c>
      <c r="P7" t="s" s="96">
        <v>246</v>
      </c>
      <c r="Q7" t="s" s="98">
        <v>247</v>
      </c>
    </row>
    <row r="8" ht="42" customHeight="1">
      <c r="A8" t="s" s="94">
        <v>252</v>
      </c>
      <c r="B8" t="s" s="95">
        <v>238</v>
      </c>
      <c r="C8" t="s" s="95">
        <v>239</v>
      </c>
      <c r="D8" t="s" s="95">
        <v>240</v>
      </c>
      <c r="E8" t="s" s="95">
        <v>74</v>
      </c>
      <c r="F8" t="s" s="95">
        <v>241</v>
      </c>
      <c r="G8" t="s" s="96">
        <v>253</v>
      </c>
      <c r="H8" s="97"/>
      <c r="I8" s="97"/>
      <c r="J8" s="97"/>
      <c r="K8" s="97"/>
      <c r="L8" s="97"/>
      <c r="M8" t="s" s="96">
        <v>243</v>
      </c>
      <c r="N8" t="s" s="96">
        <v>244</v>
      </c>
      <c r="O8" t="s" s="96">
        <v>245</v>
      </c>
      <c r="P8" t="s" s="96">
        <v>246</v>
      </c>
      <c r="Q8" t="s" s="98">
        <v>247</v>
      </c>
    </row>
    <row r="9" ht="42" customHeight="1">
      <c r="A9" t="s" s="94">
        <v>254</v>
      </c>
      <c r="B9" t="s" s="95">
        <v>238</v>
      </c>
      <c r="C9" t="s" s="95">
        <v>239</v>
      </c>
      <c r="D9" t="s" s="95">
        <v>240</v>
      </c>
      <c r="E9" t="s" s="95">
        <v>74</v>
      </c>
      <c r="F9" t="s" s="95">
        <v>241</v>
      </c>
      <c r="G9" t="s" s="96">
        <v>255</v>
      </c>
      <c r="H9" s="97"/>
      <c r="I9" s="97"/>
      <c r="J9" s="97"/>
      <c r="K9" s="97"/>
      <c r="L9" s="97"/>
      <c r="M9" t="s" s="96">
        <v>243</v>
      </c>
      <c r="N9" t="s" s="96">
        <v>244</v>
      </c>
      <c r="O9" t="s" s="96">
        <v>245</v>
      </c>
      <c r="P9" t="s" s="96">
        <v>246</v>
      </c>
      <c r="Q9" t="s" s="98">
        <v>247</v>
      </c>
    </row>
    <row r="10" ht="42" customHeight="1">
      <c r="A10" t="s" s="94">
        <v>256</v>
      </c>
      <c r="B10" t="s" s="95">
        <v>238</v>
      </c>
      <c r="C10" t="s" s="95">
        <v>239</v>
      </c>
      <c r="D10" t="s" s="95">
        <v>240</v>
      </c>
      <c r="E10" t="s" s="95">
        <v>74</v>
      </c>
      <c r="F10" t="s" s="95">
        <v>241</v>
      </c>
      <c r="G10" t="s" s="96">
        <v>257</v>
      </c>
      <c r="H10" s="97"/>
      <c r="I10" s="97"/>
      <c r="J10" s="97"/>
      <c r="K10" s="97"/>
      <c r="L10" s="97"/>
      <c r="M10" t="s" s="96">
        <v>243</v>
      </c>
      <c r="N10" t="s" s="96">
        <v>244</v>
      </c>
      <c r="O10" t="s" s="96">
        <v>245</v>
      </c>
      <c r="P10" t="s" s="96">
        <v>246</v>
      </c>
      <c r="Q10" t="s" s="98">
        <v>247</v>
      </c>
    </row>
    <row r="11" ht="42" customHeight="1">
      <c r="A11" t="s" s="94">
        <v>258</v>
      </c>
      <c r="B11" t="s" s="95">
        <v>238</v>
      </c>
      <c r="C11" t="s" s="95">
        <v>239</v>
      </c>
      <c r="D11" t="s" s="95">
        <v>240</v>
      </c>
      <c r="E11" t="s" s="95">
        <v>74</v>
      </c>
      <c r="F11" t="s" s="95">
        <v>241</v>
      </c>
      <c r="G11" t="s" s="96">
        <v>259</v>
      </c>
      <c r="H11" s="97"/>
      <c r="I11" s="97"/>
      <c r="J11" s="97"/>
      <c r="K11" s="97"/>
      <c r="L11" s="97"/>
      <c r="M11" t="s" s="96">
        <v>243</v>
      </c>
      <c r="N11" t="s" s="96">
        <v>244</v>
      </c>
      <c r="O11" t="s" s="96">
        <v>245</v>
      </c>
      <c r="P11" t="s" s="96">
        <v>246</v>
      </c>
      <c r="Q11" t="s" s="98">
        <v>247</v>
      </c>
    </row>
    <row r="12" ht="42" customHeight="1">
      <c r="A12" t="s" s="94">
        <v>260</v>
      </c>
      <c r="B12" t="s" s="95">
        <v>238</v>
      </c>
      <c r="C12" t="s" s="95">
        <v>239</v>
      </c>
      <c r="D12" t="s" s="95">
        <v>240</v>
      </c>
      <c r="E12" t="s" s="95">
        <v>74</v>
      </c>
      <c r="F12" t="s" s="95">
        <v>241</v>
      </c>
      <c r="G12" t="s" s="96">
        <v>261</v>
      </c>
      <c r="H12" s="97"/>
      <c r="I12" s="97"/>
      <c r="J12" s="97"/>
      <c r="K12" s="97"/>
      <c r="L12" s="97"/>
      <c r="M12" t="s" s="96">
        <v>243</v>
      </c>
      <c r="N12" t="s" s="96">
        <v>244</v>
      </c>
      <c r="O12" t="s" s="96">
        <v>245</v>
      </c>
      <c r="P12" t="s" s="96">
        <v>246</v>
      </c>
      <c r="Q12" t="s" s="98">
        <v>247</v>
      </c>
    </row>
    <row r="13" ht="42" customHeight="1">
      <c r="A13" t="s" s="94">
        <v>262</v>
      </c>
      <c r="B13" t="s" s="95">
        <v>238</v>
      </c>
      <c r="C13" t="s" s="95">
        <v>239</v>
      </c>
      <c r="D13" t="s" s="95">
        <v>240</v>
      </c>
      <c r="E13" t="s" s="95">
        <v>74</v>
      </c>
      <c r="F13" t="s" s="95">
        <v>241</v>
      </c>
      <c r="G13" t="s" s="96">
        <v>263</v>
      </c>
      <c r="H13" s="97"/>
      <c r="I13" s="97"/>
      <c r="J13" s="97"/>
      <c r="K13" s="97"/>
      <c r="L13" s="97"/>
      <c r="M13" t="s" s="96">
        <v>243</v>
      </c>
      <c r="N13" t="s" s="96">
        <v>244</v>
      </c>
      <c r="O13" t="s" s="96">
        <v>264</v>
      </c>
      <c r="P13" t="s" s="96">
        <v>246</v>
      </c>
      <c r="Q13" t="s" s="98">
        <v>247</v>
      </c>
    </row>
    <row r="14" ht="42" customHeight="1">
      <c r="A14" t="s" s="94">
        <v>265</v>
      </c>
      <c r="B14" t="s" s="95">
        <v>238</v>
      </c>
      <c r="C14" t="s" s="95">
        <v>239</v>
      </c>
      <c r="D14" t="s" s="95">
        <v>240</v>
      </c>
      <c r="E14" t="s" s="95">
        <v>74</v>
      </c>
      <c r="F14" t="s" s="95">
        <v>241</v>
      </c>
      <c r="G14" t="s" s="96">
        <v>266</v>
      </c>
      <c r="H14" s="97"/>
      <c r="I14" s="97"/>
      <c r="J14" s="97"/>
      <c r="K14" s="97"/>
      <c r="L14" s="97"/>
      <c r="M14" t="s" s="96">
        <v>243</v>
      </c>
      <c r="N14" t="s" s="96">
        <v>244</v>
      </c>
      <c r="O14" t="s" s="96">
        <v>264</v>
      </c>
      <c r="P14" t="s" s="96">
        <v>246</v>
      </c>
      <c r="Q14" t="s" s="98">
        <v>247</v>
      </c>
    </row>
    <row r="15" ht="42" customHeight="1">
      <c r="A15" t="s" s="94">
        <v>267</v>
      </c>
      <c r="B15" t="s" s="95">
        <v>238</v>
      </c>
      <c r="C15" t="s" s="95">
        <v>239</v>
      </c>
      <c r="D15" t="s" s="95">
        <v>240</v>
      </c>
      <c r="E15" t="s" s="95">
        <v>74</v>
      </c>
      <c r="F15" t="s" s="95">
        <v>241</v>
      </c>
      <c r="G15" t="s" s="96">
        <v>268</v>
      </c>
      <c r="H15" s="97"/>
      <c r="I15" s="97"/>
      <c r="J15" s="97"/>
      <c r="K15" s="97"/>
      <c r="L15" s="97"/>
      <c r="M15" t="s" s="96">
        <v>243</v>
      </c>
      <c r="N15" t="s" s="96">
        <v>244</v>
      </c>
      <c r="O15" t="s" s="96">
        <v>264</v>
      </c>
      <c r="P15" t="s" s="96">
        <v>246</v>
      </c>
      <c r="Q15" t="s" s="98">
        <v>247</v>
      </c>
    </row>
    <row r="16" ht="42" customHeight="1">
      <c r="A16" t="s" s="94">
        <v>269</v>
      </c>
      <c r="B16" t="s" s="95">
        <v>238</v>
      </c>
      <c r="C16" t="s" s="95">
        <v>239</v>
      </c>
      <c r="D16" t="s" s="95">
        <v>240</v>
      </c>
      <c r="E16" t="s" s="95">
        <v>74</v>
      </c>
      <c r="F16" t="s" s="95">
        <v>241</v>
      </c>
      <c r="G16" t="s" s="96">
        <v>270</v>
      </c>
      <c r="H16" s="97"/>
      <c r="I16" s="97"/>
      <c r="J16" s="97"/>
      <c r="K16" s="97"/>
      <c r="L16" s="97"/>
      <c r="M16" t="s" s="96">
        <v>243</v>
      </c>
      <c r="N16" t="s" s="96">
        <v>244</v>
      </c>
      <c r="O16" t="s" s="96">
        <v>264</v>
      </c>
      <c r="P16" t="s" s="96">
        <v>246</v>
      </c>
      <c r="Q16" t="s" s="98">
        <v>247</v>
      </c>
    </row>
    <row r="17" ht="42" customHeight="1">
      <c r="A17" t="s" s="94">
        <v>271</v>
      </c>
      <c r="B17" t="s" s="95">
        <v>238</v>
      </c>
      <c r="C17" t="s" s="95">
        <v>239</v>
      </c>
      <c r="D17" t="s" s="95">
        <v>240</v>
      </c>
      <c r="E17" t="s" s="95">
        <v>74</v>
      </c>
      <c r="F17" t="s" s="95">
        <v>241</v>
      </c>
      <c r="G17" t="s" s="96">
        <v>272</v>
      </c>
      <c r="H17" s="97"/>
      <c r="I17" s="97"/>
      <c r="J17" s="97"/>
      <c r="K17" s="97"/>
      <c r="L17" s="97"/>
      <c r="M17" t="s" s="96">
        <v>243</v>
      </c>
      <c r="N17" t="s" s="96">
        <v>244</v>
      </c>
      <c r="O17" t="s" s="96">
        <v>264</v>
      </c>
      <c r="P17" t="s" s="96">
        <v>246</v>
      </c>
      <c r="Q17" t="s" s="98">
        <v>247</v>
      </c>
    </row>
    <row r="18" ht="42" customHeight="1">
      <c r="A18" t="s" s="94">
        <v>273</v>
      </c>
      <c r="B18" t="s" s="95">
        <v>238</v>
      </c>
      <c r="C18" t="s" s="95">
        <v>239</v>
      </c>
      <c r="D18" t="s" s="95">
        <v>240</v>
      </c>
      <c r="E18" t="s" s="95">
        <v>74</v>
      </c>
      <c r="F18" t="s" s="95">
        <v>241</v>
      </c>
      <c r="G18" t="s" s="96">
        <v>274</v>
      </c>
      <c r="H18" s="97"/>
      <c r="I18" s="97"/>
      <c r="J18" s="97"/>
      <c r="K18" s="97"/>
      <c r="L18" s="97"/>
      <c r="M18" t="s" s="96">
        <v>243</v>
      </c>
      <c r="N18" t="s" s="96">
        <v>244</v>
      </c>
      <c r="O18" t="s" s="96">
        <v>264</v>
      </c>
      <c r="P18" t="s" s="96">
        <v>246</v>
      </c>
      <c r="Q18" t="s" s="98">
        <v>247</v>
      </c>
    </row>
    <row r="19" ht="42" customHeight="1">
      <c r="A19" t="s" s="94">
        <v>275</v>
      </c>
      <c r="B19" t="s" s="95">
        <v>238</v>
      </c>
      <c r="C19" t="s" s="95">
        <v>239</v>
      </c>
      <c r="D19" t="s" s="95">
        <v>240</v>
      </c>
      <c r="E19" t="s" s="95">
        <v>74</v>
      </c>
      <c r="F19" t="s" s="95">
        <v>241</v>
      </c>
      <c r="G19" t="s" s="96">
        <v>276</v>
      </c>
      <c r="H19" s="97"/>
      <c r="I19" s="97"/>
      <c r="J19" s="97"/>
      <c r="K19" s="97"/>
      <c r="L19" s="97"/>
      <c r="M19" t="s" s="96">
        <v>243</v>
      </c>
      <c r="N19" t="s" s="96">
        <v>244</v>
      </c>
      <c r="O19" t="s" s="96">
        <v>264</v>
      </c>
      <c r="P19" t="s" s="96">
        <v>246</v>
      </c>
      <c r="Q19" t="s" s="98">
        <v>247</v>
      </c>
    </row>
    <row r="20" ht="42" customHeight="1">
      <c r="A20" t="s" s="94">
        <v>277</v>
      </c>
      <c r="B20" t="s" s="95">
        <v>238</v>
      </c>
      <c r="C20" t="s" s="95">
        <v>239</v>
      </c>
      <c r="D20" t="s" s="95">
        <v>278</v>
      </c>
      <c r="E20" t="s" s="95">
        <v>79</v>
      </c>
      <c r="F20" t="s" s="95">
        <v>241</v>
      </c>
      <c r="G20" t="s" s="96">
        <v>279</v>
      </c>
      <c r="H20" s="97"/>
      <c r="I20" s="97"/>
      <c r="J20" s="97"/>
      <c r="K20" s="97"/>
      <c r="L20" s="97"/>
      <c r="M20" t="s" s="96">
        <v>243</v>
      </c>
      <c r="N20" t="s" s="96">
        <v>244</v>
      </c>
      <c r="O20" t="s" s="96">
        <v>245</v>
      </c>
      <c r="P20" t="s" s="96">
        <v>280</v>
      </c>
      <c r="Q20" t="s" s="98">
        <v>247</v>
      </c>
    </row>
    <row r="21" ht="42" customHeight="1">
      <c r="A21" t="s" s="94">
        <v>281</v>
      </c>
      <c r="B21" t="s" s="95">
        <v>238</v>
      </c>
      <c r="C21" t="s" s="95">
        <v>239</v>
      </c>
      <c r="D21" t="s" s="95">
        <v>278</v>
      </c>
      <c r="E21" t="s" s="95">
        <v>79</v>
      </c>
      <c r="F21" t="s" s="95">
        <v>241</v>
      </c>
      <c r="G21" t="s" s="96">
        <v>282</v>
      </c>
      <c r="H21" s="97"/>
      <c r="I21" s="97"/>
      <c r="J21" s="97"/>
      <c r="K21" s="97"/>
      <c r="L21" s="97"/>
      <c r="M21" t="s" s="96">
        <v>243</v>
      </c>
      <c r="N21" t="s" s="96">
        <v>244</v>
      </c>
      <c r="O21" t="s" s="96">
        <v>245</v>
      </c>
      <c r="P21" t="s" s="96">
        <v>280</v>
      </c>
      <c r="Q21" t="s" s="98">
        <v>247</v>
      </c>
    </row>
    <row r="22" ht="42" customHeight="1">
      <c r="A22" t="s" s="94">
        <v>283</v>
      </c>
      <c r="B22" t="s" s="95">
        <v>238</v>
      </c>
      <c r="C22" t="s" s="95">
        <v>239</v>
      </c>
      <c r="D22" t="s" s="95">
        <v>278</v>
      </c>
      <c r="E22" t="s" s="95">
        <v>79</v>
      </c>
      <c r="F22" t="s" s="95">
        <v>241</v>
      </c>
      <c r="G22" t="s" s="96">
        <v>284</v>
      </c>
      <c r="H22" s="97"/>
      <c r="I22" s="97"/>
      <c r="J22" s="97"/>
      <c r="K22" s="97"/>
      <c r="L22" s="97"/>
      <c r="M22" t="s" s="96">
        <v>243</v>
      </c>
      <c r="N22" t="s" s="96">
        <v>244</v>
      </c>
      <c r="O22" t="s" s="96">
        <v>245</v>
      </c>
      <c r="P22" t="s" s="96">
        <v>280</v>
      </c>
      <c r="Q22" t="s" s="98">
        <v>247</v>
      </c>
    </row>
    <row r="23" ht="42" customHeight="1">
      <c r="A23" t="s" s="94">
        <v>285</v>
      </c>
      <c r="B23" t="s" s="95">
        <v>238</v>
      </c>
      <c r="C23" t="s" s="95">
        <v>239</v>
      </c>
      <c r="D23" t="s" s="95">
        <v>278</v>
      </c>
      <c r="E23" t="s" s="95">
        <v>79</v>
      </c>
      <c r="F23" t="s" s="95">
        <v>241</v>
      </c>
      <c r="G23" t="s" s="96">
        <v>286</v>
      </c>
      <c r="H23" s="97"/>
      <c r="I23" s="97"/>
      <c r="J23" s="97"/>
      <c r="K23" s="97"/>
      <c r="L23" s="97"/>
      <c r="M23" t="s" s="96">
        <v>243</v>
      </c>
      <c r="N23" t="s" s="96">
        <v>244</v>
      </c>
      <c r="O23" t="s" s="96">
        <v>245</v>
      </c>
      <c r="P23" t="s" s="96">
        <v>280</v>
      </c>
      <c r="Q23" t="s" s="98">
        <v>247</v>
      </c>
    </row>
    <row r="24" ht="42" customHeight="1">
      <c r="A24" t="s" s="94">
        <v>287</v>
      </c>
      <c r="B24" t="s" s="95">
        <v>238</v>
      </c>
      <c r="C24" t="s" s="95">
        <v>239</v>
      </c>
      <c r="D24" t="s" s="95">
        <v>278</v>
      </c>
      <c r="E24" t="s" s="95">
        <v>79</v>
      </c>
      <c r="F24" t="s" s="95">
        <v>241</v>
      </c>
      <c r="G24" t="s" s="96">
        <v>288</v>
      </c>
      <c r="H24" s="97"/>
      <c r="I24" s="97"/>
      <c r="J24" s="97"/>
      <c r="K24" s="97"/>
      <c r="L24" s="97"/>
      <c r="M24" t="s" s="96">
        <v>243</v>
      </c>
      <c r="N24" t="s" s="96">
        <v>244</v>
      </c>
      <c r="O24" t="s" s="96">
        <v>245</v>
      </c>
      <c r="P24" t="s" s="96">
        <v>280</v>
      </c>
      <c r="Q24" t="s" s="98">
        <v>247</v>
      </c>
    </row>
    <row r="25" ht="42" customHeight="1">
      <c r="A25" t="s" s="94">
        <v>289</v>
      </c>
      <c r="B25" t="s" s="95">
        <v>238</v>
      </c>
      <c r="C25" t="s" s="95">
        <v>239</v>
      </c>
      <c r="D25" t="s" s="95">
        <v>278</v>
      </c>
      <c r="E25" t="s" s="95">
        <v>79</v>
      </c>
      <c r="F25" t="s" s="95">
        <v>241</v>
      </c>
      <c r="G25" t="s" s="96">
        <v>290</v>
      </c>
      <c r="H25" s="97"/>
      <c r="I25" s="97"/>
      <c r="J25" s="97"/>
      <c r="K25" s="97"/>
      <c r="L25" s="97"/>
      <c r="M25" t="s" s="96">
        <v>243</v>
      </c>
      <c r="N25" t="s" s="96">
        <v>244</v>
      </c>
      <c r="O25" t="s" s="96">
        <v>245</v>
      </c>
      <c r="P25" t="s" s="96">
        <v>280</v>
      </c>
      <c r="Q25" t="s" s="98">
        <v>247</v>
      </c>
    </row>
    <row r="26" ht="42" customHeight="1">
      <c r="A26" t="s" s="94">
        <v>291</v>
      </c>
      <c r="B26" t="s" s="95">
        <v>238</v>
      </c>
      <c r="C26" t="s" s="95">
        <v>239</v>
      </c>
      <c r="D26" t="s" s="95">
        <v>278</v>
      </c>
      <c r="E26" t="s" s="95">
        <v>79</v>
      </c>
      <c r="F26" t="s" s="95">
        <v>241</v>
      </c>
      <c r="G26" t="s" s="96">
        <v>292</v>
      </c>
      <c r="H26" s="97"/>
      <c r="I26" s="97"/>
      <c r="J26" s="97"/>
      <c r="K26" s="97"/>
      <c r="L26" s="97"/>
      <c r="M26" t="s" s="96">
        <v>243</v>
      </c>
      <c r="N26" t="s" s="96">
        <v>244</v>
      </c>
      <c r="O26" t="s" s="96">
        <v>245</v>
      </c>
      <c r="P26" t="s" s="96">
        <v>280</v>
      </c>
      <c r="Q26" t="s" s="98">
        <v>247</v>
      </c>
    </row>
    <row r="27" ht="42" customHeight="1">
      <c r="A27" t="s" s="94">
        <v>293</v>
      </c>
      <c r="B27" t="s" s="95">
        <v>238</v>
      </c>
      <c r="C27" t="s" s="95">
        <v>239</v>
      </c>
      <c r="D27" t="s" s="95">
        <v>278</v>
      </c>
      <c r="E27" t="s" s="95">
        <v>79</v>
      </c>
      <c r="F27" t="s" s="95">
        <v>241</v>
      </c>
      <c r="G27" t="s" s="96">
        <v>294</v>
      </c>
      <c r="H27" s="97"/>
      <c r="I27" s="97"/>
      <c r="J27" s="97"/>
      <c r="K27" s="97"/>
      <c r="L27" s="97"/>
      <c r="M27" t="s" s="96">
        <v>243</v>
      </c>
      <c r="N27" t="s" s="96">
        <v>244</v>
      </c>
      <c r="O27" t="s" s="96">
        <v>245</v>
      </c>
      <c r="P27" t="s" s="96">
        <v>280</v>
      </c>
      <c r="Q27" t="s" s="98">
        <v>247</v>
      </c>
    </row>
    <row r="28" ht="42" customHeight="1">
      <c r="A28" t="s" s="94">
        <v>295</v>
      </c>
      <c r="B28" t="s" s="95">
        <v>238</v>
      </c>
      <c r="C28" t="s" s="95">
        <v>239</v>
      </c>
      <c r="D28" t="s" s="95">
        <v>278</v>
      </c>
      <c r="E28" t="s" s="95">
        <v>79</v>
      </c>
      <c r="F28" t="s" s="95">
        <v>241</v>
      </c>
      <c r="G28" t="s" s="96">
        <v>296</v>
      </c>
      <c r="H28" s="97"/>
      <c r="I28" s="97"/>
      <c r="J28" s="97"/>
      <c r="K28" s="97"/>
      <c r="L28" s="97"/>
      <c r="M28" t="s" s="96">
        <v>243</v>
      </c>
      <c r="N28" t="s" s="96">
        <v>244</v>
      </c>
      <c r="O28" t="s" s="96">
        <v>264</v>
      </c>
      <c r="P28" t="s" s="96">
        <v>280</v>
      </c>
      <c r="Q28" t="s" s="98">
        <v>247</v>
      </c>
    </row>
    <row r="29" ht="42" customHeight="1">
      <c r="A29" t="s" s="94">
        <v>297</v>
      </c>
      <c r="B29" t="s" s="95">
        <v>238</v>
      </c>
      <c r="C29" t="s" s="95">
        <v>239</v>
      </c>
      <c r="D29" t="s" s="95">
        <v>278</v>
      </c>
      <c r="E29" t="s" s="95">
        <v>79</v>
      </c>
      <c r="F29" t="s" s="95">
        <v>241</v>
      </c>
      <c r="G29" t="s" s="96">
        <v>298</v>
      </c>
      <c r="H29" s="97"/>
      <c r="I29" s="97"/>
      <c r="J29" s="97"/>
      <c r="K29" s="97"/>
      <c r="L29" s="97"/>
      <c r="M29" t="s" s="96">
        <v>243</v>
      </c>
      <c r="N29" t="s" s="96">
        <v>244</v>
      </c>
      <c r="O29" t="s" s="96">
        <v>264</v>
      </c>
      <c r="P29" t="s" s="96">
        <v>280</v>
      </c>
      <c r="Q29" t="s" s="98">
        <v>247</v>
      </c>
    </row>
    <row r="30" ht="42" customHeight="1">
      <c r="A30" t="s" s="94">
        <v>299</v>
      </c>
      <c r="B30" t="s" s="95">
        <v>238</v>
      </c>
      <c r="C30" t="s" s="95">
        <v>239</v>
      </c>
      <c r="D30" t="s" s="95">
        <v>278</v>
      </c>
      <c r="E30" t="s" s="95">
        <v>79</v>
      </c>
      <c r="F30" t="s" s="95">
        <v>241</v>
      </c>
      <c r="G30" t="s" s="96">
        <v>300</v>
      </c>
      <c r="H30" s="97"/>
      <c r="I30" s="97"/>
      <c r="J30" s="97"/>
      <c r="K30" s="97"/>
      <c r="L30" s="97"/>
      <c r="M30" t="s" s="96">
        <v>243</v>
      </c>
      <c r="N30" t="s" s="96">
        <v>244</v>
      </c>
      <c r="O30" t="s" s="96">
        <v>264</v>
      </c>
      <c r="P30" t="s" s="96">
        <v>280</v>
      </c>
      <c r="Q30" t="s" s="98">
        <v>247</v>
      </c>
    </row>
    <row r="31" ht="42" customHeight="1">
      <c r="A31" t="s" s="94">
        <v>301</v>
      </c>
      <c r="B31" t="s" s="95">
        <v>238</v>
      </c>
      <c r="C31" t="s" s="95">
        <v>239</v>
      </c>
      <c r="D31" t="s" s="95">
        <v>278</v>
      </c>
      <c r="E31" t="s" s="95">
        <v>79</v>
      </c>
      <c r="F31" t="s" s="95">
        <v>241</v>
      </c>
      <c r="G31" t="s" s="96">
        <v>302</v>
      </c>
      <c r="H31" s="97"/>
      <c r="I31" s="97"/>
      <c r="J31" s="97"/>
      <c r="K31" s="97"/>
      <c r="L31" s="97"/>
      <c r="M31" t="s" s="96">
        <v>243</v>
      </c>
      <c r="N31" t="s" s="96">
        <v>244</v>
      </c>
      <c r="O31" t="s" s="96">
        <v>264</v>
      </c>
      <c r="P31" t="s" s="96">
        <v>280</v>
      </c>
      <c r="Q31" t="s" s="98">
        <v>247</v>
      </c>
    </row>
    <row r="32" ht="42" customHeight="1">
      <c r="A32" t="s" s="94">
        <v>303</v>
      </c>
      <c r="B32" t="s" s="95">
        <v>238</v>
      </c>
      <c r="C32" t="s" s="95">
        <v>239</v>
      </c>
      <c r="D32" t="s" s="95">
        <v>278</v>
      </c>
      <c r="E32" t="s" s="95">
        <v>79</v>
      </c>
      <c r="F32" t="s" s="95">
        <v>241</v>
      </c>
      <c r="G32" t="s" s="96">
        <v>304</v>
      </c>
      <c r="H32" s="97"/>
      <c r="I32" s="97"/>
      <c r="J32" s="97"/>
      <c r="K32" s="97"/>
      <c r="L32" s="97"/>
      <c r="M32" t="s" s="96">
        <v>243</v>
      </c>
      <c r="N32" t="s" s="96">
        <v>244</v>
      </c>
      <c r="O32" t="s" s="96">
        <v>264</v>
      </c>
      <c r="P32" t="s" s="96">
        <v>280</v>
      </c>
      <c r="Q32" t="s" s="98">
        <v>247</v>
      </c>
    </row>
    <row r="33" ht="42" customHeight="1">
      <c r="A33" t="s" s="94">
        <v>305</v>
      </c>
      <c r="B33" t="s" s="95">
        <v>238</v>
      </c>
      <c r="C33" t="s" s="95">
        <v>239</v>
      </c>
      <c r="D33" t="s" s="95">
        <v>278</v>
      </c>
      <c r="E33" t="s" s="95">
        <v>79</v>
      </c>
      <c r="F33" t="s" s="95">
        <v>241</v>
      </c>
      <c r="G33" t="s" s="96">
        <v>306</v>
      </c>
      <c r="H33" s="97"/>
      <c r="I33" s="97"/>
      <c r="J33" s="97"/>
      <c r="K33" s="97"/>
      <c r="L33" s="97"/>
      <c r="M33" t="s" s="96">
        <v>243</v>
      </c>
      <c r="N33" t="s" s="96">
        <v>244</v>
      </c>
      <c r="O33" t="s" s="96">
        <v>264</v>
      </c>
      <c r="P33" t="s" s="96">
        <v>280</v>
      </c>
      <c r="Q33" t="s" s="98">
        <v>247</v>
      </c>
    </row>
    <row r="34" ht="42" customHeight="1">
      <c r="A34" t="s" s="94">
        <v>307</v>
      </c>
      <c r="B34" t="s" s="95">
        <v>238</v>
      </c>
      <c r="C34" t="s" s="95">
        <v>239</v>
      </c>
      <c r="D34" t="s" s="95">
        <v>278</v>
      </c>
      <c r="E34" t="s" s="95">
        <v>79</v>
      </c>
      <c r="F34" t="s" s="95">
        <v>241</v>
      </c>
      <c r="G34" t="s" s="96">
        <v>308</v>
      </c>
      <c r="H34" s="97"/>
      <c r="I34" s="97"/>
      <c r="J34" s="97"/>
      <c r="K34" s="97"/>
      <c r="L34" s="97"/>
      <c r="M34" t="s" s="96">
        <v>243</v>
      </c>
      <c r="N34" t="s" s="96">
        <v>244</v>
      </c>
      <c r="O34" t="s" s="96">
        <v>264</v>
      </c>
      <c r="P34" t="s" s="96">
        <v>280</v>
      </c>
      <c r="Q34" t="s" s="98">
        <v>247</v>
      </c>
    </row>
    <row r="35" ht="42" customHeight="1">
      <c r="A35" t="s" s="94">
        <v>309</v>
      </c>
      <c r="B35" t="s" s="95">
        <v>238</v>
      </c>
      <c r="C35" t="s" s="95">
        <v>239</v>
      </c>
      <c r="D35" t="s" s="95">
        <v>310</v>
      </c>
      <c r="E35" t="s" s="95">
        <v>84</v>
      </c>
      <c r="F35" t="s" s="95">
        <v>241</v>
      </c>
      <c r="G35" t="s" s="96">
        <v>311</v>
      </c>
      <c r="H35" s="97"/>
      <c r="I35" s="97"/>
      <c r="J35" s="97"/>
      <c r="K35" s="97"/>
      <c r="L35" s="97"/>
      <c r="M35" t="s" s="96">
        <v>243</v>
      </c>
      <c r="N35" t="s" s="96">
        <v>244</v>
      </c>
      <c r="O35" t="s" s="96">
        <v>245</v>
      </c>
      <c r="P35" t="s" s="96">
        <v>312</v>
      </c>
      <c r="Q35" t="s" s="98">
        <v>247</v>
      </c>
    </row>
    <row r="36" ht="42" customHeight="1">
      <c r="A36" t="s" s="94">
        <v>313</v>
      </c>
      <c r="B36" t="s" s="95">
        <v>238</v>
      </c>
      <c r="C36" t="s" s="95">
        <v>239</v>
      </c>
      <c r="D36" t="s" s="95">
        <v>310</v>
      </c>
      <c r="E36" t="s" s="95">
        <v>84</v>
      </c>
      <c r="F36" t="s" s="95">
        <v>241</v>
      </c>
      <c r="G36" t="s" s="96">
        <v>314</v>
      </c>
      <c r="H36" s="97"/>
      <c r="I36" s="97"/>
      <c r="J36" s="97"/>
      <c r="K36" s="97"/>
      <c r="L36" s="97"/>
      <c r="M36" t="s" s="96">
        <v>243</v>
      </c>
      <c r="N36" t="s" s="96">
        <v>244</v>
      </c>
      <c r="O36" t="s" s="96">
        <v>245</v>
      </c>
      <c r="P36" t="s" s="96">
        <v>312</v>
      </c>
      <c r="Q36" t="s" s="98">
        <v>247</v>
      </c>
    </row>
    <row r="37" ht="42" customHeight="1">
      <c r="A37" t="s" s="94">
        <v>315</v>
      </c>
      <c r="B37" t="s" s="95">
        <v>238</v>
      </c>
      <c r="C37" t="s" s="95">
        <v>239</v>
      </c>
      <c r="D37" t="s" s="95">
        <v>310</v>
      </c>
      <c r="E37" t="s" s="95">
        <v>84</v>
      </c>
      <c r="F37" t="s" s="95">
        <v>241</v>
      </c>
      <c r="G37" t="s" s="96">
        <v>316</v>
      </c>
      <c r="H37" s="97"/>
      <c r="I37" s="97"/>
      <c r="J37" s="97"/>
      <c r="K37" s="97"/>
      <c r="L37" s="97"/>
      <c r="M37" t="s" s="96">
        <v>243</v>
      </c>
      <c r="N37" t="s" s="96">
        <v>244</v>
      </c>
      <c r="O37" t="s" s="96">
        <v>245</v>
      </c>
      <c r="P37" t="s" s="96">
        <v>312</v>
      </c>
      <c r="Q37" t="s" s="98">
        <v>247</v>
      </c>
    </row>
    <row r="38" ht="42" customHeight="1">
      <c r="A38" t="s" s="94">
        <v>317</v>
      </c>
      <c r="B38" t="s" s="95">
        <v>238</v>
      </c>
      <c r="C38" t="s" s="95">
        <v>239</v>
      </c>
      <c r="D38" t="s" s="95">
        <v>310</v>
      </c>
      <c r="E38" t="s" s="95">
        <v>84</v>
      </c>
      <c r="F38" t="s" s="95">
        <v>241</v>
      </c>
      <c r="G38" t="s" s="96">
        <v>318</v>
      </c>
      <c r="H38" s="97"/>
      <c r="I38" s="97"/>
      <c r="J38" s="97"/>
      <c r="K38" s="97"/>
      <c r="L38" s="97"/>
      <c r="M38" t="s" s="96">
        <v>243</v>
      </c>
      <c r="N38" t="s" s="96">
        <v>244</v>
      </c>
      <c r="O38" t="s" s="96">
        <v>245</v>
      </c>
      <c r="P38" t="s" s="96">
        <v>312</v>
      </c>
      <c r="Q38" t="s" s="98">
        <v>247</v>
      </c>
    </row>
    <row r="39" ht="42" customHeight="1">
      <c r="A39" t="s" s="94">
        <v>319</v>
      </c>
      <c r="B39" t="s" s="95">
        <v>238</v>
      </c>
      <c r="C39" t="s" s="95">
        <v>239</v>
      </c>
      <c r="D39" t="s" s="95">
        <v>310</v>
      </c>
      <c r="E39" t="s" s="95">
        <v>84</v>
      </c>
      <c r="F39" t="s" s="95">
        <v>241</v>
      </c>
      <c r="G39" t="s" s="96">
        <v>320</v>
      </c>
      <c r="H39" s="97"/>
      <c r="I39" s="97"/>
      <c r="J39" s="97"/>
      <c r="K39" s="97"/>
      <c r="L39" s="97"/>
      <c r="M39" t="s" s="96">
        <v>243</v>
      </c>
      <c r="N39" t="s" s="96">
        <v>244</v>
      </c>
      <c r="O39" t="s" s="96">
        <v>245</v>
      </c>
      <c r="P39" t="s" s="96">
        <v>312</v>
      </c>
      <c r="Q39" t="s" s="98">
        <v>247</v>
      </c>
    </row>
    <row r="40" ht="42" customHeight="1">
      <c r="A40" t="s" s="94">
        <v>321</v>
      </c>
      <c r="B40" t="s" s="95">
        <v>238</v>
      </c>
      <c r="C40" t="s" s="95">
        <v>239</v>
      </c>
      <c r="D40" t="s" s="95">
        <v>310</v>
      </c>
      <c r="E40" t="s" s="95">
        <v>84</v>
      </c>
      <c r="F40" t="s" s="95">
        <v>241</v>
      </c>
      <c r="G40" t="s" s="96">
        <v>322</v>
      </c>
      <c r="H40" s="97"/>
      <c r="I40" s="97"/>
      <c r="J40" s="97"/>
      <c r="K40" s="97"/>
      <c r="L40" s="97"/>
      <c r="M40" t="s" s="96">
        <v>243</v>
      </c>
      <c r="N40" t="s" s="96">
        <v>244</v>
      </c>
      <c r="O40" t="s" s="96">
        <v>245</v>
      </c>
      <c r="P40" t="s" s="96">
        <v>312</v>
      </c>
      <c r="Q40" t="s" s="98">
        <v>247</v>
      </c>
    </row>
    <row r="41" ht="42" customHeight="1">
      <c r="A41" t="s" s="94">
        <v>323</v>
      </c>
      <c r="B41" t="s" s="95">
        <v>238</v>
      </c>
      <c r="C41" t="s" s="95">
        <v>239</v>
      </c>
      <c r="D41" t="s" s="95">
        <v>310</v>
      </c>
      <c r="E41" t="s" s="95">
        <v>84</v>
      </c>
      <c r="F41" t="s" s="95">
        <v>241</v>
      </c>
      <c r="G41" t="s" s="96">
        <v>324</v>
      </c>
      <c r="H41" s="97"/>
      <c r="I41" s="97"/>
      <c r="J41" s="97"/>
      <c r="K41" s="97"/>
      <c r="L41" s="97"/>
      <c r="M41" t="s" s="96">
        <v>243</v>
      </c>
      <c r="N41" t="s" s="96">
        <v>244</v>
      </c>
      <c r="O41" t="s" s="96">
        <v>245</v>
      </c>
      <c r="P41" t="s" s="96">
        <v>312</v>
      </c>
      <c r="Q41" t="s" s="98">
        <v>247</v>
      </c>
    </row>
    <row r="42" ht="42" customHeight="1">
      <c r="A42" t="s" s="94">
        <v>325</v>
      </c>
      <c r="B42" t="s" s="95">
        <v>238</v>
      </c>
      <c r="C42" t="s" s="95">
        <v>239</v>
      </c>
      <c r="D42" t="s" s="95">
        <v>310</v>
      </c>
      <c r="E42" t="s" s="95">
        <v>84</v>
      </c>
      <c r="F42" t="s" s="95">
        <v>241</v>
      </c>
      <c r="G42" t="s" s="96">
        <v>326</v>
      </c>
      <c r="H42" s="97"/>
      <c r="I42" s="97"/>
      <c r="J42" s="97"/>
      <c r="K42" s="97"/>
      <c r="L42" s="97"/>
      <c r="M42" t="s" s="96">
        <v>243</v>
      </c>
      <c r="N42" t="s" s="96">
        <v>244</v>
      </c>
      <c r="O42" t="s" s="96">
        <v>245</v>
      </c>
      <c r="P42" t="s" s="96">
        <v>312</v>
      </c>
      <c r="Q42" t="s" s="98">
        <v>247</v>
      </c>
    </row>
    <row r="43" ht="42" customHeight="1">
      <c r="A43" t="s" s="94">
        <v>327</v>
      </c>
      <c r="B43" t="s" s="95">
        <v>238</v>
      </c>
      <c r="C43" t="s" s="95">
        <v>239</v>
      </c>
      <c r="D43" t="s" s="95">
        <v>310</v>
      </c>
      <c r="E43" t="s" s="95">
        <v>84</v>
      </c>
      <c r="F43" t="s" s="95">
        <v>241</v>
      </c>
      <c r="G43" t="s" s="96">
        <v>328</v>
      </c>
      <c r="H43" s="97"/>
      <c r="I43" s="97"/>
      <c r="J43" s="97"/>
      <c r="K43" s="97"/>
      <c r="L43" s="97"/>
      <c r="M43" t="s" s="96">
        <v>243</v>
      </c>
      <c r="N43" t="s" s="96">
        <v>244</v>
      </c>
      <c r="O43" t="s" s="96">
        <v>264</v>
      </c>
      <c r="P43" t="s" s="96">
        <v>312</v>
      </c>
      <c r="Q43" t="s" s="98">
        <v>247</v>
      </c>
    </row>
    <row r="44" ht="42" customHeight="1">
      <c r="A44" t="s" s="94">
        <v>329</v>
      </c>
      <c r="B44" t="s" s="95">
        <v>238</v>
      </c>
      <c r="C44" t="s" s="95">
        <v>239</v>
      </c>
      <c r="D44" t="s" s="95">
        <v>310</v>
      </c>
      <c r="E44" t="s" s="95">
        <v>84</v>
      </c>
      <c r="F44" t="s" s="95">
        <v>241</v>
      </c>
      <c r="G44" t="s" s="96">
        <v>330</v>
      </c>
      <c r="H44" s="97"/>
      <c r="I44" s="97"/>
      <c r="J44" s="97"/>
      <c r="K44" s="97"/>
      <c r="L44" s="97"/>
      <c r="M44" t="s" s="96">
        <v>243</v>
      </c>
      <c r="N44" t="s" s="96">
        <v>244</v>
      </c>
      <c r="O44" t="s" s="96">
        <v>264</v>
      </c>
      <c r="P44" t="s" s="96">
        <v>312</v>
      </c>
      <c r="Q44" t="s" s="98">
        <v>247</v>
      </c>
    </row>
    <row r="45" ht="42" customHeight="1">
      <c r="A45" t="s" s="94">
        <v>331</v>
      </c>
      <c r="B45" t="s" s="95">
        <v>238</v>
      </c>
      <c r="C45" t="s" s="95">
        <v>239</v>
      </c>
      <c r="D45" t="s" s="95">
        <v>310</v>
      </c>
      <c r="E45" t="s" s="95">
        <v>84</v>
      </c>
      <c r="F45" t="s" s="95">
        <v>241</v>
      </c>
      <c r="G45" t="s" s="96">
        <v>332</v>
      </c>
      <c r="H45" s="97"/>
      <c r="I45" s="97"/>
      <c r="J45" s="97"/>
      <c r="K45" s="97"/>
      <c r="L45" s="97"/>
      <c r="M45" t="s" s="96">
        <v>243</v>
      </c>
      <c r="N45" t="s" s="96">
        <v>244</v>
      </c>
      <c r="O45" t="s" s="96">
        <v>264</v>
      </c>
      <c r="P45" t="s" s="96">
        <v>312</v>
      </c>
      <c r="Q45" t="s" s="98">
        <v>247</v>
      </c>
    </row>
    <row r="46" ht="42" customHeight="1">
      <c r="A46" t="s" s="94">
        <v>333</v>
      </c>
      <c r="B46" t="s" s="95">
        <v>238</v>
      </c>
      <c r="C46" t="s" s="95">
        <v>239</v>
      </c>
      <c r="D46" t="s" s="95">
        <v>310</v>
      </c>
      <c r="E46" t="s" s="95">
        <v>84</v>
      </c>
      <c r="F46" t="s" s="95">
        <v>241</v>
      </c>
      <c r="G46" t="s" s="96">
        <v>334</v>
      </c>
      <c r="H46" s="97"/>
      <c r="I46" s="97"/>
      <c r="J46" s="97"/>
      <c r="K46" s="97"/>
      <c r="L46" s="97"/>
      <c r="M46" t="s" s="96">
        <v>243</v>
      </c>
      <c r="N46" t="s" s="96">
        <v>244</v>
      </c>
      <c r="O46" t="s" s="96">
        <v>264</v>
      </c>
      <c r="P46" t="s" s="96">
        <v>312</v>
      </c>
      <c r="Q46" t="s" s="98">
        <v>247</v>
      </c>
    </row>
    <row r="47" ht="42" customHeight="1">
      <c r="A47" t="s" s="94">
        <v>335</v>
      </c>
      <c r="B47" t="s" s="95">
        <v>238</v>
      </c>
      <c r="C47" t="s" s="95">
        <v>239</v>
      </c>
      <c r="D47" t="s" s="95">
        <v>310</v>
      </c>
      <c r="E47" t="s" s="95">
        <v>84</v>
      </c>
      <c r="F47" t="s" s="95">
        <v>241</v>
      </c>
      <c r="G47" t="s" s="96">
        <v>336</v>
      </c>
      <c r="H47" s="97"/>
      <c r="I47" s="97"/>
      <c r="J47" s="97"/>
      <c r="K47" s="97"/>
      <c r="L47" s="97"/>
      <c r="M47" t="s" s="96">
        <v>243</v>
      </c>
      <c r="N47" t="s" s="96">
        <v>244</v>
      </c>
      <c r="O47" t="s" s="96">
        <v>264</v>
      </c>
      <c r="P47" t="s" s="96">
        <v>312</v>
      </c>
      <c r="Q47" t="s" s="98">
        <v>247</v>
      </c>
    </row>
    <row r="48" ht="42" customHeight="1">
      <c r="A48" t="s" s="94">
        <v>337</v>
      </c>
      <c r="B48" t="s" s="95">
        <v>238</v>
      </c>
      <c r="C48" t="s" s="95">
        <v>239</v>
      </c>
      <c r="D48" t="s" s="95">
        <v>310</v>
      </c>
      <c r="E48" t="s" s="95">
        <v>84</v>
      </c>
      <c r="F48" t="s" s="95">
        <v>241</v>
      </c>
      <c r="G48" t="s" s="96">
        <v>338</v>
      </c>
      <c r="H48" s="97"/>
      <c r="I48" s="97"/>
      <c r="J48" s="97"/>
      <c r="K48" s="97"/>
      <c r="L48" s="97"/>
      <c r="M48" t="s" s="96">
        <v>243</v>
      </c>
      <c r="N48" t="s" s="96">
        <v>244</v>
      </c>
      <c r="O48" t="s" s="96">
        <v>264</v>
      </c>
      <c r="P48" t="s" s="96">
        <v>312</v>
      </c>
      <c r="Q48" t="s" s="98">
        <v>247</v>
      </c>
    </row>
    <row r="49" ht="42" customHeight="1">
      <c r="A49" t="s" s="94">
        <v>339</v>
      </c>
      <c r="B49" t="s" s="95">
        <v>238</v>
      </c>
      <c r="C49" t="s" s="95">
        <v>239</v>
      </c>
      <c r="D49" t="s" s="95">
        <v>310</v>
      </c>
      <c r="E49" t="s" s="95">
        <v>84</v>
      </c>
      <c r="F49" t="s" s="95">
        <v>241</v>
      </c>
      <c r="G49" t="s" s="96">
        <v>340</v>
      </c>
      <c r="H49" s="97"/>
      <c r="I49" s="97"/>
      <c r="J49" s="97"/>
      <c r="K49" s="97"/>
      <c r="L49" s="97"/>
      <c r="M49" t="s" s="96">
        <v>243</v>
      </c>
      <c r="N49" t="s" s="96">
        <v>244</v>
      </c>
      <c r="O49" t="s" s="96">
        <v>264</v>
      </c>
      <c r="P49" t="s" s="96">
        <v>312</v>
      </c>
      <c r="Q49" t="s" s="98">
        <v>247</v>
      </c>
    </row>
    <row r="50" ht="42" customHeight="1">
      <c r="A50" t="s" s="94">
        <v>341</v>
      </c>
      <c r="B50" t="s" s="95">
        <v>238</v>
      </c>
      <c r="C50" t="s" s="95">
        <v>239</v>
      </c>
      <c r="D50" t="s" s="95">
        <v>342</v>
      </c>
      <c r="E50" t="s" s="95">
        <v>89</v>
      </c>
      <c r="F50" t="s" s="95">
        <v>241</v>
      </c>
      <c r="G50" t="s" s="96">
        <v>343</v>
      </c>
      <c r="H50" s="97"/>
      <c r="I50" s="97"/>
      <c r="J50" s="97"/>
      <c r="K50" s="97"/>
      <c r="L50" s="97"/>
      <c r="M50" t="s" s="96">
        <v>243</v>
      </c>
      <c r="N50" t="s" s="96">
        <v>244</v>
      </c>
      <c r="O50" t="s" s="96">
        <v>245</v>
      </c>
      <c r="P50" t="s" s="96">
        <v>344</v>
      </c>
      <c r="Q50" t="s" s="98">
        <v>247</v>
      </c>
    </row>
    <row r="51" ht="42" customHeight="1">
      <c r="A51" t="s" s="94">
        <v>345</v>
      </c>
      <c r="B51" t="s" s="95">
        <v>238</v>
      </c>
      <c r="C51" t="s" s="95">
        <v>239</v>
      </c>
      <c r="D51" t="s" s="95">
        <v>342</v>
      </c>
      <c r="E51" t="s" s="95">
        <v>89</v>
      </c>
      <c r="F51" t="s" s="95">
        <v>241</v>
      </c>
      <c r="G51" t="s" s="96">
        <v>346</v>
      </c>
      <c r="H51" s="97"/>
      <c r="I51" s="97"/>
      <c r="J51" s="97"/>
      <c r="K51" s="97"/>
      <c r="L51" s="97"/>
      <c r="M51" t="s" s="96">
        <v>243</v>
      </c>
      <c r="N51" t="s" s="96">
        <v>244</v>
      </c>
      <c r="O51" t="s" s="96">
        <v>245</v>
      </c>
      <c r="P51" t="s" s="96">
        <v>344</v>
      </c>
      <c r="Q51" t="s" s="98">
        <v>247</v>
      </c>
    </row>
    <row r="52" ht="42" customHeight="1">
      <c r="A52" t="s" s="94">
        <v>347</v>
      </c>
      <c r="B52" t="s" s="95">
        <v>238</v>
      </c>
      <c r="C52" t="s" s="95">
        <v>239</v>
      </c>
      <c r="D52" t="s" s="95">
        <v>342</v>
      </c>
      <c r="E52" t="s" s="95">
        <v>89</v>
      </c>
      <c r="F52" t="s" s="95">
        <v>241</v>
      </c>
      <c r="G52" t="s" s="96">
        <v>348</v>
      </c>
      <c r="H52" s="97"/>
      <c r="I52" s="97"/>
      <c r="J52" s="97"/>
      <c r="K52" s="97"/>
      <c r="L52" s="97"/>
      <c r="M52" t="s" s="96">
        <v>243</v>
      </c>
      <c r="N52" t="s" s="96">
        <v>244</v>
      </c>
      <c r="O52" t="s" s="96">
        <v>245</v>
      </c>
      <c r="P52" t="s" s="96">
        <v>344</v>
      </c>
      <c r="Q52" t="s" s="98">
        <v>247</v>
      </c>
    </row>
    <row r="53" ht="42" customHeight="1">
      <c r="A53" t="s" s="94">
        <v>349</v>
      </c>
      <c r="B53" t="s" s="95">
        <v>238</v>
      </c>
      <c r="C53" t="s" s="95">
        <v>239</v>
      </c>
      <c r="D53" t="s" s="95">
        <v>342</v>
      </c>
      <c r="E53" t="s" s="95">
        <v>89</v>
      </c>
      <c r="F53" t="s" s="95">
        <v>241</v>
      </c>
      <c r="G53" t="s" s="96">
        <v>350</v>
      </c>
      <c r="H53" s="97"/>
      <c r="I53" s="97"/>
      <c r="J53" s="97"/>
      <c r="K53" s="97"/>
      <c r="L53" s="97"/>
      <c r="M53" t="s" s="96">
        <v>243</v>
      </c>
      <c r="N53" t="s" s="96">
        <v>244</v>
      </c>
      <c r="O53" t="s" s="96">
        <v>245</v>
      </c>
      <c r="P53" t="s" s="96">
        <v>344</v>
      </c>
      <c r="Q53" t="s" s="98">
        <v>247</v>
      </c>
    </row>
    <row r="54" ht="42" customHeight="1">
      <c r="A54" t="s" s="94">
        <v>351</v>
      </c>
      <c r="B54" t="s" s="95">
        <v>238</v>
      </c>
      <c r="C54" t="s" s="95">
        <v>239</v>
      </c>
      <c r="D54" t="s" s="95">
        <v>342</v>
      </c>
      <c r="E54" t="s" s="95">
        <v>89</v>
      </c>
      <c r="F54" t="s" s="95">
        <v>241</v>
      </c>
      <c r="G54" t="s" s="96">
        <v>352</v>
      </c>
      <c r="H54" s="97"/>
      <c r="I54" s="97"/>
      <c r="J54" s="97"/>
      <c r="K54" s="97"/>
      <c r="L54" s="97"/>
      <c r="M54" t="s" s="96">
        <v>243</v>
      </c>
      <c r="N54" t="s" s="96">
        <v>244</v>
      </c>
      <c r="O54" t="s" s="96">
        <v>245</v>
      </c>
      <c r="P54" t="s" s="96">
        <v>344</v>
      </c>
      <c r="Q54" t="s" s="98">
        <v>247</v>
      </c>
    </row>
    <row r="55" ht="42" customHeight="1">
      <c r="A55" t="s" s="94">
        <v>353</v>
      </c>
      <c r="B55" t="s" s="95">
        <v>238</v>
      </c>
      <c r="C55" t="s" s="95">
        <v>239</v>
      </c>
      <c r="D55" t="s" s="95">
        <v>342</v>
      </c>
      <c r="E55" t="s" s="95">
        <v>89</v>
      </c>
      <c r="F55" t="s" s="95">
        <v>241</v>
      </c>
      <c r="G55" t="s" s="96">
        <v>354</v>
      </c>
      <c r="H55" s="97"/>
      <c r="I55" s="97"/>
      <c r="J55" s="97"/>
      <c r="K55" s="97"/>
      <c r="L55" s="97"/>
      <c r="M55" t="s" s="96">
        <v>243</v>
      </c>
      <c r="N55" t="s" s="96">
        <v>244</v>
      </c>
      <c r="O55" t="s" s="96">
        <v>245</v>
      </c>
      <c r="P55" t="s" s="96">
        <v>344</v>
      </c>
      <c r="Q55" t="s" s="98">
        <v>247</v>
      </c>
    </row>
    <row r="56" ht="42" customHeight="1">
      <c r="A56" t="s" s="94">
        <v>355</v>
      </c>
      <c r="B56" t="s" s="95">
        <v>238</v>
      </c>
      <c r="C56" t="s" s="95">
        <v>239</v>
      </c>
      <c r="D56" t="s" s="95">
        <v>342</v>
      </c>
      <c r="E56" t="s" s="95">
        <v>89</v>
      </c>
      <c r="F56" t="s" s="95">
        <v>241</v>
      </c>
      <c r="G56" t="s" s="96">
        <v>356</v>
      </c>
      <c r="H56" s="97"/>
      <c r="I56" s="97"/>
      <c r="J56" s="97"/>
      <c r="K56" s="97"/>
      <c r="L56" s="97"/>
      <c r="M56" t="s" s="96">
        <v>243</v>
      </c>
      <c r="N56" t="s" s="96">
        <v>244</v>
      </c>
      <c r="O56" t="s" s="96">
        <v>245</v>
      </c>
      <c r="P56" t="s" s="96">
        <v>344</v>
      </c>
      <c r="Q56" t="s" s="98">
        <v>247</v>
      </c>
    </row>
    <row r="57" ht="42" customHeight="1">
      <c r="A57" t="s" s="94">
        <v>357</v>
      </c>
      <c r="B57" t="s" s="95">
        <v>238</v>
      </c>
      <c r="C57" t="s" s="95">
        <v>239</v>
      </c>
      <c r="D57" t="s" s="95">
        <v>342</v>
      </c>
      <c r="E57" t="s" s="95">
        <v>89</v>
      </c>
      <c r="F57" t="s" s="95">
        <v>241</v>
      </c>
      <c r="G57" t="s" s="96">
        <v>358</v>
      </c>
      <c r="H57" s="97"/>
      <c r="I57" s="97"/>
      <c r="J57" s="97"/>
      <c r="K57" s="97"/>
      <c r="L57" s="97"/>
      <c r="M57" t="s" s="96">
        <v>243</v>
      </c>
      <c r="N57" t="s" s="96">
        <v>244</v>
      </c>
      <c r="O57" t="s" s="96">
        <v>245</v>
      </c>
      <c r="P57" t="s" s="96">
        <v>344</v>
      </c>
      <c r="Q57" t="s" s="98">
        <v>247</v>
      </c>
    </row>
    <row r="58" ht="42" customHeight="1">
      <c r="A58" t="s" s="94">
        <v>359</v>
      </c>
      <c r="B58" t="s" s="95">
        <v>238</v>
      </c>
      <c r="C58" t="s" s="95">
        <v>239</v>
      </c>
      <c r="D58" t="s" s="95">
        <v>342</v>
      </c>
      <c r="E58" t="s" s="95">
        <v>89</v>
      </c>
      <c r="F58" t="s" s="95">
        <v>241</v>
      </c>
      <c r="G58" t="s" s="96">
        <v>360</v>
      </c>
      <c r="H58" s="97"/>
      <c r="I58" s="97"/>
      <c r="J58" s="97"/>
      <c r="K58" s="97"/>
      <c r="L58" s="97"/>
      <c r="M58" t="s" s="96">
        <v>243</v>
      </c>
      <c r="N58" t="s" s="96">
        <v>244</v>
      </c>
      <c r="O58" t="s" s="96">
        <v>264</v>
      </c>
      <c r="P58" t="s" s="96">
        <v>344</v>
      </c>
      <c r="Q58" t="s" s="98">
        <v>247</v>
      </c>
    </row>
    <row r="59" ht="42" customHeight="1">
      <c r="A59" t="s" s="94">
        <v>361</v>
      </c>
      <c r="B59" t="s" s="95">
        <v>238</v>
      </c>
      <c r="C59" t="s" s="95">
        <v>239</v>
      </c>
      <c r="D59" t="s" s="95">
        <v>342</v>
      </c>
      <c r="E59" t="s" s="95">
        <v>89</v>
      </c>
      <c r="F59" t="s" s="95">
        <v>241</v>
      </c>
      <c r="G59" t="s" s="96">
        <v>362</v>
      </c>
      <c r="H59" s="97"/>
      <c r="I59" s="97"/>
      <c r="J59" s="97"/>
      <c r="K59" s="97"/>
      <c r="L59" s="97"/>
      <c r="M59" t="s" s="96">
        <v>243</v>
      </c>
      <c r="N59" t="s" s="96">
        <v>244</v>
      </c>
      <c r="O59" t="s" s="96">
        <v>264</v>
      </c>
      <c r="P59" t="s" s="96">
        <v>344</v>
      </c>
      <c r="Q59" t="s" s="98">
        <v>247</v>
      </c>
    </row>
    <row r="60" ht="42" customHeight="1">
      <c r="A60" t="s" s="94">
        <v>363</v>
      </c>
      <c r="B60" t="s" s="95">
        <v>238</v>
      </c>
      <c r="C60" t="s" s="95">
        <v>239</v>
      </c>
      <c r="D60" t="s" s="95">
        <v>342</v>
      </c>
      <c r="E60" t="s" s="95">
        <v>89</v>
      </c>
      <c r="F60" t="s" s="95">
        <v>241</v>
      </c>
      <c r="G60" t="s" s="96">
        <v>364</v>
      </c>
      <c r="H60" s="97"/>
      <c r="I60" s="97"/>
      <c r="J60" s="97"/>
      <c r="K60" s="97"/>
      <c r="L60" s="97"/>
      <c r="M60" t="s" s="96">
        <v>243</v>
      </c>
      <c r="N60" t="s" s="96">
        <v>244</v>
      </c>
      <c r="O60" t="s" s="96">
        <v>264</v>
      </c>
      <c r="P60" t="s" s="96">
        <v>344</v>
      </c>
      <c r="Q60" t="s" s="98">
        <v>247</v>
      </c>
    </row>
    <row r="61" ht="42" customHeight="1">
      <c r="A61" t="s" s="94">
        <v>365</v>
      </c>
      <c r="B61" t="s" s="95">
        <v>238</v>
      </c>
      <c r="C61" t="s" s="95">
        <v>239</v>
      </c>
      <c r="D61" t="s" s="95">
        <v>342</v>
      </c>
      <c r="E61" t="s" s="95">
        <v>89</v>
      </c>
      <c r="F61" t="s" s="95">
        <v>241</v>
      </c>
      <c r="G61" t="s" s="96">
        <v>366</v>
      </c>
      <c r="H61" s="97"/>
      <c r="I61" s="97"/>
      <c r="J61" s="97"/>
      <c r="K61" s="97"/>
      <c r="L61" s="97"/>
      <c r="M61" t="s" s="96">
        <v>243</v>
      </c>
      <c r="N61" t="s" s="96">
        <v>244</v>
      </c>
      <c r="O61" t="s" s="96">
        <v>264</v>
      </c>
      <c r="P61" t="s" s="96">
        <v>344</v>
      </c>
      <c r="Q61" t="s" s="98">
        <v>247</v>
      </c>
    </row>
    <row r="62" ht="42" customHeight="1">
      <c r="A62" t="s" s="94">
        <v>367</v>
      </c>
      <c r="B62" t="s" s="95">
        <v>238</v>
      </c>
      <c r="C62" t="s" s="95">
        <v>239</v>
      </c>
      <c r="D62" t="s" s="95">
        <v>342</v>
      </c>
      <c r="E62" t="s" s="95">
        <v>89</v>
      </c>
      <c r="F62" t="s" s="95">
        <v>241</v>
      </c>
      <c r="G62" t="s" s="96">
        <v>368</v>
      </c>
      <c r="H62" s="97"/>
      <c r="I62" s="97"/>
      <c r="J62" s="97"/>
      <c r="K62" s="97"/>
      <c r="L62" s="97"/>
      <c r="M62" t="s" s="96">
        <v>243</v>
      </c>
      <c r="N62" t="s" s="96">
        <v>244</v>
      </c>
      <c r="O62" t="s" s="96">
        <v>264</v>
      </c>
      <c r="P62" t="s" s="96">
        <v>344</v>
      </c>
      <c r="Q62" t="s" s="98">
        <v>247</v>
      </c>
    </row>
    <row r="63" ht="42" customHeight="1">
      <c r="A63" t="s" s="94">
        <v>369</v>
      </c>
      <c r="B63" t="s" s="95">
        <v>238</v>
      </c>
      <c r="C63" t="s" s="95">
        <v>239</v>
      </c>
      <c r="D63" t="s" s="95">
        <v>342</v>
      </c>
      <c r="E63" t="s" s="95">
        <v>89</v>
      </c>
      <c r="F63" t="s" s="95">
        <v>241</v>
      </c>
      <c r="G63" t="s" s="96">
        <v>370</v>
      </c>
      <c r="H63" s="97"/>
      <c r="I63" s="97"/>
      <c r="J63" s="97"/>
      <c r="K63" s="97"/>
      <c r="L63" s="97"/>
      <c r="M63" t="s" s="96">
        <v>243</v>
      </c>
      <c r="N63" t="s" s="96">
        <v>244</v>
      </c>
      <c r="O63" t="s" s="96">
        <v>264</v>
      </c>
      <c r="P63" t="s" s="96">
        <v>344</v>
      </c>
      <c r="Q63" t="s" s="98">
        <v>247</v>
      </c>
    </row>
    <row r="64" ht="42" customHeight="1">
      <c r="A64" t="s" s="94">
        <v>371</v>
      </c>
      <c r="B64" t="s" s="95">
        <v>238</v>
      </c>
      <c r="C64" t="s" s="95">
        <v>239</v>
      </c>
      <c r="D64" t="s" s="95">
        <v>342</v>
      </c>
      <c r="E64" t="s" s="95">
        <v>89</v>
      </c>
      <c r="F64" t="s" s="95">
        <v>241</v>
      </c>
      <c r="G64" t="s" s="96">
        <v>372</v>
      </c>
      <c r="H64" s="97"/>
      <c r="I64" s="97"/>
      <c r="J64" s="97"/>
      <c r="K64" s="97"/>
      <c r="L64" s="97"/>
      <c r="M64" t="s" s="96">
        <v>243</v>
      </c>
      <c r="N64" t="s" s="96">
        <v>244</v>
      </c>
      <c r="O64" t="s" s="96">
        <v>264</v>
      </c>
      <c r="P64" t="s" s="96">
        <v>344</v>
      </c>
      <c r="Q64" t="s" s="98">
        <v>247</v>
      </c>
    </row>
    <row r="65" ht="42" customHeight="1">
      <c r="A65" t="s" s="94">
        <v>373</v>
      </c>
      <c r="B65" t="s" s="95">
        <v>238</v>
      </c>
      <c r="C65" t="s" s="95">
        <v>239</v>
      </c>
      <c r="D65" t="s" s="95">
        <v>374</v>
      </c>
      <c r="E65" t="s" s="95">
        <v>94</v>
      </c>
      <c r="F65" t="s" s="95">
        <v>241</v>
      </c>
      <c r="G65" t="s" s="96">
        <v>375</v>
      </c>
      <c r="H65" s="97"/>
      <c r="I65" s="97"/>
      <c r="J65" s="97"/>
      <c r="K65" s="97"/>
      <c r="L65" s="97"/>
      <c r="M65" t="s" s="96">
        <v>243</v>
      </c>
      <c r="N65" t="s" s="96">
        <v>244</v>
      </c>
      <c r="O65" t="s" s="96">
        <v>245</v>
      </c>
      <c r="P65" t="s" s="96">
        <v>376</v>
      </c>
      <c r="Q65" t="s" s="98">
        <v>247</v>
      </c>
    </row>
    <row r="66" ht="42" customHeight="1">
      <c r="A66" t="s" s="94">
        <v>377</v>
      </c>
      <c r="B66" t="s" s="95">
        <v>238</v>
      </c>
      <c r="C66" t="s" s="95">
        <v>239</v>
      </c>
      <c r="D66" t="s" s="95">
        <v>374</v>
      </c>
      <c r="E66" t="s" s="95">
        <v>94</v>
      </c>
      <c r="F66" t="s" s="95">
        <v>241</v>
      </c>
      <c r="G66" t="s" s="96">
        <v>378</v>
      </c>
      <c r="H66" s="97"/>
      <c r="I66" s="97"/>
      <c r="J66" s="97"/>
      <c r="K66" s="97"/>
      <c r="L66" s="97"/>
      <c r="M66" t="s" s="96">
        <v>243</v>
      </c>
      <c r="N66" t="s" s="96">
        <v>244</v>
      </c>
      <c r="O66" t="s" s="96">
        <v>245</v>
      </c>
      <c r="P66" t="s" s="96">
        <v>376</v>
      </c>
      <c r="Q66" t="s" s="98">
        <v>247</v>
      </c>
    </row>
    <row r="67" ht="42" customHeight="1">
      <c r="A67" t="s" s="94">
        <v>379</v>
      </c>
      <c r="B67" t="s" s="95">
        <v>238</v>
      </c>
      <c r="C67" t="s" s="95">
        <v>239</v>
      </c>
      <c r="D67" t="s" s="95">
        <v>374</v>
      </c>
      <c r="E67" t="s" s="95">
        <v>94</v>
      </c>
      <c r="F67" t="s" s="95">
        <v>241</v>
      </c>
      <c r="G67" t="s" s="96">
        <v>380</v>
      </c>
      <c r="H67" s="97"/>
      <c r="I67" s="97"/>
      <c r="J67" s="97"/>
      <c r="K67" s="97"/>
      <c r="L67" s="97"/>
      <c r="M67" t="s" s="96">
        <v>243</v>
      </c>
      <c r="N67" t="s" s="96">
        <v>244</v>
      </c>
      <c r="O67" t="s" s="96">
        <v>245</v>
      </c>
      <c r="P67" t="s" s="96">
        <v>376</v>
      </c>
      <c r="Q67" t="s" s="98">
        <v>247</v>
      </c>
    </row>
    <row r="68" ht="42" customHeight="1">
      <c r="A68" t="s" s="94">
        <v>381</v>
      </c>
      <c r="B68" t="s" s="95">
        <v>238</v>
      </c>
      <c r="C68" t="s" s="95">
        <v>239</v>
      </c>
      <c r="D68" t="s" s="95">
        <v>374</v>
      </c>
      <c r="E68" t="s" s="95">
        <v>94</v>
      </c>
      <c r="F68" t="s" s="95">
        <v>241</v>
      </c>
      <c r="G68" t="s" s="96">
        <v>382</v>
      </c>
      <c r="H68" s="97"/>
      <c r="I68" s="97"/>
      <c r="J68" s="97"/>
      <c r="K68" s="97"/>
      <c r="L68" s="97"/>
      <c r="M68" t="s" s="96">
        <v>243</v>
      </c>
      <c r="N68" t="s" s="96">
        <v>244</v>
      </c>
      <c r="O68" t="s" s="96">
        <v>245</v>
      </c>
      <c r="P68" t="s" s="96">
        <v>376</v>
      </c>
      <c r="Q68" t="s" s="98">
        <v>247</v>
      </c>
    </row>
    <row r="69" ht="42" customHeight="1">
      <c r="A69" t="s" s="94">
        <v>383</v>
      </c>
      <c r="B69" t="s" s="95">
        <v>238</v>
      </c>
      <c r="C69" t="s" s="95">
        <v>239</v>
      </c>
      <c r="D69" t="s" s="95">
        <v>374</v>
      </c>
      <c r="E69" t="s" s="95">
        <v>94</v>
      </c>
      <c r="F69" t="s" s="95">
        <v>241</v>
      </c>
      <c r="G69" t="s" s="96">
        <v>384</v>
      </c>
      <c r="H69" s="97"/>
      <c r="I69" s="97"/>
      <c r="J69" s="97"/>
      <c r="K69" s="97"/>
      <c r="L69" s="97"/>
      <c r="M69" t="s" s="96">
        <v>243</v>
      </c>
      <c r="N69" t="s" s="96">
        <v>244</v>
      </c>
      <c r="O69" t="s" s="96">
        <v>245</v>
      </c>
      <c r="P69" t="s" s="96">
        <v>376</v>
      </c>
      <c r="Q69" t="s" s="98">
        <v>247</v>
      </c>
    </row>
    <row r="70" ht="42" customHeight="1">
      <c r="A70" t="s" s="94">
        <v>385</v>
      </c>
      <c r="B70" t="s" s="95">
        <v>238</v>
      </c>
      <c r="C70" t="s" s="95">
        <v>239</v>
      </c>
      <c r="D70" t="s" s="95">
        <v>374</v>
      </c>
      <c r="E70" t="s" s="95">
        <v>94</v>
      </c>
      <c r="F70" t="s" s="95">
        <v>241</v>
      </c>
      <c r="G70" t="s" s="96">
        <v>386</v>
      </c>
      <c r="H70" s="97"/>
      <c r="I70" s="97"/>
      <c r="J70" s="97"/>
      <c r="K70" s="97"/>
      <c r="L70" s="97"/>
      <c r="M70" t="s" s="96">
        <v>243</v>
      </c>
      <c r="N70" t="s" s="96">
        <v>244</v>
      </c>
      <c r="O70" t="s" s="96">
        <v>245</v>
      </c>
      <c r="P70" t="s" s="96">
        <v>376</v>
      </c>
      <c r="Q70" t="s" s="98">
        <v>247</v>
      </c>
    </row>
    <row r="71" ht="42" customHeight="1">
      <c r="A71" t="s" s="94">
        <v>387</v>
      </c>
      <c r="B71" t="s" s="95">
        <v>238</v>
      </c>
      <c r="C71" t="s" s="95">
        <v>239</v>
      </c>
      <c r="D71" t="s" s="95">
        <v>374</v>
      </c>
      <c r="E71" t="s" s="95">
        <v>94</v>
      </c>
      <c r="F71" t="s" s="95">
        <v>241</v>
      </c>
      <c r="G71" t="s" s="96">
        <v>388</v>
      </c>
      <c r="H71" s="97"/>
      <c r="I71" s="97"/>
      <c r="J71" s="97"/>
      <c r="K71" s="97"/>
      <c r="L71" s="97"/>
      <c r="M71" t="s" s="96">
        <v>243</v>
      </c>
      <c r="N71" t="s" s="96">
        <v>244</v>
      </c>
      <c r="O71" t="s" s="96">
        <v>245</v>
      </c>
      <c r="P71" t="s" s="96">
        <v>376</v>
      </c>
      <c r="Q71" t="s" s="98">
        <v>247</v>
      </c>
    </row>
    <row r="72" ht="42" customHeight="1">
      <c r="A72" t="s" s="94">
        <v>389</v>
      </c>
      <c r="B72" t="s" s="95">
        <v>238</v>
      </c>
      <c r="C72" t="s" s="95">
        <v>239</v>
      </c>
      <c r="D72" t="s" s="95">
        <v>374</v>
      </c>
      <c r="E72" t="s" s="95">
        <v>94</v>
      </c>
      <c r="F72" t="s" s="95">
        <v>241</v>
      </c>
      <c r="G72" t="s" s="96">
        <v>390</v>
      </c>
      <c r="H72" s="97"/>
      <c r="I72" s="97"/>
      <c r="J72" s="97"/>
      <c r="K72" s="97"/>
      <c r="L72" s="97"/>
      <c r="M72" t="s" s="96">
        <v>243</v>
      </c>
      <c r="N72" t="s" s="96">
        <v>244</v>
      </c>
      <c r="O72" t="s" s="96">
        <v>245</v>
      </c>
      <c r="P72" t="s" s="96">
        <v>376</v>
      </c>
      <c r="Q72" t="s" s="98">
        <v>247</v>
      </c>
    </row>
    <row r="73" ht="42" customHeight="1">
      <c r="A73" t="s" s="94">
        <v>391</v>
      </c>
      <c r="B73" t="s" s="95">
        <v>238</v>
      </c>
      <c r="C73" t="s" s="95">
        <v>239</v>
      </c>
      <c r="D73" t="s" s="95">
        <v>374</v>
      </c>
      <c r="E73" t="s" s="95">
        <v>94</v>
      </c>
      <c r="F73" t="s" s="95">
        <v>241</v>
      </c>
      <c r="G73" t="s" s="96">
        <v>392</v>
      </c>
      <c r="H73" s="97"/>
      <c r="I73" s="97"/>
      <c r="J73" s="97"/>
      <c r="K73" s="97"/>
      <c r="L73" s="97"/>
      <c r="M73" t="s" s="96">
        <v>243</v>
      </c>
      <c r="N73" t="s" s="96">
        <v>244</v>
      </c>
      <c r="O73" t="s" s="96">
        <v>264</v>
      </c>
      <c r="P73" t="s" s="96">
        <v>376</v>
      </c>
      <c r="Q73" t="s" s="98">
        <v>247</v>
      </c>
    </row>
    <row r="74" ht="42" customHeight="1">
      <c r="A74" t="s" s="94">
        <v>393</v>
      </c>
      <c r="B74" t="s" s="95">
        <v>238</v>
      </c>
      <c r="C74" t="s" s="95">
        <v>239</v>
      </c>
      <c r="D74" t="s" s="95">
        <v>374</v>
      </c>
      <c r="E74" t="s" s="95">
        <v>94</v>
      </c>
      <c r="F74" t="s" s="95">
        <v>241</v>
      </c>
      <c r="G74" t="s" s="96">
        <v>394</v>
      </c>
      <c r="H74" s="97"/>
      <c r="I74" s="97"/>
      <c r="J74" s="97"/>
      <c r="K74" s="97"/>
      <c r="L74" s="97"/>
      <c r="M74" t="s" s="96">
        <v>243</v>
      </c>
      <c r="N74" t="s" s="96">
        <v>244</v>
      </c>
      <c r="O74" t="s" s="96">
        <v>264</v>
      </c>
      <c r="P74" t="s" s="96">
        <v>376</v>
      </c>
      <c r="Q74" t="s" s="98">
        <v>247</v>
      </c>
    </row>
    <row r="75" ht="42" customHeight="1">
      <c r="A75" t="s" s="94">
        <v>395</v>
      </c>
      <c r="B75" t="s" s="95">
        <v>238</v>
      </c>
      <c r="C75" t="s" s="95">
        <v>239</v>
      </c>
      <c r="D75" t="s" s="95">
        <v>374</v>
      </c>
      <c r="E75" t="s" s="95">
        <v>94</v>
      </c>
      <c r="F75" t="s" s="95">
        <v>241</v>
      </c>
      <c r="G75" t="s" s="96">
        <v>396</v>
      </c>
      <c r="H75" s="97"/>
      <c r="I75" s="97"/>
      <c r="J75" s="97"/>
      <c r="K75" s="97"/>
      <c r="L75" s="97"/>
      <c r="M75" t="s" s="96">
        <v>243</v>
      </c>
      <c r="N75" t="s" s="96">
        <v>244</v>
      </c>
      <c r="O75" t="s" s="96">
        <v>264</v>
      </c>
      <c r="P75" t="s" s="96">
        <v>376</v>
      </c>
      <c r="Q75" t="s" s="98">
        <v>247</v>
      </c>
    </row>
    <row r="76" ht="42" customHeight="1">
      <c r="A76" t="s" s="94">
        <v>397</v>
      </c>
      <c r="B76" t="s" s="95">
        <v>238</v>
      </c>
      <c r="C76" t="s" s="95">
        <v>239</v>
      </c>
      <c r="D76" t="s" s="95">
        <v>374</v>
      </c>
      <c r="E76" t="s" s="95">
        <v>94</v>
      </c>
      <c r="F76" t="s" s="95">
        <v>241</v>
      </c>
      <c r="G76" t="s" s="96">
        <v>398</v>
      </c>
      <c r="H76" s="97"/>
      <c r="I76" s="97"/>
      <c r="J76" s="97"/>
      <c r="K76" s="97"/>
      <c r="L76" s="97"/>
      <c r="M76" t="s" s="96">
        <v>243</v>
      </c>
      <c r="N76" t="s" s="96">
        <v>244</v>
      </c>
      <c r="O76" t="s" s="96">
        <v>264</v>
      </c>
      <c r="P76" t="s" s="96">
        <v>376</v>
      </c>
      <c r="Q76" t="s" s="98">
        <v>247</v>
      </c>
    </row>
    <row r="77" ht="42" customHeight="1">
      <c r="A77" t="s" s="94">
        <v>399</v>
      </c>
      <c r="B77" t="s" s="95">
        <v>238</v>
      </c>
      <c r="C77" t="s" s="95">
        <v>239</v>
      </c>
      <c r="D77" t="s" s="95">
        <v>374</v>
      </c>
      <c r="E77" t="s" s="95">
        <v>94</v>
      </c>
      <c r="F77" t="s" s="95">
        <v>241</v>
      </c>
      <c r="G77" t="s" s="96">
        <v>400</v>
      </c>
      <c r="H77" s="97"/>
      <c r="I77" s="97"/>
      <c r="J77" s="97"/>
      <c r="K77" s="97"/>
      <c r="L77" s="97"/>
      <c r="M77" t="s" s="96">
        <v>243</v>
      </c>
      <c r="N77" t="s" s="96">
        <v>244</v>
      </c>
      <c r="O77" t="s" s="96">
        <v>264</v>
      </c>
      <c r="P77" t="s" s="96">
        <v>376</v>
      </c>
      <c r="Q77" t="s" s="98">
        <v>247</v>
      </c>
    </row>
    <row r="78" ht="42" customHeight="1">
      <c r="A78" t="s" s="94">
        <v>401</v>
      </c>
      <c r="B78" t="s" s="95">
        <v>238</v>
      </c>
      <c r="C78" t="s" s="95">
        <v>239</v>
      </c>
      <c r="D78" t="s" s="95">
        <v>374</v>
      </c>
      <c r="E78" t="s" s="95">
        <v>94</v>
      </c>
      <c r="F78" t="s" s="95">
        <v>241</v>
      </c>
      <c r="G78" t="s" s="96">
        <v>402</v>
      </c>
      <c r="H78" s="97"/>
      <c r="I78" s="97"/>
      <c r="J78" s="97"/>
      <c r="K78" s="97"/>
      <c r="L78" s="97"/>
      <c r="M78" t="s" s="96">
        <v>243</v>
      </c>
      <c r="N78" t="s" s="96">
        <v>244</v>
      </c>
      <c r="O78" t="s" s="96">
        <v>264</v>
      </c>
      <c r="P78" t="s" s="96">
        <v>376</v>
      </c>
      <c r="Q78" t="s" s="98">
        <v>247</v>
      </c>
    </row>
    <row r="79" ht="42" customHeight="1">
      <c r="A79" t="s" s="94">
        <v>403</v>
      </c>
      <c r="B79" t="s" s="95">
        <v>238</v>
      </c>
      <c r="C79" t="s" s="95">
        <v>239</v>
      </c>
      <c r="D79" t="s" s="95">
        <v>374</v>
      </c>
      <c r="E79" t="s" s="95">
        <v>94</v>
      </c>
      <c r="F79" t="s" s="95">
        <v>241</v>
      </c>
      <c r="G79" t="s" s="96">
        <v>404</v>
      </c>
      <c r="H79" s="97"/>
      <c r="I79" s="97"/>
      <c r="J79" s="97"/>
      <c r="K79" s="97"/>
      <c r="L79" s="97"/>
      <c r="M79" t="s" s="96">
        <v>243</v>
      </c>
      <c r="N79" t="s" s="96">
        <v>244</v>
      </c>
      <c r="O79" t="s" s="96">
        <v>264</v>
      </c>
      <c r="P79" t="s" s="96">
        <v>376</v>
      </c>
      <c r="Q79" t="s" s="98">
        <v>247</v>
      </c>
    </row>
    <row r="80" ht="42" customHeight="1">
      <c r="A80" t="s" s="94">
        <v>405</v>
      </c>
      <c r="B80" t="s" s="95">
        <v>238</v>
      </c>
      <c r="C80" t="s" s="95">
        <v>239</v>
      </c>
      <c r="D80" t="s" s="95">
        <v>406</v>
      </c>
      <c r="E80" t="s" s="95">
        <v>99</v>
      </c>
      <c r="F80" t="s" s="95">
        <v>241</v>
      </c>
      <c r="G80" t="s" s="96">
        <v>407</v>
      </c>
      <c r="H80" s="97"/>
      <c r="I80" s="97"/>
      <c r="J80" s="97"/>
      <c r="K80" s="97"/>
      <c r="L80" s="97"/>
      <c r="M80" t="s" s="96">
        <v>243</v>
      </c>
      <c r="N80" t="s" s="96">
        <v>244</v>
      </c>
      <c r="O80" t="s" s="96">
        <v>245</v>
      </c>
      <c r="P80" t="s" s="96">
        <v>408</v>
      </c>
      <c r="Q80" t="s" s="98">
        <v>247</v>
      </c>
    </row>
    <row r="81" ht="42" customHeight="1">
      <c r="A81" t="s" s="94">
        <v>409</v>
      </c>
      <c r="B81" t="s" s="95">
        <v>238</v>
      </c>
      <c r="C81" t="s" s="95">
        <v>239</v>
      </c>
      <c r="D81" t="s" s="95">
        <v>406</v>
      </c>
      <c r="E81" t="s" s="95">
        <v>99</v>
      </c>
      <c r="F81" t="s" s="95">
        <v>241</v>
      </c>
      <c r="G81" t="s" s="96">
        <v>410</v>
      </c>
      <c r="H81" s="97"/>
      <c r="I81" s="97"/>
      <c r="J81" s="97"/>
      <c r="K81" s="97"/>
      <c r="L81" s="97"/>
      <c r="M81" t="s" s="96">
        <v>243</v>
      </c>
      <c r="N81" t="s" s="96">
        <v>244</v>
      </c>
      <c r="O81" t="s" s="96">
        <v>245</v>
      </c>
      <c r="P81" t="s" s="96">
        <v>408</v>
      </c>
      <c r="Q81" t="s" s="98">
        <v>247</v>
      </c>
    </row>
    <row r="82" ht="42" customHeight="1">
      <c r="A82" t="s" s="94">
        <v>411</v>
      </c>
      <c r="B82" t="s" s="95">
        <v>238</v>
      </c>
      <c r="C82" t="s" s="95">
        <v>239</v>
      </c>
      <c r="D82" t="s" s="95">
        <v>406</v>
      </c>
      <c r="E82" t="s" s="95">
        <v>99</v>
      </c>
      <c r="F82" t="s" s="95">
        <v>241</v>
      </c>
      <c r="G82" t="s" s="96">
        <v>412</v>
      </c>
      <c r="H82" s="97"/>
      <c r="I82" s="97"/>
      <c r="J82" s="97"/>
      <c r="K82" s="97"/>
      <c r="L82" s="97"/>
      <c r="M82" t="s" s="96">
        <v>243</v>
      </c>
      <c r="N82" t="s" s="96">
        <v>244</v>
      </c>
      <c r="O82" t="s" s="96">
        <v>245</v>
      </c>
      <c r="P82" t="s" s="96">
        <v>408</v>
      </c>
      <c r="Q82" t="s" s="98">
        <v>247</v>
      </c>
    </row>
    <row r="83" ht="42" customHeight="1">
      <c r="A83" t="s" s="94">
        <v>413</v>
      </c>
      <c r="B83" t="s" s="95">
        <v>238</v>
      </c>
      <c r="C83" t="s" s="95">
        <v>239</v>
      </c>
      <c r="D83" t="s" s="95">
        <v>406</v>
      </c>
      <c r="E83" t="s" s="95">
        <v>99</v>
      </c>
      <c r="F83" t="s" s="95">
        <v>241</v>
      </c>
      <c r="G83" t="s" s="96">
        <v>414</v>
      </c>
      <c r="H83" s="97"/>
      <c r="I83" s="97"/>
      <c r="J83" s="97"/>
      <c r="K83" s="97"/>
      <c r="L83" s="97"/>
      <c r="M83" t="s" s="96">
        <v>243</v>
      </c>
      <c r="N83" t="s" s="96">
        <v>244</v>
      </c>
      <c r="O83" t="s" s="96">
        <v>245</v>
      </c>
      <c r="P83" t="s" s="96">
        <v>408</v>
      </c>
      <c r="Q83" t="s" s="98">
        <v>247</v>
      </c>
    </row>
    <row r="84" ht="42" customHeight="1">
      <c r="A84" t="s" s="94">
        <v>415</v>
      </c>
      <c r="B84" t="s" s="95">
        <v>238</v>
      </c>
      <c r="C84" t="s" s="95">
        <v>239</v>
      </c>
      <c r="D84" t="s" s="95">
        <v>406</v>
      </c>
      <c r="E84" t="s" s="95">
        <v>99</v>
      </c>
      <c r="F84" t="s" s="95">
        <v>241</v>
      </c>
      <c r="G84" t="s" s="96">
        <v>416</v>
      </c>
      <c r="H84" s="97"/>
      <c r="I84" s="97"/>
      <c r="J84" s="97"/>
      <c r="K84" s="97"/>
      <c r="L84" s="97"/>
      <c r="M84" t="s" s="96">
        <v>243</v>
      </c>
      <c r="N84" t="s" s="96">
        <v>244</v>
      </c>
      <c r="O84" t="s" s="96">
        <v>245</v>
      </c>
      <c r="P84" t="s" s="96">
        <v>408</v>
      </c>
      <c r="Q84" t="s" s="98">
        <v>247</v>
      </c>
    </row>
    <row r="85" ht="42" customHeight="1">
      <c r="A85" t="s" s="94">
        <v>417</v>
      </c>
      <c r="B85" t="s" s="95">
        <v>238</v>
      </c>
      <c r="C85" t="s" s="95">
        <v>239</v>
      </c>
      <c r="D85" t="s" s="95">
        <v>406</v>
      </c>
      <c r="E85" t="s" s="95">
        <v>99</v>
      </c>
      <c r="F85" t="s" s="95">
        <v>241</v>
      </c>
      <c r="G85" t="s" s="96">
        <v>418</v>
      </c>
      <c r="H85" s="97"/>
      <c r="I85" s="97"/>
      <c r="J85" s="97"/>
      <c r="K85" s="97"/>
      <c r="L85" s="97"/>
      <c r="M85" t="s" s="96">
        <v>243</v>
      </c>
      <c r="N85" t="s" s="96">
        <v>244</v>
      </c>
      <c r="O85" t="s" s="96">
        <v>245</v>
      </c>
      <c r="P85" t="s" s="96">
        <v>408</v>
      </c>
      <c r="Q85" t="s" s="98">
        <v>247</v>
      </c>
    </row>
    <row r="86" ht="42" customHeight="1">
      <c r="A86" t="s" s="94">
        <v>419</v>
      </c>
      <c r="B86" t="s" s="95">
        <v>238</v>
      </c>
      <c r="C86" t="s" s="95">
        <v>239</v>
      </c>
      <c r="D86" t="s" s="95">
        <v>406</v>
      </c>
      <c r="E86" t="s" s="95">
        <v>99</v>
      </c>
      <c r="F86" t="s" s="95">
        <v>241</v>
      </c>
      <c r="G86" t="s" s="96">
        <v>420</v>
      </c>
      <c r="H86" s="97"/>
      <c r="I86" s="97"/>
      <c r="J86" s="97"/>
      <c r="K86" s="97"/>
      <c r="L86" s="97"/>
      <c r="M86" t="s" s="96">
        <v>243</v>
      </c>
      <c r="N86" t="s" s="96">
        <v>244</v>
      </c>
      <c r="O86" t="s" s="96">
        <v>245</v>
      </c>
      <c r="P86" t="s" s="96">
        <v>408</v>
      </c>
      <c r="Q86" t="s" s="98">
        <v>247</v>
      </c>
    </row>
    <row r="87" ht="42" customHeight="1">
      <c r="A87" t="s" s="94">
        <v>421</v>
      </c>
      <c r="B87" t="s" s="95">
        <v>238</v>
      </c>
      <c r="C87" t="s" s="95">
        <v>239</v>
      </c>
      <c r="D87" t="s" s="95">
        <v>406</v>
      </c>
      <c r="E87" t="s" s="95">
        <v>99</v>
      </c>
      <c r="F87" t="s" s="95">
        <v>241</v>
      </c>
      <c r="G87" t="s" s="96">
        <v>422</v>
      </c>
      <c r="H87" s="97"/>
      <c r="I87" s="97"/>
      <c r="J87" s="97"/>
      <c r="K87" s="97"/>
      <c r="L87" s="97"/>
      <c r="M87" t="s" s="96">
        <v>243</v>
      </c>
      <c r="N87" t="s" s="96">
        <v>244</v>
      </c>
      <c r="O87" t="s" s="96">
        <v>245</v>
      </c>
      <c r="P87" t="s" s="96">
        <v>408</v>
      </c>
      <c r="Q87" t="s" s="98">
        <v>247</v>
      </c>
    </row>
    <row r="88" ht="42" customHeight="1">
      <c r="A88" t="s" s="94">
        <v>423</v>
      </c>
      <c r="B88" t="s" s="95">
        <v>238</v>
      </c>
      <c r="C88" t="s" s="95">
        <v>239</v>
      </c>
      <c r="D88" t="s" s="95">
        <v>406</v>
      </c>
      <c r="E88" t="s" s="95">
        <v>99</v>
      </c>
      <c r="F88" t="s" s="95">
        <v>241</v>
      </c>
      <c r="G88" t="s" s="96">
        <v>424</v>
      </c>
      <c r="H88" s="97"/>
      <c r="I88" s="97"/>
      <c r="J88" s="97"/>
      <c r="K88" s="97"/>
      <c r="L88" s="97"/>
      <c r="M88" t="s" s="96">
        <v>243</v>
      </c>
      <c r="N88" t="s" s="96">
        <v>244</v>
      </c>
      <c r="O88" t="s" s="96">
        <v>264</v>
      </c>
      <c r="P88" t="s" s="96">
        <v>408</v>
      </c>
      <c r="Q88" t="s" s="98">
        <v>247</v>
      </c>
    </row>
    <row r="89" ht="42" customHeight="1">
      <c r="A89" t="s" s="94">
        <v>425</v>
      </c>
      <c r="B89" t="s" s="95">
        <v>238</v>
      </c>
      <c r="C89" t="s" s="95">
        <v>239</v>
      </c>
      <c r="D89" t="s" s="95">
        <v>406</v>
      </c>
      <c r="E89" t="s" s="95">
        <v>99</v>
      </c>
      <c r="F89" t="s" s="95">
        <v>241</v>
      </c>
      <c r="G89" t="s" s="96">
        <v>426</v>
      </c>
      <c r="H89" s="97"/>
      <c r="I89" s="97"/>
      <c r="J89" s="97"/>
      <c r="K89" s="97"/>
      <c r="L89" s="97"/>
      <c r="M89" t="s" s="96">
        <v>243</v>
      </c>
      <c r="N89" t="s" s="96">
        <v>244</v>
      </c>
      <c r="O89" t="s" s="96">
        <v>264</v>
      </c>
      <c r="P89" t="s" s="96">
        <v>408</v>
      </c>
      <c r="Q89" t="s" s="98">
        <v>247</v>
      </c>
    </row>
    <row r="90" ht="42" customHeight="1">
      <c r="A90" t="s" s="94">
        <v>427</v>
      </c>
      <c r="B90" t="s" s="95">
        <v>238</v>
      </c>
      <c r="C90" t="s" s="95">
        <v>239</v>
      </c>
      <c r="D90" t="s" s="95">
        <v>406</v>
      </c>
      <c r="E90" t="s" s="95">
        <v>99</v>
      </c>
      <c r="F90" t="s" s="95">
        <v>241</v>
      </c>
      <c r="G90" t="s" s="96">
        <v>428</v>
      </c>
      <c r="H90" s="97"/>
      <c r="I90" s="97"/>
      <c r="J90" s="97"/>
      <c r="K90" s="97"/>
      <c r="L90" s="97"/>
      <c r="M90" t="s" s="96">
        <v>243</v>
      </c>
      <c r="N90" t="s" s="96">
        <v>244</v>
      </c>
      <c r="O90" t="s" s="96">
        <v>264</v>
      </c>
      <c r="P90" t="s" s="96">
        <v>408</v>
      </c>
      <c r="Q90" t="s" s="98">
        <v>247</v>
      </c>
    </row>
    <row r="91" ht="42" customHeight="1">
      <c r="A91" t="s" s="94">
        <v>429</v>
      </c>
      <c r="B91" t="s" s="95">
        <v>238</v>
      </c>
      <c r="C91" t="s" s="95">
        <v>239</v>
      </c>
      <c r="D91" t="s" s="95">
        <v>406</v>
      </c>
      <c r="E91" t="s" s="95">
        <v>99</v>
      </c>
      <c r="F91" t="s" s="95">
        <v>241</v>
      </c>
      <c r="G91" t="s" s="96">
        <v>430</v>
      </c>
      <c r="H91" s="97"/>
      <c r="I91" s="97"/>
      <c r="J91" s="97"/>
      <c r="K91" s="97"/>
      <c r="L91" s="97"/>
      <c r="M91" t="s" s="96">
        <v>243</v>
      </c>
      <c r="N91" t="s" s="96">
        <v>244</v>
      </c>
      <c r="O91" t="s" s="96">
        <v>264</v>
      </c>
      <c r="P91" t="s" s="96">
        <v>408</v>
      </c>
      <c r="Q91" t="s" s="98">
        <v>247</v>
      </c>
    </row>
    <row r="92" ht="42" customHeight="1">
      <c r="A92" t="s" s="94">
        <v>431</v>
      </c>
      <c r="B92" t="s" s="95">
        <v>238</v>
      </c>
      <c r="C92" t="s" s="95">
        <v>239</v>
      </c>
      <c r="D92" t="s" s="95">
        <v>406</v>
      </c>
      <c r="E92" t="s" s="95">
        <v>99</v>
      </c>
      <c r="F92" t="s" s="95">
        <v>241</v>
      </c>
      <c r="G92" t="s" s="96">
        <v>432</v>
      </c>
      <c r="H92" s="97"/>
      <c r="I92" s="97"/>
      <c r="J92" s="97"/>
      <c r="K92" s="97"/>
      <c r="L92" s="97"/>
      <c r="M92" t="s" s="96">
        <v>243</v>
      </c>
      <c r="N92" t="s" s="96">
        <v>244</v>
      </c>
      <c r="O92" t="s" s="96">
        <v>264</v>
      </c>
      <c r="P92" t="s" s="96">
        <v>408</v>
      </c>
      <c r="Q92" t="s" s="98">
        <v>247</v>
      </c>
    </row>
    <row r="93" ht="42" customHeight="1">
      <c r="A93" t="s" s="94">
        <v>433</v>
      </c>
      <c r="B93" t="s" s="95">
        <v>238</v>
      </c>
      <c r="C93" t="s" s="95">
        <v>239</v>
      </c>
      <c r="D93" t="s" s="95">
        <v>406</v>
      </c>
      <c r="E93" t="s" s="95">
        <v>99</v>
      </c>
      <c r="F93" t="s" s="95">
        <v>241</v>
      </c>
      <c r="G93" t="s" s="96">
        <v>434</v>
      </c>
      <c r="H93" s="97"/>
      <c r="I93" s="97"/>
      <c r="J93" s="97"/>
      <c r="K93" s="97"/>
      <c r="L93" s="97"/>
      <c r="M93" t="s" s="96">
        <v>243</v>
      </c>
      <c r="N93" t="s" s="96">
        <v>244</v>
      </c>
      <c r="O93" t="s" s="96">
        <v>264</v>
      </c>
      <c r="P93" t="s" s="96">
        <v>408</v>
      </c>
      <c r="Q93" t="s" s="98">
        <v>247</v>
      </c>
    </row>
    <row r="94" ht="42" customHeight="1">
      <c r="A94" t="s" s="94">
        <v>435</v>
      </c>
      <c r="B94" t="s" s="95">
        <v>238</v>
      </c>
      <c r="C94" t="s" s="95">
        <v>239</v>
      </c>
      <c r="D94" t="s" s="95">
        <v>406</v>
      </c>
      <c r="E94" t="s" s="95">
        <v>99</v>
      </c>
      <c r="F94" t="s" s="95">
        <v>241</v>
      </c>
      <c r="G94" t="s" s="96">
        <v>436</v>
      </c>
      <c r="H94" s="97"/>
      <c r="I94" s="97"/>
      <c r="J94" s="97"/>
      <c r="K94" s="97"/>
      <c r="L94" s="97"/>
      <c r="M94" t="s" s="96">
        <v>243</v>
      </c>
      <c r="N94" t="s" s="96">
        <v>244</v>
      </c>
      <c r="O94" t="s" s="96">
        <v>264</v>
      </c>
      <c r="P94" t="s" s="96">
        <v>408</v>
      </c>
      <c r="Q94" t="s" s="98">
        <v>247</v>
      </c>
    </row>
    <row r="95" ht="42" customHeight="1">
      <c r="A95" t="s" s="99">
        <v>437</v>
      </c>
      <c r="B95" t="s" s="100">
        <v>238</v>
      </c>
      <c r="C95" t="s" s="100">
        <v>438</v>
      </c>
      <c r="D95" t="s" s="100">
        <v>105</v>
      </c>
      <c r="E95" t="s" s="100">
        <v>105</v>
      </c>
      <c r="F95" t="s" s="100">
        <v>241</v>
      </c>
      <c r="G95" t="s" s="96">
        <v>439</v>
      </c>
      <c r="H95" s="97"/>
      <c r="I95" s="97"/>
      <c r="J95" s="97"/>
      <c r="K95" s="97"/>
      <c r="L95" s="97"/>
      <c r="M95" t="s" s="96">
        <v>243</v>
      </c>
      <c r="N95" t="s" s="96">
        <v>244</v>
      </c>
      <c r="O95" t="s" s="96">
        <v>264</v>
      </c>
      <c r="P95" t="s" s="96">
        <v>440</v>
      </c>
      <c r="Q95" t="s" s="98">
        <v>441</v>
      </c>
    </row>
    <row r="96" ht="42" customHeight="1">
      <c r="A96" t="s" s="99">
        <v>442</v>
      </c>
      <c r="B96" t="s" s="100">
        <v>238</v>
      </c>
      <c r="C96" t="s" s="100">
        <v>438</v>
      </c>
      <c r="D96" t="s" s="100">
        <v>105</v>
      </c>
      <c r="E96" t="s" s="100">
        <v>105</v>
      </c>
      <c r="F96" t="s" s="100">
        <v>241</v>
      </c>
      <c r="G96" t="s" s="96">
        <v>443</v>
      </c>
      <c r="H96" s="97"/>
      <c r="I96" s="97"/>
      <c r="J96" s="97"/>
      <c r="K96" s="97"/>
      <c r="L96" s="97"/>
      <c r="M96" t="s" s="96">
        <v>243</v>
      </c>
      <c r="N96" t="s" s="96">
        <v>244</v>
      </c>
      <c r="O96" t="s" s="96">
        <v>264</v>
      </c>
      <c r="P96" t="s" s="96">
        <v>440</v>
      </c>
      <c r="Q96" t="s" s="98">
        <v>441</v>
      </c>
    </row>
    <row r="97" ht="42" customHeight="1">
      <c r="A97" t="s" s="99">
        <v>444</v>
      </c>
      <c r="B97" t="s" s="100">
        <v>238</v>
      </c>
      <c r="C97" t="s" s="100">
        <v>438</v>
      </c>
      <c r="D97" t="s" s="100">
        <v>105</v>
      </c>
      <c r="E97" t="s" s="100">
        <v>105</v>
      </c>
      <c r="F97" t="s" s="100">
        <v>241</v>
      </c>
      <c r="G97" t="s" s="96">
        <v>445</v>
      </c>
      <c r="H97" s="97"/>
      <c r="I97" s="97"/>
      <c r="J97" s="97"/>
      <c r="K97" s="97"/>
      <c r="L97" s="97"/>
      <c r="M97" t="s" s="96">
        <v>243</v>
      </c>
      <c r="N97" t="s" s="96">
        <v>244</v>
      </c>
      <c r="O97" t="s" s="96">
        <v>264</v>
      </c>
      <c r="P97" t="s" s="96">
        <v>440</v>
      </c>
      <c r="Q97" t="s" s="98">
        <v>441</v>
      </c>
    </row>
    <row r="98" ht="42" customHeight="1">
      <c r="A98" t="s" s="99">
        <v>446</v>
      </c>
      <c r="B98" t="s" s="100">
        <v>238</v>
      </c>
      <c r="C98" t="s" s="100">
        <v>438</v>
      </c>
      <c r="D98" t="s" s="100">
        <v>105</v>
      </c>
      <c r="E98" t="s" s="100">
        <v>105</v>
      </c>
      <c r="F98" t="s" s="100">
        <v>241</v>
      </c>
      <c r="G98" t="s" s="96">
        <v>447</v>
      </c>
      <c r="H98" s="97"/>
      <c r="I98" s="97"/>
      <c r="J98" s="97"/>
      <c r="K98" s="97"/>
      <c r="L98" s="97"/>
      <c r="M98" t="s" s="96">
        <v>243</v>
      </c>
      <c r="N98" t="s" s="96">
        <v>244</v>
      </c>
      <c r="O98" t="s" s="96">
        <v>264</v>
      </c>
      <c r="P98" t="s" s="96">
        <v>440</v>
      </c>
      <c r="Q98" t="s" s="98">
        <v>441</v>
      </c>
    </row>
    <row r="99" ht="42" customHeight="1">
      <c r="A99" t="s" s="99">
        <v>448</v>
      </c>
      <c r="B99" t="s" s="100">
        <v>238</v>
      </c>
      <c r="C99" t="s" s="100">
        <v>438</v>
      </c>
      <c r="D99" t="s" s="100">
        <v>105</v>
      </c>
      <c r="E99" t="s" s="100">
        <v>105</v>
      </c>
      <c r="F99" t="s" s="100">
        <v>241</v>
      </c>
      <c r="G99" t="s" s="96">
        <v>449</v>
      </c>
      <c r="H99" s="97"/>
      <c r="I99" s="97"/>
      <c r="J99" s="97"/>
      <c r="K99" s="97"/>
      <c r="L99" s="97"/>
      <c r="M99" t="s" s="96">
        <v>243</v>
      </c>
      <c r="N99" t="s" s="96">
        <v>244</v>
      </c>
      <c r="O99" t="s" s="96">
        <v>264</v>
      </c>
      <c r="P99" t="s" s="96">
        <v>440</v>
      </c>
      <c r="Q99" t="s" s="98">
        <v>441</v>
      </c>
    </row>
    <row r="100" ht="42" customHeight="1">
      <c r="A100" t="s" s="99">
        <v>450</v>
      </c>
      <c r="B100" t="s" s="100">
        <v>238</v>
      </c>
      <c r="C100" t="s" s="100">
        <v>438</v>
      </c>
      <c r="D100" t="s" s="100">
        <v>105</v>
      </c>
      <c r="E100" t="s" s="100">
        <v>105</v>
      </c>
      <c r="F100" t="s" s="100">
        <v>241</v>
      </c>
      <c r="G100" t="s" s="96">
        <v>451</v>
      </c>
      <c r="H100" s="97"/>
      <c r="I100" s="97"/>
      <c r="J100" s="97"/>
      <c r="K100" s="97"/>
      <c r="L100" s="97"/>
      <c r="M100" t="s" s="96">
        <v>243</v>
      </c>
      <c r="N100" t="s" s="96">
        <v>244</v>
      </c>
      <c r="O100" t="s" s="96">
        <v>264</v>
      </c>
      <c r="P100" t="s" s="96">
        <v>440</v>
      </c>
      <c r="Q100" t="s" s="98">
        <v>441</v>
      </c>
    </row>
    <row r="101" ht="42" customHeight="1">
      <c r="A101" t="s" s="99">
        <v>452</v>
      </c>
      <c r="B101" t="s" s="100">
        <v>238</v>
      </c>
      <c r="C101" t="s" s="100">
        <v>438</v>
      </c>
      <c r="D101" t="s" s="100">
        <v>105</v>
      </c>
      <c r="E101" t="s" s="100">
        <v>105</v>
      </c>
      <c r="F101" t="s" s="100">
        <v>241</v>
      </c>
      <c r="G101" t="s" s="96">
        <v>453</v>
      </c>
      <c r="H101" s="97"/>
      <c r="I101" s="97"/>
      <c r="J101" s="97"/>
      <c r="K101" s="97"/>
      <c r="L101" s="97"/>
      <c r="M101" t="s" s="96">
        <v>243</v>
      </c>
      <c r="N101" t="s" s="96">
        <v>244</v>
      </c>
      <c r="O101" t="s" s="96">
        <v>264</v>
      </c>
      <c r="P101" t="s" s="96">
        <v>440</v>
      </c>
      <c r="Q101" t="s" s="98">
        <v>441</v>
      </c>
    </row>
    <row r="102" ht="42" customHeight="1">
      <c r="A102" t="s" s="99">
        <v>454</v>
      </c>
      <c r="B102" t="s" s="100">
        <v>238</v>
      </c>
      <c r="C102" t="s" s="100">
        <v>438</v>
      </c>
      <c r="D102" t="s" s="100">
        <v>105</v>
      </c>
      <c r="E102" t="s" s="100">
        <v>105</v>
      </c>
      <c r="F102" t="s" s="100">
        <v>241</v>
      </c>
      <c r="G102" t="s" s="96">
        <v>455</v>
      </c>
      <c r="H102" s="97"/>
      <c r="I102" s="97"/>
      <c r="J102" s="97"/>
      <c r="K102" s="97"/>
      <c r="L102" s="97"/>
      <c r="M102" t="s" s="96">
        <v>243</v>
      </c>
      <c r="N102" t="s" s="96">
        <v>244</v>
      </c>
      <c r="O102" t="s" s="96">
        <v>264</v>
      </c>
      <c r="P102" t="s" s="96">
        <v>440</v>
      </c>
      <c r="Q102" t="s" s="98">
        <v>441</v>
      </c>
    </row>
    <row r="103" ht="42" customHeight="1">
      <c r="A103" t="s" s="99">
        <v>456</v>
      </c>
      <c r="B103" t="s" s="100">
        <v>238</v>
      </c>
      <c r="C103" t="s" s="100">
        <v>438</v>
      </c>
      <c r="D103" t="s" s="100">
        <v>105</v>
      </c>
      <c r="E103" t="s" s="100">
        <v>105</v>
      </c>
      <c r="F103" t="s" s="100">
        <v>241</v>
      </c>
      <c r="G103" t="s" s="96">
        <v>457</v>
      </c>
      <c r="H103" s="97"/>
      <c r="I103" s="97"/>
      <c r="J103" s="97"/>
      <c r="K103" s="97"/>
      <c r="L103" s="97"/>
      <c r="M103" t="s" s="96">
        <v>243</v>
      </c>
      <c r="N103" t="s" s="96">
        <v>244</v>
      </c>
      <c r="O103" t="s" s="96">
        <v>264</v>
      </c>
      <c r="P103" t="s" s="96">
        <v>440</v>
      </c>
      <c r="Q103" t="s" s="98">
        <v>441</v>
      </c>
    </row>
    <row r="104" ht="42" customHeight="1">
      <c r="A104" t="s" s="99">
        <v>458</v>
      </c>
      <c r="B104" t="s" s="100">
        <v>238</v>
      </c>
      <c r="C104" t="s" s="100">
        <v>438</v>
      </c>
      <c r="D104" t="s" s="100">
        <v>105</v>
      </c>
      <c r="E104" t="s" s="100">
        <v>105</v>
      </c>
      <c r="F104" t="s" s="100">
        <v>241</v>
      </c>
      <c r="G104" t="s" s="96">
        <v>459</v>
      </c>
      <c r="H104" s="97"/>
      <c r="I104" s="97"/>
      <c r="J104" s="97"/>
      <c r="K104" s="97"/>
      <c r="L104" s="97"/>
      <c r="M104" t="s" s="96">
        <v>243</v>
      </c>
      <c r="N104" t="s" s="96">
        <v>244</v>
      </c>
      <c r="O104" t="s" s="96">
        <v>264</v>
      </c>
      <c r="P104" t="s" s="96">
        <v>440</v>
      </c>
      <c r="Q104" t="s" s="98">
        <v>441</v>
      </c>
    </row>
    <row r="105" ht="42" customHeight="1">
      <c r="A105" t="s" s="99">
        <v>460</v>
      </c>
      <c r="B105" t="s" s="100">
        <v>238</v>
      </c>
      <c r="C105" t="s" s="100">
        <v>438</v>
      </c>
      <c r="D105" t="s" s="100">
        <v>105</v>
      </c>
      <c r="E105" t="s" s="100">
        <v>105</v>
      </c>
      <c r="F105" t="s" s="100">
        <v>241</v>
      </c>
      <c r="G105" t="s" s="96">
        <v>461</v>
      </c>
      <c r="H105" s="97"/>
      <c r="I105" s="97"/>
      <c r="J105" s="97"/>
      <c r="K105" s="97"/>
      <c r="L105" s="97"/>
      <c r="M105" t="s" s="96">
        <v>243</v>
      </c>
      <c r="N105" t="s" s="96">
        <v>244</v>
      </c>
      <c r="O105" t="s" s="96">
        <v>264</v>
      </c>
      <c r="P105" t="s" s="96">
        <v>440</v>
      </c>
      <c r="Q105" t="s" s="98">
        <v>441</v>
      </c>
    </row>
    <row r="106" ht="42" customHeight="1">
      <c r="A106" t="s" s="99">
        <v>462</v>
      </c>
      <c r="B106" t="s" s="100">
        <v>238</v>
      </c>
      <c r="C106" t="s" s="100">
        <v>438</v>
      </c>
      <c r="D106" t="s" s="100">
        <v>105</v>
      </c>
      <c r="E106" t="s" s="100">
        <v>105</v>
      </c>
      <c r="F106" t="s" s="100">
        <v>241</v>
      </c>
      <c r="G106" t="s" s="96">
        <v>463</v>
      </c>
      <c r="H106" s="97"/>
      <c r="I106" s="97"/>
      <c r="J106" s="97"/>
      <c r="K106" s="97"/>
      <c r="L106" s="97"/>
      <c r="M106" t="s" s="96">
        <v>243</v>
      </c>
      <c r="N106" t="s" s="96">
        <v>244</v>
      </c>
      <c r="O106" t="s" s="96">
        <v>264</v>
      </c>
      <c r="P106" t="s" s="96">
        <v>440</v>
      </c>
      <c r="Q106" t="s" s="98">
        <v>441</v>
      </c>
    </row>
    <row r="107" ht="42" customHeight="1">
      <c r="A107" t="s" s="99">
        <v>464</v>
      </c>
      <c r="B107" t="s" s="100">
        <v>238</v>
      </c>
      <c r="C107" t="s" s="100">
        <v>438</v>
      </c>
      <c r="D107" t="s" s="100">
        <v>105</v>
      </c>
      <c r="E107" t="s" s="100">
        <v>105</v>
      </c>
      <c r="F107" t="s" s="100">
        <v>241</v>
      </c>
      <c r="G107" t="s" s="96">
        <v>465</v>
      </c>
      <c r="H107" s="97"/>
      <c r="I107" s="97"/>
      <c r="J107" s="97"/>
      <c r="K107" s="97"/>
      <c r="L107" s="97"/>
      <c r="M107" t="s" s="96">
        <v>243</v>
      </c>
      <c r="N107" t="s" s="96">
        <v>244</v>
      </c>
      <c r="O107" t="s" s="96">
        <v>264</v>
      </c>
      <c r="P107" t="s" s="96">
        <v>440</v>
      </c>
      <c r="Q107" t="s" s="98">
        <v>441</v>
      </c>
    </row>
    <row r="108" ht="42" customHeight="1">
      <c r="A108" t="s" s="99">
        <v>466</v>
      </c>
      <c r="B108" t="s" s="100">
        <v>238</v>
      </c>
      <c r="C108" t="s" s="100">
        <v>438</v>
      </c>
      <c r="D108" t="s" s="100">
        <v>105</v>
      </c>
      <c r="E108" t="s" s="100">
        <v>105</v>
      </c>
      <c r="F108" t="s" s="100">
        <v>241</v>
      </c>
      <c r="G108" t="s" s="96">
        <v>467</v>
      </c>
      <c r="H108" s="97"/>
      <c r="I108" s="97"/>
      <c r="J108" s="97"/>
      <c r="K108" s="97"/>
      <c r="L108" s="97"/>
      <c r="M108" t="s" s="96">
        <v>243</v>
      </c>
      <c r="N108" t="s" s="96">
        <v>244</v>
      </c>
      <c r="O108" t="s" s="96">
        <v>264</v>
      </c>
      <c r="P108" t="s" s="96">
        <v>440</v>
      </c>
      <c r="Q108" t="s" s="98">
        <v>441</v>
      </c>
    </row>
    <row r="109" ht="42" customHeight="1">
      <c r="A109" t="s" s="99">
        <v>468</v>
      </c>
      <c r="B109" t="s" s="100">
        <v>238</v>
      </c>
      <c r="C109" t="s" s="100">
        <v>438</v>
      </c>
      <c r="D109" t="s" s="100">
        <v>105</v>
      </c>
      <c r="E109" t="s" s="100">
        <v>105</v>
      </c>
      <c r="F109" t="s" s="100">
        <v>241</v>
      </c>
      <c r="G109" t="s" s="96">
        <v>469</v>
      </c>
      <c r="H109" s="97"/>
      <c r="I109" s="97"/>
      <c r="J109" s="97"/>
      <c r="K109" s="97"/>
      <c r="L109" s="97"/>
      <c r="M109" t="s" s="96">
        <v>243</v>
      </c>
      <c r="N109" t="s" s="96">
        <v>244</v>
      </c>
      <c r="O109" t="s" s="96">
        <v>264</v>
      </c>
      <c r="P109" t="s" s="96">
        <v>440</v>
      </c>
      <c r="Q109" t="s" s="98">
        <v>441</v>
      </c>
    </row>
    <row r="110" ht="42" customHeight="1">
      <c r="A110" t="s" s="99">
        <v>470</v>
      </c>
      <c r="B110" t="s" s="100">
        <v>238</v>
      </c>
      <c r="C110" t="s" s="100">
        <v>438</v>
      </c>
      <c r="D110" t="s" s="100">
        <v>105</v>
      </c>
      <c r="E110" t="s" s="100">
        <v>105</v>
      </c>
      <c r="F110" t="s" s="100">
        <v>241</v>
      </c>
      <c r="G110" t="s" s="96">
        <v>471</v>
      </c>
      <c r="H110" s="97"/>
      <c r="I110" s="97"/>
      <c r="J110" s="97"/>
      <c r="K110" s="97"/>
      <c r="L110" s="97"/>
      <c r="M110" t="s" s="96">
        <v>243</v>
      </c>
      <c r="N110" t="s" s="96">
        <v>244</v>
      </c>
      <c r="O110" t="s" s="96">
        <v>264</v>
      </c>
      <c r="P110" t="s" s="96">
        <v>440</v>
      </c>
      <c r="Q110" t="s" s="98">
        <v>441</v>
      </c>
    </row>
    <row r="111" ht="42" customHeight="1">
      <c r="A111" t="s" s="99">
        <v>472</v>
      </c>
      <c r="B111" t="s" s="100">
        <v>238</v>
      </c>
      <c r="C111" t="s" s="100">
        <v>438</v>
      </c>
      <c r="D111" t="s" s="100">
        <v>105</v>
      </c>
      <c r="E111" t="s" s="100">
        <v>105</v>
      </c>
      <c r="F111" t="s" s="100">
        <v>241</v>
      </c>
      <c r="G111" t="s" s="96">
        <v>473</v>
      </c>
      <c r="H111" s="97"/>
      <c r="I111" s="97"/>
      <c r="J111" s="97"/>
      <c r="K111" s="97"/>
      <c r="L111" s="97"/>
      <c r="M111" t="s" s="96">
        <v>243</v>
      </c>
      <c r="N111" t="s" s="96">
        <v>244</v>
      </c>
      <c r="O111" t="s" s="96">
        <v>264</v>
      </c>
      <c r="P111" t="s" s="96">
        <v>440</v>
      </c>
      <c r="Q111" t="s" s="98">
        <v>441</v>
      </c>
    </row>
    <row r="112" ht="42" customHeight="1">
      <c r="A112" t="s" s="99">
        <v>474</v>
      </c>
      <c r="B112" t="s" s="100">
        <v>238</v>
      </c>
      <c r="C112" t="s" s="100">
        <v>438</v>
      </c>
      <c r="D112" t="s" s="100">
        <v>105</v>
      </c>
      <c r="E112" t="s" s="100">
        <v>105</v>
      </c>
      <c r="F112" t="s" s="100">
        <v>241</v>
      </c>
      <c r="G112" t="s" s="96">
        <v>475</v>
      </c>
      <c r="H112" s="97"/>
      <c r="I112" s="97"/>
      <c r="J112" s="97"/>
      <c r="K112" s="97"/>
      <c r="L112" s="97"/>
      <c r="M112" t="s" s="96">
        <v>243</v>
      </c>
      <c r="N112" t="s" s="96">
        <v>244</v>
      </c>
      <c r="O112" t="s" s="96">
        <v>264</v>
      </c>
      <c r="P112" t="s" s="96">
        <v>440</v>
      </c>
      <c r="Q112" t="s" s="98">
        <v>441</v>
      </c>
    </row>
    <row r="113" ht="42" customHeight="1">
      <c r="A113" t="s" s="99">
        <v>476</v>
      </c>
      <c r="B113" t="s" s="100">
        <v>238</v>
      </c>
      <c r="C113" t="s" s="100">
        <v>438</v>
      </c>
      <c r="D113" t="s" s="100">
        <v>105</v>
      </c>
      <c r="E113" t="s" s="100">
        <v>105</v>
      </c>
      <c r="F113" t="s" s="100">
        <v>241</v>
      </c>
      <c r="G113" t="s" s="96">
        <v>477</v>
      </c>
      <c r="H113" s="97"/>
      <c r="I113" s="97"/>
      <c r="J113" s="97"/>
      <c r="K113" s="97"/>
      <c r="L113" s="97"/>
      <c r="M113" t="s" s="96">
        <v>243</v>
      </c>
      <c r="N113" t="s" s="96">
        <v>478</v>
      </c>
      <c r="O113" t="s" s="96">
        <v>264</v>
      </c>
      <c r="P113" t="s" s="96">
        <v>440</v>
      </c>
      <c r="Q113" t="s" s="98">
        <v>479</v>
      </c>
    </row>
    <row r="114" ht="42" customHeight="1">
      <c r="A114" t="s" s="99">
        <v>480</v>
      </c>
      <c r="B114" t="s" s="100">
        <v>238</v>
      </c>
      <c r="C114" t="s" s="100">
        <v>438</v>
      </c>
      <c r="D114" t="s" s="100">
        <v>105</v>
      </c>
      <c r="E114" t="s" s="100">
        <v>105</v>
      </c>
      <c r="F114" t="s" s="100">
        <v>241</v>
      </c>
      <c r="G114" t="s" s="96">
        <v>481</v>
      </c>
      <c r="H114" s="97"/>
      <c r="I114" s="97"/>
      <c r="J114" s="97"/>
      <c r="K114" s="97"/>
      <c r="L114" s="97"/>
      <c r="M114" t="s" s="96">
        <v>243</v>
      </c>
      <c r="N114" t="s" s="96">
        <v>478</v>
      </c>
      <c r="O114" t="s" s="96">
        <v>264</v>
      </c>
      <c r="P114" t="s" s="96">
        <v>440</v>
      </c>
      <c r="Q114" t="s" s="98">
        <v>479</v>
      </c>
    </row>
    <row r="115" ht="42" customHeight="1">
      <c r="A115" t="s" s="99">
        <v>482</v>
      </c>
      <c r="B115" t="s" s="100">
        <v>238</v>
      </c>
      <c r="C115" t="s" s="100">
        <v>438</v>
      </c>
      <c r="D115" t="s" s="100">
        <v>105</v>
      </c>
      <c r="E115" t="s" s="100">
        <v>105</v>
      </c>
      <c r="F115" t="s" s="100">
        <v>241</v>
      </c>
      <c r="G115" t="s" s="96">
        <v>483</v>
      </c>
      <c r="H115" s="97"/>
      <c r="I115" s="97"/>
      <c r="J115" s="97"/>
      <c r="K115" s="97"/>
      <c r="L115" s="97"/>
      <c r="M115" t="s" s="96">
        <v>243</v>
      </c>
      <c r="N115" t="s" s="96">
        <v>478</v>
      </c>
      <c r="O115" t="s" s="96">
        <v>264</v>
      </c>
      <c r="P115" t="s" s="96">
        <v>440</v>
      </c>
      <c r="Q115" t="s" s="98">
        <v>479</v>
      </c>
    </row>
    <row r="116" ht="42" customHeight="1">
      <c r="A116" t="s" s="99">
        <v>484</v>
      </c>
      <c r="B116" t="s" s="100">
        <v>238</v>
      </c>
      <c r="C116" t="s" s="100">
        <v>438</v>
      </c>
      <c r="D116" t="s" s="100">
        <v>105</v>
      </c>
      <c r="E116" t="s" s="100">
        <v>105</v>
      </c>
      <c r="F116" t="s" s="100">
        <v>241</v>
      </c>
      <c r="G116" t="s" s="96">
        <v>485</v>
      </c>
      <c r="H116" s="97"/>
      <c r="I116" s="97"/>
      <c r="J116" s="97"/>
      <c r="K116" s="97"/>
      <c r="L116" s="97"/>
      <c r="M116" t="s" s="96">
        <v>243</v>
      </c>
      <c r="N116" t="s" s="96">
        <v>478</v>
      </c>
      <c r="O116" t="s" s="96">
        <v>264</v>
      </c>
      <c r="P116" t="s" s="96">
        <v>440</v>
      </c>
      <c r="Q116" t="s" s="98">
        <v>479</v>
      </c>
    </row>
    <row r="117" ht="42" customHeight="1">
      <c r="A117" t="s" s="99">
        <v>486</v>
      </c>
      <c r="B117" t="s" s="100">
        <v>238</v>
      </c>
      <c r="C117" t="s" s="100">
        <v>438</v>
      </c>
      <c r="D117" t="s" s="100">
        <v>105</v>
      </c>
      <c r="E117" t="s" s="100">
        <v>105</v>
      </c>
      <c r="F117" t="s" s="100">
        <v>241</v>
      </c>
      <c r="G117" t="s" s="96">
        <v>487</v>
      </c>
      <c r="H117" s="97"/>
      <c r="I117" s="97"/>
      <c r="J117" s="97"/>
      <c r="K117" s="97"/>
      <c r="L117" s="97"/>
      <c r="M117" t="s" s="96">
        <v>243</v>
      </c>
      <c r="N117" t="s" s="96">
        <v>478</v>
      </c>
      <c r="O117" t="s" s="96">
        <v>264</v>
      </c>
      <c r="P117" t="s" s="96">
        <v>440</v>
      </c>
      <c r="Q117" t="s" s="98">
        <v>479</v>
      </c>
    </row>
    <row r="118" ht="42" customHeight="1">
      <c r="A118" t="s" s="99">
        <v>488</v>
      </c>
      <c r="B118" t="s" s="100">
        <v>238</v>
      </c>
      <c r="C118" t="s" s="100">
        <v>438</v>
      </c>
      <c r="D118" t="s" s="100">
        <v>105</v>
      </c>
      <c r="E118" t="s" s="100">
        <v>105</v>
      </c>
      <c r="F118" t="s" s="100">
        <v>241</v>
      </c>
      <c r="G118" t="s" s="96">
        <v>489</v>
      </c>
      <c r="H118" s="97"/>
      <c r="I118" s="97"/>
      <c r="J118" s="97"/>
      <c r="K118" s="97"/>
      <c r="L118" s="97"/>
      <c r="M118" t="s" s="96">
        <v>243</v>
      </c>
      <c r="N118" t="s" s="96">
        <v>478</v>
      </c>
      <c r="O118" t="s" s="96">
        <v>264</v>
      </c>
      <c r="P118" t="s" s="96">
        <v>440</v>
      </c>
      <c r="Q118" t="s" s="98">
        <v>479</v>
      </c>
    </row>
    <row r="119" ht="42" customHeight="1">
      <c r="A119" t="s" s="99">
        <v>490</v>
      </c>
      <c r="B119" t="s" s="100">
        <v>238</v>
      </c>
      <c r="C119" t="s" s="100">
        <v>438</v>
      </c>
      <c r="D119" t="s" s="100">
        <v>105</v>
      </c>
      <c r="E119" t="s" s="100">
        <v>105</v>
      </c>
      <c r="F119" t="s" s="100">
        <v>241</v>
      </c>
      <c r="G119" t="s" s="96">
        <v>491</v>
      </c>
      <c r="H119" s="97"/>
      <c r="I119" s="97"/>
      <c r="J119" s="97"/>
      <c r="K119" s="97"/>
      <c r="L119" s="97"/>
      <c r="M119" t="s" s="96">
        <v>243</v>
      </c>
      <c r="N119" t="s" s="96">
        <v>478</v>
      </c>
      <c r="O119" t="s" s="96">
        <v>264</v>
      </c>
      <c r="P119" t="s" s="96">
        <v>440</v>
      </c>
      <c r="Q119" t="s" s="98">
        <v>479</v>
      </c>
    </row>
    <row r="120" ht="42" customHeight="1">
      <c r="A120" t="s" s="99">
        <v>492</v>
      </c>
      <c r="B120" t="s" s="100">
        <v>238</v>
      </c>
      <c r="C120" t="s" s="100">
        <v>438</v>
      </c>
      <c r="D120" t="s" s="100">
        <v>110</v>
      </c>
      <c r="E120" t="s" s="100">
        <v>110</v>
      </c>
      <c r="F120" t="s" s="100">
        <v>241</v>
      </c>
      <c r="G120" t="s" s="96">
        <v>493</v>
      </c>
      <c r="H120" s="97"/>
      <c r="I120" s="97"/>
      <c r="J120" s="97"/>
      <c r="K120" s="97"/>
      <c r="L120" s="97"/>
      <c r="M120" t="s" s="96">
        <v>243</v>
      </c>
      <c r="N120" t="s" s="96">
        <v>244</v>
      </c>
      <c r="O120" t="s" s="96">
        <v>264</v>
      </c>
      <c r="P120" t="s" s="96">
        <v>494</v>
      </c>
      <c r="Q120" t="s" s="98">
        <v>441</v>
      </c>
    </row>
    <row r="121" ht="42" customHeight="1">
      <c r="A121" t="s" s="99">
        <v>495</v>
      </c>
      <c r="B121" t="s" s="100">
        <v>238</v>
      </c>
      <c r="C121" t="s" s="100">
        <v>438</v>
      </c>
      <c r="D121" t="s" s="100">
        <v>110</v>
      </c>
      <c r="E121" t="s" s="100">
        <v>110</v>
      </c>
      <c r="F121" t="s" s="100">
        <v>241</v>
      </c>
      <c r="G121" t="s" s="96">
        <v>496</v>
      </c>
      <c r="H121" s="97"/>
      <c r="I121" s="97"/>
      <c r="J121" s="97"/>
      <c r="K121" s="97"/>
      <c r="L121" s="97"/>
      <c r="M121" t="s" s="96">
        <v>243</v>
      </c>
      <c r="N121" t="s" s="96">
        <v>244</v>
      </c>
      <c r="O121" t="s" s="96">
        <v>264</v>
      </c>
      <c r="P121" t="s" s="96">
        <v>494</v>
      </c>
      <c r="Q121" t="s" s="98">
        <v>441</v>
      </c>
    </row>
    <row r="122" ht="42" customHeight="1">
      <c r="A122" t="s" s="99">
        <v>497</v>
      </c>
      <c r="B122" t="s" s="100">
        <v>238</v>
      </c>
      <c r="C122" t="s" s="100">
        <v>438</v>
      </c>
      <c r="D122" t="s" s="100">
        <v>110</v>
      </c>
      <c r="E122" t="s" s="100">
        <v>110</v>
      </c>
      <c r="F122" t="s" s="100">
        <v>241</v>
      </c>
      <c r="G122" t="s" s="96">
        <v>498</v>
      </c>
      <c r="H122" s="97"/>
      <c r="I122" s="97"/>
      <c r="J122" s="97"/>
      <c r="K122" s="97"/>
      <c r="L122" s="97"/>
      <c r="M122" t="s" s="96">
        <v>243</v>
      </c>
      <c r="N122" t="s" s="96">
        <v>244</v>
      </c>
      <c r="O122" t="s" s="96">
        <v>264</v>
      </c>
      <c r="P122" t="s" s="96">
        <v>494</v>
      </c>
      <c r="Q122" t="s" s="98">
        <v>441</v>
      </c>
    </row>
    <row r="123" ht="42" customHeight="1">
      <c r="A123" t="s" s="99">
        <v>499</v>
      </c>
      <c r="B123" t="s" s="100">
        <v>238</v>
      </c>
      <c r="C123" t="s" s="100">
        <v>438</v>
      </c>
      <c r="D123" t="s" s="100">
        <v>110</v>
      </c>
      <c r="E123" t="s" s="100">
        <v>110</v>
      </c>
      <c r="F123" t="s" s="100">
        <v>241</v>
      </c>
      <c r="G123" t="s" s="96">
        <v>500</v>
      </c>
      <c r="H123" s="97"/>
      <c r="I123" s="97"/>
      <c r="J123" s="97"/>
      <c r="K123" s="97"/>
      <c r="L123" s="97"/>
      <c r="M123" t="s" s="96">
        <v>243</v>
      </c>
      <c r="N123" t="s" s="96">
        <v>244</v>
      </c>
      <c r="O123" t="s" s="96">
        <v>264</v>
      </c>
      <c r="P123" t="s" s="96">
        <v>494</v>
      </c>
      <c r="Q123" t="s" s="98">
        <v>441</v>
      </c>
    </row>
    <row r="124" ht="42" customHeight="1">
      <c r="A124" t="s" s="99">
        <v>501</v>
      </c>
      <c r="B124" t="s" s="100">
        <v>238</v>
      </c>
      <c r="C124" t="s" s="100">
        <v>438</v>
      </c>
      <c r="D124" t="s" s="100">
        <v>110</v>
      </c>
      <c r="E124" t="s" s="100">
        <v>110</v>
      </c>
      <c r="F124" t="s" s="100">
        <v>241</v>
      </c>
      <c r="G124" t="s" s="96">
        <v>502</v>
      </c>
      <c r="H124" s="97"/>
      <c r="I124" s="97"/>
      <c r="J124" s="97"/>
      <c r="K124" s="97"/>
      <c r="L124" s="97"/>
      <c r="M124" t="s" s="96">
        <v>243</v>
      </c>
      <c r="N124" t="s" s="96">
        <v>244</v>
      </c>
      <c r="O124" t="s" s="96">
        <v>264</v>
      </c>
      <c r="P124" t="s" s="96">
        <v>494</v>
      </c>
      <c r="Q124" t="s" s="98">
        <v>441</v>
      </c>
    </row>
    <row r="125" ht="42" customHeight="1">
      <c r="A125" t="s" s="99">
        <v>503</v>
      </c>
      <c r="B125" t="s" s="100">
        <v>238</v>
      </c>
      <c r="C125" t="s" s="100">
        <v>438</v>
      </c>
      <c r="D125" t="s" s="100">
        <v>110</v>
      </c>
      <c r="E125" t="s" s="100">
        <v>110</v>
      </c>
      <c r="F125" t="s" s="100">
        <v>241</v>
      </c>
      <c r="G125" t="s" s="96">
        <v>504</v>
      </c>
      <c r="H125" s="97"/>
      <c r="I125" s="97"/>
      <c r="J125" s="97"/>
      <c r="K125" s="97"/>
      <c r="L125" s="97"/>
      <c r="M125" t="s" s="96">
        <v>243</v>
      </c>
      <c r="N125" t="s" s="96">
        <v>244</v>
      </c>
      <c r="O125" t="s" s="96">
        <v>264</v>
      </c>
      <c r="P125" t="s" s="96">
        <v>494</v>
      </c>
      <c r="Q125" t="s" s="98">
        <v>441</v>
      </c>
    </row>
    <row r="126" ht="42" customHeight="1">
      <c r="A126" t="s" s="99">
        <v>505</v>
      </c>
      <c r="B126" t="s" s="100">
        <v>238</v>
      </c>
      <c r="C126" t="s" s="100">
        <v>438</v>
      </c>
      <c r="D126" t="s" s="100">
        <v>110</v>
      </c>
      <c r="E126" t="s" s="100">
        <v>110</v>
      </c>
      <c r="F126" t="s" s="100">
        <v>241</v>
      </c>
      <c r="G126" t="s" s="96">
        <v>506</v>
      </c>
      <c r="H126" s="97"/>
      <c r="I126" s="97"/>
      <c r="J126" s="97"/>
      <c r="K126" s="97"/>
      <c r="L126" s="97"/>
      <c r="M126" t="s" s="96">
        <v>243</v>
      </c>
      <c r="N126" t="s" s="96">
        <v>244</v>
      </c>
      <c r="O126" t="s" s="96">
        <v>264</v>
      </c>
      <c r="P126" t="s" s="96">
        <v>494</v>
      </c>
      <c r="Q126" t="s" s="98">
        <v>441</v>
      </c>
    </row>
    <row r="127" ht="42" customHeight="1">
      <c r="A127" t="s" s="99">
        <v>507</v>
      </c>
      <c r="B127" t="s" s="100">
        <v>238</v>
      </c>
      <c r="C127" t="s" s="100">
        <v>438</v>
      </c>
      <c r="D127" t="s" s="100">
        <v>110</v>
      </c>
      <c r="E127" t="s" s="100">
        <v>110</v>
      </c>
      <c r="F127" t="s" s="100">
        <v>241</v>
      </c>
      <c r="G127" t="s" s="96">
        <v>508</v>
      </c>
      <c r="H127" s="97"/>
      <c r="I127" s="97"/>
      <c r="J127" s="97"/>
      <c r="K127" s="97"/>
      <c r="L127" s="97"/>
      <c r="M127" t="s" s="96">
        <v>243</v>
      </c>
      <c r="N127" t="s" s="96">
        <v>244</v>
      </c>
      <c r="O127" t="s" s="96">
        <v>264</v>
      </c>
      <c r="P127" t="s" s="96">
        <v>494</v>
      </c>
      <c r="Q127" t="s" s="98">
        <v>441</v>
      </c>
    </row>
    <row r="128" ht="42" customHeight="1">
      <c r="A128" t="s" s="99">
        <v>509</v>
      </c>
      <c r="B128" t="s" s="100">
        <v>238</v>
      </c>
      <c r="C128" t="s" s="100">
        <v>438</v>
      </c>
      <c r="D128" t="s" s="100">
        <v>110</v>
      </c>
      <c r="E128" t="s" s="100">
        <v>110</v>
      </c>
      <c r="F128" t="s" s="100">
        <v>241</v>
      </c>
      <c r="G128" t="s" s="96">
        <v>510</v>
      </c>
      <c r="H128" s="97"/>
      <c r="I128" s="97"/>
      <c r="J128" s="97"/>
      <c r="K128" s="97"/>
      <c r="L128" s="97"/>
      <c r="M128" t="s" s="96">
        <v>243</v>
      </c>
      <c r="N128" t="s" s="96">
        <v>244</v>
      </c>
      <c r="O128" t="s" s="96">
        <v>264</v>
      </c>
      <c r="P128" t="s" s="96">
        <v>494</v>
      </c>
      <c r="Q128" t="s" s="98">
        <v>441</v>
      </c>
    </row>
    <row r="129" ht="42" customHeight="1">
      <c r="A129" t="s" s="99">
        <v>511</v>
      </c>
      <c r="B129" t="s" s="100">
        <v>238</v>
      </c>
      <c r="C129" t="s" s="100">
        <v>438</v>
      </c>
      <c r="D129" t="s" s="100">
        <v>110</v>
      </c>
      <c r="E129" t="s" s="100">
        <v>110</v>
      </c>
      <c r="F129" t="s" s="100">
        <v>241</v>
      </c>
      <c r="G129" t="s" s="96">
        <v>512</v>
      </c>
      <c r="H129" s="97"/>
      <c r="I129" s="97"/>
      <c r="J129" s="97"/>
      <c r="K129" s="97"/>
      <c r="L129" s="97"/>
      <c r="M129" t="s" s="96">
        <v>243</v>
      </c>
      <c r="N129" t="s" s="96">
        <v>244</v>
      </c>
      <c r="O129" t="s" s="96">
        <v>264</v>
      </c>
      <c r="P129" t="s" s="96">
        <v>494</v>
      </c>
      <c r="Q129" t="s" s="98">
        <v>441</v>
      </c>
    </row>
    <row r="130" ht="42" customHeight="1">
      <c r="A130" t="s" s="99">
        <v>513</v>
      </c>
      <c r="B130" t="s" s="100">
        <v>238</v>
      </c>
      <c r="C130" t="s" s="100">
        <v>438</v>
      </c>
      <c r="D130" t="s" s="100">
        <v>110</v>
      </c>
      <c r="E130" t="s" s="100">
        <v>110</v>
      </c>
      <c r="F130" t="s" s="100">
        <v>241</v>
      </c>
      <c r="G130" t="s" s="96">
        <v>514</v>
      </c>
      <c r="H130" s="97"/>
      <c r="I130" s="97"/>
      <c r="J130" s="97"/>
      <c r="K130" s="97"/>
      <c r="L130" s="97"/>
      <c r="M130" t="s" s="96">
        <v>243</v>
      </c>
      <c r="N130" t="s" s="96">
        <v>244</v>
      </c>
      <c r="O130" t="s" s="96">
        <v>264</v>
      </c>
      <c r="P130" t="s" s="96">
        <v>494</v>
      </c>
      <c r="Q130" t="s" s="98">
        <v>441</v>
      </c>
    </row>
    <row r="131" ht="42" customHeight="1">
      <c r="A131" t="s" s="99">
        <v>515</v>
      </c>
      <c r="B131" t="s" s="100">
        <v>238</v>
      </c>
      <c r="C131" t="s" s="100">
        <v>438</v>
      </c>
      <c r="D131" t="s" s="100">
        <v>110</v>
      </c>
      <c r="E131" t="s" s="100">
        <v>110</v>
      </c>
      <c r="F131" t="s" s="100">
        <v>241</v>
      </c>
      <c r="G131" t="s" s="96">
        <v>516</v>
      </c>
      <c r="H131" s="97"/>
      <c r="I131" s="97"/>
      <c r="J131" s="97"/>
      <c r="K131" s="97"/>
      <c r="L131" s="97"/>
      <c r="M131" t="s" s="96">
        <v>243</v>
      </c>
      <c r="N131" t="s" s="96">
        <v>244</v>
      </c>
      <c r="O131" t="s" s="96">
        <v>264</v>
      </c>
      <c r="P131" t="s" s="96">
        <v>494</v>
      </c>
      <c r="Q131" t="s" s="98">
        <v>441</v>
      </c>
    </row>
    <row r="132" ht="42" customHeight="1">
      <c r="A132" t="s" s="99">
        <v>517</v>
      </c>
      <c r="B132" t="s" s="100">
        <v>238</v>
      </c>
      <c r="C132" t="s" s="100">
        <v>438</v>
      </c>
      <c r="D132" t="s" s="100">
        <v>110</v>
      </c>
      <c r="E132" t="s" s="100">
        <v>110</v>
      </c>
      <c r="F132" t="s" s="100">
        <v>241</v>
      </c>
      <c r="G132" t="s" s="96">
        <v>518</v>
      </c>
      <c r="H132" s="97"/>
      <c r="I132" s="97"/>
      <c r="J132" s="97"/>
      <c r="K132" s="97"/>
      <c r="L132" s="97"/>
      <c r="M132" t="s" s="96">
        <v>243</v>
      </c>
      <c r="N132" t="s" s="96">
        <v>244</v>
      </c>
      <c r="O132" t="s" s="96">
        <v>264</v>
      </c>
      <c r="P132" t="s" s="96">
        <v>494</v>
      </c>
      <c r="Q132" t="s" s="98">
        <v>441</v>
      </c>
    </row>
    <row r="133" ht="42" customHeight="1">
      <c r="A133" t="s" s="99">
        <v>519</v>
      </c>
      <c r="B133" t="s" s="100">
        <v>238</v>
      </c>
      <c r="C133" t="s" s="100">
        <v>438</v>
      </c>
      <c r="D133" t="s" s="100">
        <v>110</v>
      </c>
      <c r="E133" t="s" s="100">
        <v>110</v>
      </c>
      <c r="F133" t="s" s="100">
        <v>241</v>
      </c>
      <c r="G133" t="s" s="96">
        <v>520</v>
      </c>
      <c r="H133" s="97"/>
      <c r="I133" s="97"/>
      <c r="J133" s="97"/>
      <c r="K133" s="97"/>
      <c r="L133" s="97"/>
      <c r="M133" t="s" s="96">
        <v>243</v>
      </c>
      <c r="N133" t="s" s="96">
        <v>244</v>
      </c>
      <c r="O133" t="s" s="96">
        <v>264</v>
      </c>
      <c r="P133" t="s" s="96">
        <v>494</v>
      </c>
      <c r="Q133" t="s" s="98">
        <v>441</v>
      </c>
    </row>
    <row r="134" ht="42" customHeight="1">
      <c r="A134" t="s" s="99">
        <v>521</v>
      </c>
      <c r="B134" t="s" s="100">
        <v>238</v>
      </c>
      <c r="C134" t="s" s="100">
        <v>438</v>
      </c>
      <c r="D134" t="s" s="100">
        <v>110</v>
      </c>
      <c r="E134" t="s" s="100">
        <v>110</v>
      </c>
      <c r="F134" t="s" s="100">
        <v>241</v>
      </c>
      <c r="G134" t="s" s="96">
        <v>522</v>
      </c>
      <c r="H134" s="97"/>
      <c r="I134" s="97"/>
      <c r="J134" s="97"/>
      <c r="K134" s="97"/>
      <c r="L134" s="97"/>
      <c r="M134" t="s" s="96">
        <v>243</v>
      </c>
      <c r="N134" t="s" s="96">
        <v>244</v>
      </c>
      <c r="O134" t="s" s="96">
        <v>264</v>
      </c>
      <c r="P134" t="s" s="96">
        <v>494</v>
      </c>
      <c r="Q134" t="s" s="98">
        <v>441</v>
      </c>
    </row>
    <row r="135" ht="42" customHeight="1">
      <c r="A135" t="s" s="99">
        <v>523</v>
      </c>
      <c r="B135" t="s" s="100">
        <v>238</v>
      </c>
      <c r="C135" t="s" s="100">
        <v>438</v>
      </c>
      <c r="D135" t="s" s="100">
        <v>110</v>
      </c>
      <c r="E135" t="s" s="100">
        <v>110</v>
      </c>
      <c r="F135" t="s" s="100">
        <v>241</v>
      </c>
      <c r="G135" t="s" s="96">
        <v>524</v>
      </c>
      <c r="H135" s="97"/>
      <c r="I135" s="97"/>
      <c r="J135" s="97"/>
      <c r="K135" s="97"/>
      <c r="L135" s="97"/>
      <c r="M135" t="s" s="96">
        <v>243</v>
      </c>
      <c r="N135" t="s" s="96">
        <v>244</v>
      </c>
      <c r="O135" t="s" s="96">
        <v>264</v>
      </c>
      <c r="P135" t="s" s="96">
        <v>494</v>
      </c>
      <c r="Q135" t="s" s="98">
        <v>441</v>
      </c>
    </row>
    <row r="136" ht="42" customHeight="1">
      <c r="A136" t="s" s="99">
        <v>525</v>
      </c>
      <c r="B136" t="s" s="100">
        <v>238</v>
      </c>
      <c r="C136" t="s" s="100">
        <v>438</v>
      </c>
      <c r="D136" t="s" s="100">
        <v>110</v>
      </c>
      <c r="E136" t="s" s="100">
        <v>110</v>
      </c>
      <c r="F136" t="s" s="100">
        <v>241</v>
      </c>
      <c r="G136" t="s" s="96">
        <v>526</v>
      </c>
      <c r="H136" s="97"/>
      <c r="I136" s="97"/>
      <c r="J136" s="97"/>
      <c r="K136" s="97"/>
      <c r="L136" s="97"/>
      <c r="M136" t="s" s="96">
        <v>243</v>
      </c>
      <c r="N136" t="s" s="96">
        <v>244</v>
      </c>
      <c r="O136" t="s" s="96">
        <v>264</v>
      </c>
      <c r="P136" t="s" s="96">
        <v>494</v>
      </c>
      <c r="Q136" t="s" s="98">
        <v>441</v>
      </c>
    </row>
    <row r="137" ht="42" customHeight="1">
      <c r="A137" t="s" s="99">
        <v>527</v>
      </c>
      <c r="B137" t="s" s="100">
        <v>238</v>
      </c>
      <c r="C137" t="s" s="100">
        <v>438</v>
      </c>
      <c r="D137" t="s" s="100">
        <v>110</v>
      </c>
      <c r="E137" t="s" s="100">
        <v>110</v>
      </c>
      <c r="F137" t="s" s="100">
        <v>241</v>
      </c>
      <c r="G137" t="s" s="96">
        <v>528</v>
      </c>
      <c r="H137" s="97"/>
      <c r="I137" s="97"/>
      <c r="J137" s="97"/>
      <c r="K137" s="97"/>
      <c r="L137" s="97"/>
      <c r="M137" t="s" s="96">
        <v>243</v>
      </c>
      <c r="N137" t="s" s="96">
        <v>244</v>
      </c>
      <c r="O137" t="s" s="96">
        <v>264</v>
      </c>
      <c r="P137" t="s" s="96">
        <v>494</v>
      </c>
      <c r="Q137" t="s" s="98">
        <v>441</v>
      </c>
    </row>
    <row r="138" ht="42" customHeight="1">
      <c r="A138" t="s" s="99">
        <v>529</v>
      </c>
      <c r="B138" t="s" s="100">
        <v>238</v>
      </c>
      <c r="C138" t="s" s="100">
        <v>438</v>
      </c>
      <c r="D138" t="s" s="100">
        <v>110</v>
      </c>
      <c r="E138" t="s" s="100">
        <v>110</v>
      </c>
      <c r="F138" t="s" s="100">
        <v>241</v>
      </c>
      <c r="G138" t="s" s="96">
        <v>530</v>
      </c>
      <c r="H138" s="97"/>
      <c r="I138" s="97"/>
      <c r="J138" s="97"/>
      <c r="K138" s="97"/>
      <c r="L138" s="97"/>
      <c r="M138" t="s" s="96">
        <v>243</v>
      </c>
      <c r="N138" t="s" s="96">
        <v>478</v>
      </c>
      <c r="O138" t="s" s="96">
        <v>264</v>
      </c>
      <c r="P138" t="s" s="96">
        <v>494</v>
      </c>
      <c r="Q138" t="s" s="98">
        <v>479</v>
      </c>
    </row>
    <row r="139" ht="42" customHeight="1">
      <c r="A139" t="s" s="99">
        <v>531</v>
      </c>
      <c r="B139" t="s" s="100">
        <v>238</v>
      </c>
      <c r="C139" t="s" s="100">
        <v>438</v>
      </c>
      <c r="D139" t="s" s="100">
        <v>110</v>
      </c>
      <c r="E139" t="s" s="100">
        <v>110</v>
      </c>
      <c r="F139" t="s" s="100">
        <v>241</v>
      </c>
      <c r="G139" t="s" s="96">
        <v>532</v>
      </c>
      <c r="H139" s="97"/>
      <c r="I139" s="97"/>
      <c r="J139" s="97"/>
      <c r="K139" s="97"/>
      <c r="L139" s="97"/>
      <c r="M139" t="s" s="96">
        <v>243</v>
      </c>
      <c r="N139" t="s" s="96">
        <v>478</v>
      </c>
      <c r="O139" t="s" s="96">
        <v>264</v>
      </c>
      <c r="P139" t="s" s="96">
        <v>494</v>
      </c>
      <c r="Q139" t="s" s="98">
        <v>479</v>
      </c>
    </row>
    <row r="140" ht="42" customHeight="1">
      <c r="A140" t="s" s="99">
        <v>533</v>
      </c>
      <c r="B140" t="s" s="100">
        <v>238</v>
      </c>
      <c r="C140" t="s" s="100">
        <v>438</v>
      </c>
      <c r="D140" t="s" s="100">
        <v>110</v>
      </c>
      <c r="E140" t="s" s="100">
        <v>110</v>
      </c>
      <c r="F140" t="s" s="100">
        <v>241</v>
      </c>
      <c r="G140" t="s" s="96">
        <v>534</v>
      </c>
      <c r="H140" s="97"/>
      <c r="I140" s="97"/>
      <c r="J140" s="97"/>
      <c r="K140" s="97"/>
      <c r="L140" s="97"/>
      <c r="M140" t="s" s="96">
        <v>243</v>
      </c>
      <c r="N140" t="s" s="96">
        <v>478</v>
      </c>
      <c r="O140" t="s" s="96">
        <v>264</v>
      </c>
      <c r="P140" t="s" s="96">
        <v>494</v>
      </c>
      <c r="Q140" t="s" s="98">
        <v>479</v>
      </c>
    </row>
    <row r="141" ht="42" customHeight="1">
      <c r="A141" t="s" s="99">
        <v>535</v>
      </c>
      <c r="B141" t="s" s="100">
        <v>238</v>
      </c>
      <c r="C141" t="s" s="100">
        <v>438</v>
      </c>
      <c r="D141" t="s" s="100">
        <v>110</v>
      </c>
      <c r="E141" t="s" s="100">
        <v>110</v>
      </c>
      <c r="F141" t="s" s="100">
        <v>241</v>
      </c>
      <c r="G141" t="s" s="96">
        <v>536</v>
      </c>
      <c r="H141" s="97"/>
      <c r="I141" s="97"/>
      <c r="J141" s="97"/>
      <c r="K141" s="97"/>
      <c r="L141" s="97"/>
      <c r="M141" t="s" s="96">
        <v>243</v>
      </c>
      <c r="N141" t="s" s="96">
        <v>478</v>
      </c>
      <c r="O141" t="s" s="96">
        <v>264</v>
      </c>
      <c r="P141" t="s" s="96">
        <v>494</v>
      </c>
      <c r="Q141" t="s" s="98">
        <v>479</v>
      </c>
    </row>
    <row r="142" ht="42" customHeight="1">
      <c r="A142" t="s" s="99">
        <v>537</v>
      </c>
      <c r="B142" t="s" s="100">
        <v>238</v>
      </c>
      <c r="C142" t="s" s="100">
        <v>438</v>
      </c>
      <c r="D142" t="s" s="100">
        <v>110</v>
      </c>
      <c r="E142" t="s" s="100">
        <v>110</v>
      </c>
      <c r="F142" t="s" s="100">
        <v>241</v>
      </c>
      <c r="G142" t="s" s="96">
        <v>538</v>
      </c>
      <c r="H142" s="97"/>
      <c r="I142" s="97"/>
      <c r="J142" s="97"/>
      <c r="K142" s="97"/>
      <c r="L142" s="97"/>
      <c r="M142" t="s" s="96">
        <v>243</v>
      </c>
      <c r="N142" t="s" s="96">
        <v>478</v>
      </c>
      <c r="O142" t="s" s="96">
        <v>264</v>
      </c>
      <c r="P142" t="s" s="96">
        <v>494</v>
      </c>
      <c r="Q142" t="s" s="98">
        <v>479</v>
      </c>
    </row>
    <row r="143" ht="42" customHeight="1">
      <c r="A143" t="s" s="99">
        <v>539</v>
      </c>
      <c r="B143" t="s" s="100">
        <v>238</v>
      </c>
      <c r="C143" t="s" s="100">
        <v>438</v>
      </c>
      <c r="D143" t="s" s="100">
        <v>110</v>
      </c>
      <c r="E143" t="s" s="100">
        <v>110</v>
      </c>
      <c r="F143" t="s" s="100">
        <v>241</v>
      </c>
      <c r="G143" t="s" s="96">
        <v>540</v>
      </c>
      <c r="H143" s="97"/>
      <c r="I143" s="97"/>
      <c r="J143" s="97"/>
      <c r="K143" s="97"/>
      <c r="L143" s="97"/>
      <c r="M143" t="s" s="96">
        <v>243</v>
      </c>
      <c r="N143" t="s" s="96">
        <v>478</v>
      </c>
      <c r="O143" t="s" s="96">
        <v>264</v>
      </c>
      <c r="P143" t="s" s="96">
        <v>494</v>
      </c>
      <c r="Q143" t="s" s="98">
        <v>479</v>
      </c>
    </row>
    <row r="144" ht="42" customHeight="1">
      <c r="A144" t="s" s="99">
        <v>541</v>
      </c>
      <c r="B144" t="s" s="100">
        <v>238</v>
      </c>
      <c r="C144" t="s" s="100">
        <v>438</v>
      </c>
      <c r="D144" t="s" s="100">
        <v>110</v>
      </c>
      <c r="E144" t="s" s="100">
        <v>110</v>
      </c>
      <c r="F144" t="s" s="100">
        <v>241</v>
      </c>
      <c r="G144" t="s" s="96">
        <v>542</v>
      </c>
      <c r="H144" s="97"/>
      <c r="I144" s="97"/>
      <c r="J144" s="97"/>
      <c r="K144" s="97"/>
      <c r="L144" s="97"/>
      <c r="M144" t="s" s="96">
        <v>243</v>
      </c>
      <c r="N144" t="s" s="96">
        <v>478</v>
      </c>
      <c r="O144" t="s" s="96">
        <v>264</v>
      </c>
      <c r="P144" t="s" s="96">
        <v>494</v>
      </c>
      <c r="Q144" t="s" s="98">
        <v>479</v>
      </c>
    </row>
    <row r="145" ht="42" customHeight="1">
      <c r="A145" t="s" s="99">
        <v>543</v>
      </c>
      <c r="B145" t="s" s="100">
        <v>238</v>
      </c>
      <c r="C145" t="s" s="100">
        <v>438</v>
      </c>
      <c r="D145" t="s" s="100">
        <v>115</v>
      </c>
      <c r="E145" t="s" s="100">
        <v>115</v>
      </c>
      <c r="F145" t="s" s="100">
        <v>241</v>
      </c>
      <c r="G145" t="s" s="96">
        <v>544</v>
      </c>
      <c r="H145" s="97"/>
      <c r="I145" s="97"/>
      <c r="J145" s="97"/>
      <c r="K145" s="97"/>
      <c r="L145" s="97"/>
      <c r="M145" t="s" s="96">
        <v>243</v>
      </c>
      <c r="N145" t="s" s="96">
        <v>244</v>
      </c>
      <c r="O145" t="s" s="96">
        <v>264</v>
      </c>
      <c r="P145" t="s" s="96">
        <v>545</v>
      </c>
      <c r="Q145" t="s" s="98">
        <v>441</v>
      </c>
    </row>
    <row r="146" ht="42" customHeight="1">
      <c r="A146" t="s" s="99">
        <v>546</v>
      </c>
      <c r="B146" t="s" s="100">
        <v>238</v>
      </c>
      <c r="C146" t="s" s="100">
        <v>438</v>
      </c>
      <c r="D146" t="s" s="100">
        <v>115</v>
      </c>
      <c r="E146" t="s" s="100">
        <v>115</v>
      </c>
      <c r="F146" t="s" s="100">
        <v>241</v>
      </c>
      <c r="G146" t="s" s="96">
        <v>547</v>
      </c>
      <c r="H146" s="97"/>
      <c r="I146" s="97"/>
      <c r="J146" s="97"/>
      <c r="K146" s="97"/>
      <c r="L146" s="97"/>
      <c r="M146" t="s" s="96">
        <v>243</v>
      </c>
      <c r="N146" t="s" s="96">
        <v>244</v>
      </c>
      <c r="O146" t="s" s="96">
        <v>264</v>
      </c>
      <c r="P146" t="s" s="96">
        <v>545</v>
      </c>
      <c r="Q146" t="s" s="98">
        <v>441</v>
      </c>
    </row>
    <row r="147" ht="42" customHeight="1">
      <c r="A147" t="s" s="99">
        <v>548</v>
      </c>
      <c r="B147" t="s" s="100">
        <v>238</v>
      </c>
      <c r="C147" t="s" s="100">
        <v>438</v>
      </c>
      <c r="D147" t="s" s="100">
        <v>115</v>
      </c>
      <c r="E147" t="s" s="100">
        <v>115</v>
      </c>
      <c r="F147" t="s" s="100">
        <v>241</v>
      </c>
      <c r="G147" t="s" s="96">
        <v>549</v>
      </c>
      <c r="H147" s="97"/>
      <c r="I147" s="97"/>
      <c r="J147" s="97"/>
      <c r="K147" s="97"/>
      <c r="L147" s="97"/>
      <c r="M147" t="s" s="96">
        <v>243</v>
      </c>
      <c r="N147" t="s" s="96">
        <v>244</v>
      </c>
      <c r="O147" t="s" s="96">
        <v>264</v>
      </c>
      <c r="P147" t="s" s="96">
        <v>545</v>
      </c>
      <c r="Q147" t="s" s="98">
        <v>441</v>
      </c>
    </row>
    <row r="148" ht="42" customHeight="1">
      <c r="A148" t="s" s="99">
        <v>550</v>
      </c>
      <c r="B148" t="s" s="100">
        <v>238</v>
      </c>
      <c r="C148" t="s" s="100">
        <v>438</v>
      </c>
      <c r="D148" t="s" s="100">
        <v>115</v>
      </c>
      <c r="E148" t="s" s="100">
        <v>115</v>
      </c>
      <c r="F148" t="s" s="100">
        <v>241</v>
      </c>
      <c r="G148" t="s" s="96">
        <v>551</v>
      </c>
      <c r="H148" s="97"/>
      <c r="I148" s="97"/>
      <c r="J148" s="97"/>
      <c r="K148" s="97"/>
      <c r="L148" s="97"/>
      <c r="M148" t="s" s="96">
        <v>243</v>
      </c>
      <c r="N148" t="s" s="96">
        <v>244</v>
      </c>
      <c r="O148" t="s" s="96">
        <v>264</v>
      </c>
      <c r="P148" t="s" s="96">
        <v>545</v>
      </c>
      <c r="Q148" t="s" s="98">
        <v>441</v>
      </c>
    </row>
    <row r="149" ht="42" customHeight="1">
      <c r="A149" t="s" s="99">
        <v>552</v>
      </c>
      <c r="B149" t="s" s="100">
        <v>238</v>
      </c>
      <c r="C149" t="s" s="100">
        <v>438</v>
      </c>
      <c r="D149" t="s" s="100">
        <v>115</v>
      </c>
      <c r="E149" t="s" s="100">
        <v>115</v>
      </c>
      <c r="F149" t="s" s="100">
        <v>241</v>
      </c>
      <c r="G149" t="s" s="96">
        <v>553</v>
      </c>
      <c r="H149" s="97"/>
      <c r="I149" s="97"/>
      <c r="J149" s="97"/>
      <c r="K149" s="97"/>
      <c r="L149" s="97"/>
      <c r="M149" t="s" s="96">
        <v>243</v>
      </c>
      <c r="N149" t="s" s="96">
        <v>244</v>
      </c>
      <c r="O149" t="s" s="96">
        <v>264</v>
      </c>
      <c r="P149" t="s" s="96">
        <v>545</v>
      </c>
      <c r="Q149" t="s" s="98">
        <v>441</v>
      </c>
    </row>
    <row r="150" ht="42" customHeight="1">
      <c r="A150" t="s" s="99">
        <v>554</v>
      </c>
      <c r="B150" t="s" s="100">
        <v>238</v>
      </c>
      <c r="C150" t="s" s="100">
        <v>438</v>
      </c>
      <c r="D150" t="s" s="100">
        <v>115</v>
      </c>
      <c r="E150" t="s" s="100">
        <v>115</v>
      </c>
      <c r="F150" t="s" s="100">
        <v>241</v>
      </c>
      <c r="G150" t="s" s="96">
        <v>555</v>
      </c>
      <c r="H150" s="97"/>
      <c r="I150" s="97"/>
      <c r="J150" s="97"/>
      <c r="K150" s="97"/>
      <c r="L150" s="97"/>
      <c r="M150" t="s" s="96">
        <v>243</v>
      </c>
      <c r="N150" t="s" s="96">
        <v>244</v>
      </c>
      <c r="O150" t="s" s="96">
        <v>264</v>
      </c>
      <c r="P150" t="s" s="96">
        <v>545</v>
      </c>
      <c r="Q150" t="s" s="98">
        <v>441</v>
      </c>
    </row>
    <row r="151" ht="42" customHeight="1">
      <c r="A151" t="s" s="99">
        <v>556</v>
      </c>
      <c r="B151" t="s" s="100">
        <v>238</v>
      </c>
      <c r="C151" t="s" s="100">
        <v>438</v>
      </c>
      <c r="D151" t="s" s="100">
        <v>115</v>
      </c>
      <c r="E151" t="s" s="100">
        <v>115</v>
      </c>
      <c r="F151" t="s" s="100">
        <v>241</v>
      </c>
      <c r="G151" t="s" s="96">
        <v>557</v>
      </c>
      <c r="H151" s="97"/>
      <c r="I151" s="97"/>
      <c r="J151" s="97"/>
      <c r="K151" s="97"/>
      <c r="L151" s="97"/>
      <c r="M151" t="s" s="96">
        <v>243</v>
      </c>
      <c r="N151" t="s" s="96">
        <v>244</v>
      </c>
      <c r="O151" t="s" s="96">
        <v>264</v>
      </c>
      <c r="P151" t="s" s="96">
        <v>545</v>
      </c>
      <c r="Q151" t="s" s="98">
        <v>441</v>
      </c>
    </row>
    <row r="152" ht="42" customHeight="1">
      <c r="A152" t="s" s="99">
        <v>558</v>
      </c>
      <c r="B152" t="s" s="100">
        <v>238</v>
      </c>
      <c r="C152" t="s" s="100">
        <v>438</v>
      </c>
      <c r="D152" t="s" s="100">
        <v>115</v>
      </c>
      <c r="E152" t="s" s="100">
        <v>115</v>
      </c>
      <c r="F152" t="s" s="100">
        <v>241</v>
      </c>
      <c r="G152" t="s" s="96">
        <v>559</v>
      </c>
      <c r="H152" s="97"/>
      <c r="I152" s="97"/>
      <c r="J152" s="97"/>
      <c r="K152" s="97"/>
      <c r="L152" s="97"/>
      <c r="M152" t="s" s="96">
        <v>243</v>
      </c>
      <c r="N152" t="s" s="96">
        <v>244</v>
      </c>
      <c r="O152" t="s" s="96">
        <v>264</v>
      </c>
      <c r="P152" t="s" s="96">
        <v>545</v>
      </c>
      <c r="Q152" t="s" s="98">
        <v>441</v>
      </c>
    </row>
    <row r="153" ht="42" customHeight="1">
      <c r="A153" t="s" s="99">
        <v>560</v>
      </c>
      <c r="B153" t="s" s="100">
        <v>238</v>
      </c>
      <c r="C153" t="s" s="100">
        <v>438</v>
      </c>
      <c r="D153" t="s" s="100">
        <v>115</v>
      </c>
      <c r="E153" t="s" s="100">
        <v>115</v>
      </c>
      <c r="F153" t="s" s="100">
        <v>241</v>
      </c>
      <c r="G153" t="s" s="96">
        <v>561</v>
      </c>
      <c r="H153" s="97"/>
      <c r="I153" s="97"/>
      <c r="J153" s="97"/>
      <c r="K153" s="97"/>
      <c r="L153" s="97"/>
      <c r="M153" t="s" s="96">
        <v>243</v>
      </c>
      <c r="N153" t="s" s="96">
        <v>244</v>
      </c>
      <c r="O153" t="s" s="96">
        <v>264</v>
      </c>
      <c r="P153" t="s" s="96">
        <v>545</v>
      </c>
      <c r="Q153" t="s" s="98">
        <v>441</v>
      </c>
    </row>
    <row r="154" ht="42" customHeight="1">
      <c r="A154" t="s" s="99">
        <v>562</v>
      </c>
      <c r="B154" t="s" s="100">
        <v>238</v>
      </c>
      <c r="C154" t="s" s="100">
        <v>438</v>
      </c>
      <c r="D154" t="s" s="100">
        <v>115</v>
      </c>
      <c r="E154" t="s" s="100">
        <v>115</v>
      </c>
      <c r="F154" t="s" s="100">
        <v>241</v>
      </c>
      <c r="G154" t="s" s="96">
        <v>563</v>
      </c>
      <c r="H154" s="97"/>
      <c r="I154" s="97"/>
      <c r="J154" s="97"/>
      <c r="K154" s="97"/>
      <c r="L154" s="97"/>
      <c r="M154" t="s" s="96">
        <v>243</v>
      </c>
      <c r="N154" t="s" s="96">
        <v>244</v>
      </c>
      <c r="O154" t="s" s="96">
        <v>264</v>
      </c>
      <c r="P154" t="s" s="96">
        <v>545</v>
      </c>
      <c r="Q154" t="s" s="98">
        <v>441</v>
      </c>
    </row>
    <row r="155" ht="42" customHeight="1">
      <c r="A155" t="s" s="99">
        <v>564</v>
      </c>
      <c r="B155" t="s" s="100">
        <v>238</v>
      </c>
      <c r="C155" t="s" s="100">
        <v>438</v>
      </c>
      <c r="D155" t="s" s="100">
        <v>115</v>
      </c>
      <c r="E155" t="s" s="100">
        <v>115</v>
      </c>
      <c r="F155" t="s" s="100">
        <v>241</v>
      </c>
      <c r="G155" t="s" s="96">
        <v>565</v>
      </c>
      <c r="H155" s="97"/>
      <c r="I155" s="97"/>
      <c r="J155" s="97"/>
      <c r="K155" s="97"/>
      <c r="L155" s="97"/>
      <c r="M155" t="s" s="96">
        <v>243</v>
      </c>
      <c r="N155" t="s" s="96">
        <v>244</v>
      </c>
      <c r="O155" t="s" s="96">
        <v>264</v>
      </c>
      <c r="P155" t="s" s="96">
        <v>545</v>
      </c>
      <c r="Q155" t="s" s="98">
        <v>441</v>
      </c>
    </row>
    <row r="156" ht="42" customHeight="1">
      <c r="A156" t="s" s="99">
        <v>566</v>
      </c>
      <c r="B156" t="s" s="100">
        <v>238</v>
      </c>
      <c r="C156" t="s" s="100">
        <v>438</v>
      </c>
      <c r="D156" t="s" s="100">
        <v>115</v>
      </c>
      <c r="E156" t="s" s="100">
        <v>115</v>
      </c>
      <c r="F156" t="s" s="100">
        <v>241</v>
      </c>
      <c r="G156" t="s" s="96">
        <v>567</v>
      </c>
      <c r="H156" s="97"/>
      <c r="I156" s="97"/>
      <c r="J156" s="97"/>
      <c r="K156" s="97"/>
      <c r="L156" s="97"/>
      <c r="M156" t="s" s="96">
        <v>243</v>
      </c>
      <c r="N156" t="s" s="96">
        <v>244</v>
      </c>
      <c r="O156" t="s" s="96">
        <v>264</v>
      </c>
      <c r="P156" t="s" s="96">
        <v>545</v>
      </c>
      <c r="Q156" t="s" s="98">
        <v>441</v>
      </c>
    </row>
    <row r="157" ht="42" customHeight="1">
      <c r="A157" t="s" s="99">
        <v>568</v>
      </c>
      <c r="B157" t="s" s="100">
        <v>238</v>
      </c>
      <c r="C157" t="s" s="100">
        <v>438</v>
      </c>
      <c r="D157" t="s" s="100">
        <v>115</v>
      </c>
      <c r="E157" t="s" s="100">
        <v>115</v>
      </c>
      <c r="F157" t="s" s="100">
        <v>241</v>
      </c>
      <c r="G157" t="s" s="96">
        <v>569</v>
      </c>
      <c r="H157" s="97"/>
      <c r="I157" s="97"/>
      <c r="J157" s="97"/>
      <c r="K157" s="97"/>
      <c r="L157" s="97"/>
      <c r="M157" t="s" s="96">
        <v>243</v>
      </c>
      <c r="N157" t="s" s="96">
        <v>244</v>
      </c>
      <c r="O157" t="s" s="96">
        <v>264</v>
      </c>
      <c r="P157" t="s" s="96">
        <v>545</v>
      </c>
      <c r="Q157" t="s" s="98">
        <v>441</v>
      </c>
    </row>
    <row r="158" ht="42" customHeight="1">
      <c r="A158" t="s" s="99">
        <v>570</v>
      </c>
      <c r="B158" t="s" s="100">
        <v>238</v>
      </c>
      <c r="C158" t="s" s="100">
        <v>438</v>
      </c>
      <c r="D158" t="s" s="100">
        <v>115</v>
      </c>
      <c r="E158" t="s" s="100">
        <v>115</v>
      </c>
      <c r="F158" t="s" s="100">
        <v>241</v>
      </c>
      <c r="G158" t="s" s="96">
        <v>571</v>
      </c>
      <c r="H158" s="97"/>
      <c r="I158" s="97"/>
      <c r="J158" s="97"/>
      <c r="K158" s="97"/>
      <c r="L158" s="97"/>
      <c r="M158" t="s" s="96">
        <v>243</v>
      </c>
      <c r="N158" t="s" s="96">
        <v>244</v>
      </c>
      <c r="O158" t="s" s="96">
        <v>264</v>
      </c>
      <c r="P158" t="s" s="96">
        <v>545</v>
      </c>
      <c r="Q158" t="s" s="98">
        <v>441</v>
      </c>
    </row>
    <row r="159" ht="42" customHeight="1">
      <c r="A159" t="s" s="99">
        <v>572</v>
      </c>
      <c r="B159" t="s" s="100">
        <v>238</v>
      </c>
      <c r="C159" t="s" s="100">
        <v>438</v>
      </c>
      <c r="D159" t="s" s="100">
        <v>115</v>
      </c>
      <c r="E159" t="s" s="100">
        <v>115</v>
      </c>
      <c r="F159" t="s" s="100">
        <v>241</v>
      </c>
      <c r="G159" t="s" s="96">
        <v>573</v>
      </c>
      <c r="H159" s="97"/>
      <c r="I159" s="97"/>
      <c r="J159" s="97"/>
      <c r="K159" s="97"/>
      <c r="L159" s="97"/>
      <c r="M159" t="s" s="96">
        <v>243</v>
      </c>
      <c r="N159" t="s" s="96">
        <v>244</v>
      </c>
      <c r="O159" t="s" s="96">
        <v>264</v>
      </c>
      <c r="P159" t="s" s="96">
        <v>545</v>
      </c>
      <c r="Q159" t="s" s="98">
        <v>441</v>
      </c>
    </row>
    <row r="160" ht="42" customHeight="1">
      <c r="A160" t="s" s="99">
        <v>574</v>
      </c>
      <c r="B160" t="s" s="100">
        <v>238</v>
      </c>
      <c r="C160" t="s" s="100">
        <v>438</v>
      </c>
      <c r="D160" t="s" s="100">
        <v>115</v>
      </c>
      <c r="E160" t="s" s="100">
        <v>115</v>
      </c>
      <c r="F160" t="s" s="100">
        <v>241</v>
      </c>
      <c r="G160" t="s" s="96">
        <v>575</v>
      </c>
      <c r="H160" s="97"/>
      <c r="I160" s="97"/>
      <c r="J160" s="97"/>
      <c r="K160" s="97"/>
      <c r="L160" s="97"/>
      <c r="M160" t="s" s="96">
        <v>243</v>
      </c>
      <c r="N160" t="s" s="96">
        <v>244</v>
      </c>
      <c r="O160" t="s" s="96">
        <v>264</v>
      </c>
      <c r="P160" t="s" s="96">
        <v>545</v>
      </c>
      <c r="Q160" t="s" s="98">
        <v>441</v>
      </c>
    </row>
    <row r="161" ht="42" customHeight="1">
      <c r="A161" t="s" s="99">
        <v>576</v>
      </c>
      <c r="B161" t="s" s="100">
        <v>238</v>
      </c>
      <c r="C161" t="s" s="100">
        <v>438</v>
      </c>
      <c r="D161" t="s" s="100">
        <v>115</v>
      </c>
      <c r="E161" t="s" s="100">
        <v>115</v>
      </c>
      <c r="F161" t="s" s="100">
        <v>241</v>
      </c>
      <c r="G161" t="s" s="96">
        <v>577</v>
      </c>
      <c r="H161" s="97"/>
      <c r="I161" s="97"/>
      <c r="J161" s="97"/>
      <c r="K161" s="97"/>
      <c r="L161" s="97"/>
      <c r="M161" t="s" s="96">
        <v>243</v>
      </c>
      <c r="N161" t="s" s="96">
        <v>244</v>
      </c>
      <c r="O161" t="s" s="96">
        <v>264</v>
      </c>
      <c r="P161" t="s" s="96">
        <v>545</v>
      </c>
      <c r="Q161" t="s" s="98">
        <v>441</v>
      </c>
    </row>
    <row r="162" ht="42" customHeight="1">
      <c r="A162" t="s" s="99">
        <v>578</v>
      </c>
      <c r="B162" t="s" s="100">
        <v>238</v>
      </c>
      <c r="C162" t="s" s="100">
        <v>438</v>
      </c>
      <c r="D162" t="s" s="100">
        <v>115</v>
      </c>
      <c r="E162" t="s" s="100">
        <v>115</v>
      </c>
      <c r="F162" t="s" s="100">
        <v>241</v>
      </c>
      <c r="G162" t="s" s="96">
        <v>579</v>
      </c>
      <c r="H162" s="97"/>
      <c r="I162" s="97"/>
      <c r="J162" s="97"/>
      <c r="K162" s="97"/>
      <c r="L162" s="97"/>
      <c r="M162" t="s" s="96">
        <v>243</v>
      </c>
      <c r="N162" t="s" s="96">
        <v>244</v>
      </c>
      <c r="O162" t="s" s="96">
        <v>264</v>
      </c>
      <c r="P162" t="s" s="96">
        <v>545</v>
      </c>
      <c r="Q162" t="s" s="98">
        <v>441</v>
      </c>
    </row>
    <row r="163" ht="42" customHeight="1">
      <c r="A163" t="s" s="99">
        <v>580</v>
      </c>
      <c r="B163" t="s" s="100">
        <v>238</v>
      </c>
      <c r="C163" t="s" s="100">
        <v>438</v>
      </c>
      <c r="D163" t="s" s="100">
        <v>115</v>
      </c>
      <c r="E163" t="s" s="100">
        <v>115</v>
      </c>
      <c r="F163" t="s" s="100">
        <v>241</v>
      </c>
      <c r="G163" t="s" s="96">
        <v>581</v>
      </c>
      <c r="H163" s="97"/>
      <c r="I163" s="97"/>
      <c r="J163" s="97"/>
      <c r="K163" s="97"/>
      <c r="L163" s="97"/>
      <c r="M163" t="s" s="96">
        <v>243</v>
      </c>
      <c r="N163" t="s" s="96">
        <v>478</v>
      </c>
      <c r="O163" t="s" s="96">
        <v>264</v>
      </c>
      <c r="P163" t="s" s="96">
        <v>545</v>
      </c>
      <c r="Q163" t="s" s="98">
        <v>479</v>
      </c>
    </row>
    <row r="164" ht="42" customHeight="1">
      <c r="A164" t="s" s="99">
        <v>582</v>
      </c>
      <c r="B164" t="s" s="100">
        <v>238</v>
      </c>
      <c r="C164" t="s" s="100">
        <v>438</v>
      </c>
      <c r="D164" t="s" s="100">
        <v>115</v>
      </c>
      <c r="E164" t="s" s="100">
        <v>115</v>
      </c>
      <c r="F164" t="s" s="100">
        <v>241</v>
      </c>
      <c r="G164" t="s" s="96">
        <v>583</v>
      </c>
      <c r="H164" s="97"/>
      <c r="I164" s="97"/>
      <c r="J164" s="97"/>
      <c r="K164" s="97"/>
      <c r="L164" s="97"/>
      <c r="M164" t="s" s="96">
        <v>243</v>
      </c>
      <c r="N164" t="s" s="96">
        <v>478</v>
      </c>
      <c r="O164" t="s" s="96">
        <v>264</v>
      </c>
      <c r="P164" t="s" s="96">
        <v>545</v>
      </c>
      <c r="Q164" t="s" s="98">
        <v>479</v>
      </c>
    </row>
    <row r="165" ht="42" customHeight="1">
      <c r="A165" t="s" s="99">
        <v>584</v>
      </c>
      <c r="B165" t="s" s="100">
        <v>238</v>
      </c>
      <c r="C165" t="s" s="100">
        <v>438</v>
      </c>
      <c r="D165" t="s" s="100">
        <v>115</v>
      </c>
      <c r="E165" t="s" s="100">
        <v>115</v>
      </c>
      <c r="F165" t="s" s="100">
        <v>241</v>
      </c>
      <c r="G165" t="s" s="96">
        <v>585</v>
      </c>
      <c r="H165" s="97"/>
      <c r="I165" s="97"/>
      <c r="J165" s="97"/>
      <c r="K165" s="97"/>
      <c r="L165" s="97"/>
      <c r="M165" t="s" s="96">
        <v>243</v>
      </c>
      <c r="N165" t="s" s="96">
        <v>478</v>
      </c>
      <c r="O165" t="s" s="96">
        <v>264</v>
      </c>
      <c r="P165" t="s" s="96">
        <v>545</v>
      </c>
      <c r="Q165" t="s" s="98">
        <v>479</v>
      </c>
    </row>
    <row r="166" ht="42" customHeight="1">
      <c r="A166" t="s" s="99">
        <v>586</v>
      </c>
      <c r="B166" t="s" s="100">
        <v>238</v>
      </c>
      <c r="C166" t="s" s="100">
        <v>438</v>
      </c>
      <c r="D166" t="s" s="100">
        <v>115</v>
      </c>
      <c r="E166" t="s" s="100">
        <v>115</v>
      </c>
      <c r="F166" t="s" s="100">
        <v>241</v>
      </c>
      <c r="G166" t="s" s="96">
        <v>587</v>
      </c>
      <c r="H166" s="97"/>
      <c r="I166" s="97"/>
      <c r="J166" s="97"/>
      <c r="K166" s="97"/>
      <c r="L166" s="97"/>
      <c r="M166" t="s" s="96">
        <v>243</v>
      </c>
      <c r="N166" t="s" s="96">
        <v>478</v>
      </c>
      <c r="O166" t="s" s="96">
        <v>264</v>
      </c>
      <c r="P166" t="s" s="96">
        <v>545</v>
      </c>
      <c r="Q166" t="s" s="98">
        <v>479</v>
      </c>
    </row>
    <row r="167" ht="42" customHeight="1">
      <c r="A167" t="s" s="99">
        <v>588</v>
      </c>
      <c r="B167" t="s" s="100">
        <v>238</v>
      </c>
      <c r="C167" t="s" s="100">
        <v>438</v>
      </c>
      <c r="D167" t="s" s="100">
        <v>115</v>
      </c>
      <c r="E167" t="s" s="100">
        <v>115</v>
      </c>
      <c r="F167" t="s" s="100">
        <v>241</v>
      </c>
      <c r="G167" t="s" s="96">
        <v>589</v>
      </c>
      <c r="H167" s="97"/>
      <c r="I167" s="97"/>
      <c r="J167" s="97"/>
      <c r="K167" s="97"/>
      <c r="L167" s="97"/>
      <c r="M167" t="s" s="96">
        <v>243</v>
      </c>
      <c r="N167" t="s" s="96">
        <v>478</v>
      </c>
      <c r="O167" t="s" s="96">
        <v>264</v>
      </c>
      <c r="P167" t="s" s="96">
        <v>545</v>
      </c>
      <c r="Q167" t="s" s="98">
        <v>479</v>
      </c>
    </row>
    <row r="168" ht="42" customHeight="1">
      <c r="A168" t="s" s="99">
        <v>590</v>
      </c>
      <c r="B168" t="s" s="100">
        <v>238</v>
      </c>
      <c r="C168" t="s" s="100">
        <v>438</v>
      </c>
      <c r="D168" t="s" s="100">
        <v>115</v>
      </c>
      <c r="E168" t="s" s="100">
        <v>115</v>
      </c>
      <c r="F168" t="s" s="100">
        <v>241</v>
      </c>
      <c r="G168" t="s" s="96">
        <v>591</v>
      </c>
      <c r="H168" s="97"/>
      <c r="I168" s="97"/>
      <c r="J168" s="97"/>
      <c r="K168" s="97"/>
      <c r="L168" s="97"/>
      <c r="M168" t="s" s="96">
        <v>243</v>
      </c>
      <c r="N168" t="s" s="96">
        <v>478</v>
      </c>
      <c r="O168" t="s" s="96">
        <v>264</v>
      </c>
      <c r="P168" t="s" s="96">
        <v>545</v>
      </c>
      <c r="Q168" t="s" s="98">
        <v>479</v>
      </c>
    </row>
    <row r="169" ht="42" customHeight="1">
      <c r="A169" t="s" s="99">
        <v>592</v>
      </c>
      <c r="B169" t="s" s="100">
        <v>238</v>
      </c>
      <c r="C169" t="s" s="100">
        <v>438</v>
      </c>
      <c r="D169" t="s" s="100">
        <v>115</v>
      </c>
      <c r="E169" t="s" s="100">
        <v>115</v>
      </c>
      <c r="F169" t="s" s="100">
        <v>241</v>
      </c>
      <c r="G169" t="s" s="96">
        <v>593</v>
      </c>
      <c r="H169" s="97"/>
      <c r="I169" s="97"/>
      <c r="J169" s="97"/>
      <c r="K169" s="97"/>
      <c r="L169" s="97"/>
      <c r="M169" t="s" s="96">
        <v>243</v>
      </c>
      <c r="N169" t="s" s="96">
        <v>478</v>
      </c>
      <c r="O169" t="s" s="96">
        <v>264</v>
      </c>
      <c r="P169" t="s" s="96">
        <v>545</v>
      </c>
      <c r="Q169" t="s" s="98">
        <v>479</v>
      </c>
    </row>
    <row r="170" ht="42" customHeight="1">
      <c r="A170" t="s" s="99">
        <v>594</v>
      </c>
      <c r="B170" t="s" s="100">
        <v>238</v>
      </c>
      <c r="C170" t="s" s="100">
        <v>438</v>
      </c>
      <c r="D170" t="s" s="100">
        <v>120</v>
      </c>
      <c r="E170" t="s" s="100">
        <v>120</v>
      </c>
      <c r="F170" t="s" s="100">
        <v>241</v>
      </c>
      <c r="G170" t="s" s="96">
        <v>595</v>
      </c>
      <c r="H170" s="97"/>
      <c r="I170" s="97"/>
      <c r="J170" s="97"/>
      <c r="K170" s="97"/>
      <c r="L170" s="97"/>
      <c r="M170" t="s" s="96">
        <v>243</v>
      </c>
      <c r="N170" t="s" s="96">
        <v>244</v>
      </c>
      <c r="O170" t="s" s="96">
        <v>264</v>
      </c>
      <c r="P170" t="s" s="96">
        <v>596</v>
      </c>
      <c r="Q170" t="s" s="98">
        <v>441</v>
      </c>
    </row>
    <row r="171" ht="42" customHeight="1">
      <c r="A171" t="s" s="99">
        <v>597</v>
      </c>
      <c r="B171" t="s" s="100">
        <v>238</v>
      </c>
      <c r="C171" t="s" s="100">
        <v>438</v>
      </c>
      <c r="D171" t="s" s="100">
        <v>120</v>
      </c>
      <c r="E171" t="s" s="100">
        <v>120</v>
      </c>
      <c r="F171" t="s" s="100">
        <v>241</v>
      </c>
      <c r="G171" t="s" s="96">
        <v>598</v>
      </c>
      <c r="H171" s="97"/>
      <c r="I171" s="97"/>
      <c r="J171" s="97"/>
      <c r="K171" s="97"/>
      <c r="L171" s="97"/>
      <c r="M171" t="s" s="96">
        <v>243</v>
      </c>
      <c r="N171" t="s" s="96">
        <v>244</v>
      </c>
      <c r="O171" t="s" s="96">
        <v>264</v>
      </c>
      <c r="P171" t="s" s="96">
        <v>596</v>
      </c>
      <c r="Q171" t="s" s="98">
        <v>441</v>
      </c>
    </row>
    <row r="172" ht="42" customHeight="1">
      <c r="A172" t="s" s="99">
        <v>599</v>
      </c>
      <c r="B172" t="s" s="100">
        <v>238</v>
      </c>
      <c r="C172" t="s" s="100">
        <v>438</v>
      </c>
      <c r="D172" t="s" s="100">
        <v>120</v>
      </c>
      <c r="E172" t="s" s="100">
        <v>120</v>
      </c>
      <c r="F172" t="s" s="100">
        <v>241</v>
      </c>
      <c r="G172" t="s" s="96">
        <v>600</v>
      </c>
      <c r="H172" s="97"/>
      <c r="I172" s="97"/>
      <c r="J172" s="97"/>
      <c r="K172" s="97"/>
      <c r="L172" s="97"/>
      <c r="M172" t="s" s="96">
        <v>243</v>
      </c>
      <c r="N172" t="s" s="96">
        <v>244</v>
      </c>
      <c r="O172" t="s" s="96">
        <v>264</v>
      </c>
      <c r="P172" t="s" s="96">
        <v>596</v>
      </c>
      <c r="Q172" t="s" s="98">
        <v>441</v>
      </c>
    </row>
    <row r="173" ht="42" customHeight="1">
      <c r="A173" t="s" s="99">
        <v>601</v>
      </c>
      <c r="B173" t="s" s="100">
        <v>238</v>
      </c>
      <c r="C173" t="s" s="100">
        <v>438</v>
      </c>
      <c r="D173" t="s" s="100">
        <v>120</v>
      </c>
      <c r="E173" t="s" s="100">
        <v>120</v>
      </c>
      <c r="F173" t="s" s="100">
        <v>241</v>
      </c>
      <c r="G173" t="s" s="96">
        <v>602</v>
      </c>
      <c r="H173" s="97"/>
      <c r="I173" s="97"/>
      <c r="J173" s="97"/>
      <c r="K173" s="97"/>
      <c r="L173" s="97"/>
      <c r="M173" t="s" s="96">
        <v>243</v>
      </c>
      <c r="N173" t="s" s="96">
        <v>244</v>
      </c>
      <c r="O173" t="s" s="96">
        <v>264</v>
      </c>
      <c r="P173" t="s" s="96">
        <v>596</v>
      </c>
      <c r="Q173" t="s" s="98">
        <v>441</v>
      </c>
    </row>
    <row r="174" ht="42" customHeight="1">
      <c r="A174" t="s" s="99">
        <v>603</v>
      </c>
      <c r="B174" t="s" s="100">
        <v>238</v>
      </c>
      <c r="C174" t="s" s="100">
        <v>438</v>
      </c>
      <c r="D174" t="s" s="100">
        <v>120</v>
      </c>
      <c r="E174" t="s" s="100">
        <v>120</v>
      </c>
      <c r="F174" t="s" s="100">
        <v>241</v>
      </c>
      <c r="G174" t="s" s="96">
        <v>604</v>
      </c>
      <c r="H174" s="97"/>
      <c r="I174" s="97"/>
      <c r="J174" s="97"/>
      <c r="K174" s="97"/>
      <c r="L174" s="97"/>
      <c r="M174" t="s" s="96">
        <v>243</v>
      </c>
      <c r="N174" t="s" s="96">
        <v>244</v>
      </c>
      <c r="O174" t="s" s="96">
        <v>264</v>
      </c>
      <c r="P174" t="s" s="96">
        <v>596</v>
      </c>
      <c r="Q174" t="s" s="98">
        <v>441</v>
      </c>
    </row>
    <row r="175" ht="42" customHeight="1">
      <c r="A175" t="s" s="99">
        <v>605</v>
      </c>
      <c r="B175" t="s" s="100">
        <v>238</v>
      </c>
      <c r="C175" t="s" s="100">
        <v>438</v>
      </c>
      <c r="D175" t="s" s="100">
        <v>120</v>
      </c>
      <c r="E175" t="s" s="100">
        <v>120</v>
      </c>
      <c r="F175" t="s" s="100">
        <v>241</v>
      </c>
      <c r="G175" t="s" s="96">
        <v>606</v>
      </c>
      <c r="H175" s="97"/>
      <c r="I175" s="97"/>
      <c r="J175" s="97"/>
      <c r="K175" s="97"/>
      <c r="L175" s="97"/>
      <c r="M175" t="s" s="96">
        <v>243</v>
      </c>
      <c r="N175" t="s" s="96">
        <v>244</v>
      </c>
      <c r="O175" t="s" s="96">
        <v>264</v>
      </c>
      <c r="P175" t="s" s="96">
        <v>596</v>
      </c>
      <c r="Q175" t="s" s="98">
        <v>441</v>
      </c>
    </row>
    <row r="176" ht="42" customHeight="1">
      <c r="A176" t="s" s="99">
        <v>607</v>
      </c>
      <c r="B176" t="s" s="100">
        <v>238</v>
      </c>
      <c r="C176" t="s" s="100">
        <v>438</v>
      </c>
      <c r="D176" t="s" s="100">
        <v>120</v>
      </c>
      <c r="E176" t="s" s="100">
        <v>120</v>
      </c>
      <c r="F176" t="s" s="100">
        <v>241</v>
      </c>
      <c r="G176" t="s" s="96">
        <v>608</v>
      </c>
      <c r="H176" s="97"/>
      <c r="I176" s="97"/>
      <c r="J176" s="97"/>
      <c r="K176" s="97"/>
      <c r="L176" s="97"/>
      <c r="M176" t="s" s="96">
        <v>243</v>
      </c>
      <c r="N176" t="s" s="96">
        <v>244</v>
      </c>
      <c r="O176" t="s" s="96">
        <v>264</v>
      </c>
      <c r="P176" t="s" s="96">
        <v>596</v>
      </c>
      <c r="Q176" t="s" s="98">
        <v>441</v>
      </c>
    </row>
    <row r="177" ht="42" customHeight="1">
      <c r="A177" t="s" s="99">
        <v>609</v>
      </c>
      <c r="B177" t="s" s="100">
        <v>238</v>
      </c>
      <c r="C177" t="s" s="100">
        <v>438</v>
      </c>
      <c r="D177" t="s" s="100">
        <v>120</v>
      </c>
      <c r="E177" t="s" s="100">
        <v>120</v>
      </c>
      <c r="F177" t="s" s="100">
        <v>241</v>
      </c>
      <c r="G177" t="s" s="96">
        <v>610</v>
      </c>
      <c r="H177" s="97"/>
      <c r="I177" s="97"/>
      <c r="J177" s="97"/>
      <c r="K177" s="97"/>
      <c r="L177" s="97"/>
      <c r="M177" t="s" s="96">
        <v>243</v>
      </c>
      <c r="N177" t="s" s="96">
        <v>244</v>
      </c>
      <c r="O177" t="s" s="96">
        <v>264</v>
      </c>
      <c r="P177" t="s" s="96">
        <v>596</v>
      </c>
      <c r="Q177" t="s" s="98">
        <v>441</v>
      </c>
    </row>
    <row r="178" ht="42" customHeight="1">
      <c r="A178" t="s" s="99">
        <v>611</v>
      </c>
      <c r="B178" t="s" s="100">
        <v>238</v>
      </c>
      <c r="C178" t="s" s="100">
        <v>438</v>
      </c>
      <c r="D178" t="s" s="100">
        <v>120</v>
      </c>
      <c r="E178" t="s" s="100">
        <v>120</v>
      </c>
      <c r="F178" t="s" s="100">
        <v>241</v>
      </c>
      <c r="G178" t="s" s="96">
        <v>612</v>
      </c>
      <c r="H178" s="97"/>
      <c r="I178" s="97"/>
      <c r="J178" s="97"/>
      <c r="K178" s="97"/>
      <c r="L178" s="97"/>
      <c r="M178" t="s" s="96">
        <v>243</v>
      </c>
      <c r="N178" t="s" s="96">
        <v>244</v>
      </c>
      <c r="O178" t="s" s="96">
        <v>264</v>
      </c>
      <c r="P178" t="s" s="96">
        <v>596</v>
      </c>
      <c r="Q178" t="s" s="98">
        <v>441</v>
      </c>
    </row>
    <row r="179" ht="42" customHeight="1">
      <c r="A179" t="s" s="99">
        <v>613</v>
      </c>
      <c r="B179" t="s" s="100">
        <v>238</v>
      </c>
      <c r="C179" t="s" s="100">
        <v>438</v>
      </c>
      <c r="D179" t="s" s="100">
        <v>120</v>
      </c>
      <c r="E179" t="s" s="100">
        <v>120</v>
      </c>
      <c r="F179" t="s" s="100">
        <v>241</v>
      </c>
      <c r="G179" t="s" s="96">
        <v>614</v>
      </c>
      <c r="H179" s="97"/>
      <c r="I179" s="97"/>
      <c r="J179" s="97"/>
      <c r="K179" s="97"/>
      <c r="L179" s="97"/>
      <c r="M179" t="s" s="96">
        <v>243</v>
      </c>
      <c r="N179" t="s" s="96">
        <v>244</v>
      </c>
      <c r="O179" t="s" s="96">
        <v>264</v>
      </c>
      <c r="P179" t="s" s="96">
        <v>596</v>
      </c>
      <c r="Q179" t="s" s="98">
        <v>441</v>
      </c>
    </row>
    <row r="180" ht="42" customHeight="1">
      <c r="A180" t="s" s="99">
        <v>615</v>
      </c>
      <c r="B180" t="s" s="100">
        <v>238</v>
      </c>
      <c r="C180" t="s" s="100">
        <v>438</v>
      </c>
      <c r="D180" t="s" s="100">
        <v>120</v>
      </c>
      <c r="E180" t="s" s="100">
        <v>120</v>
      </c>
      <c r="F180" t="s" s="100">
        <v>241</v>
      </c>
      <c r="G180" t="s" s="96">
        <v>616</v>
      </c>
      <c r="H180" s="97"/>
      <c r="I180" s="97"/>
      <c r="J180" s="97"/>
      <c r="K180" s="97"/>
      <c r="L180" s="97"/>
      <c r="M180" t="s" s="96">
        <v>243</v>
      </c>
      <c r="N180" t="s" s="96">
        <v>244</v>
      </c>
      <c r="O180" t="s" s="96">
        <v>264</v>
      </c>
      <c r="P180" t="s" s="96">
        <v>596</v>
      </c>
      <c r="Q180" t="s" s="98">
        <v>441</v>
      </c>
    </row>
    <row r="181" ht="42" customHeight="1">
      <c r="A181" t="s" s="99">
        <v>617</v>
      </c>
      <c r="B181" t="s" s="100">
        <v>238</v>
      </c>
      <c r="C181" t="s" s="100">
        <v>438</v>
      </c>
      <c r="D181" t="s" s="100">
        <v>120</v>
      </c>
      <c r="E181" t="s" s="100">
        <v>120</v>
      </c>
      <c r="F181" t="s" s="100">
        <v>241</v>
      </c>
      <c r="G181" t="s" s="96">
        <v>618</v>
      </c>
      <c r="H181" s="97"/>
      <c r="I181" s="97"/>
      <c r="J181" s="97"/>
      <c r="K181" s="97"/>
      <c r="L181" s="97"/>
      <c r="M181" t="s" s="96">
        <v>243</v>
      </c>
      <c r="N181" t="s" s="96">
        <v>244</v>
      </c>
      <c r="O181" t="s" s="96">
        <v>264</v>
      </c>
      <c r="P181" t="s" s="96">
        <v>596</v>
      </c>
      <c r="Q181" t="s" s="98">
        <v>441</v>
      </c>
    </row>
    <row r="182" ht="42" customHeight="1">
      <c r="A182" t="s" s="99">
        <v>619</v>
      </c>
      <c r="B182" t="s" s="100">
        <v>238</v>
      </c>
      <c r="C182" t="s" s="100">
        <v>438</v>
      </c>
      <c r="D182" t="s" s="100">
        <v>120</v>
      </c>
      <c r="E182" t="s" s="100">
        <v>120</v>
      </c>
      <c r="F182" t="s" s="100">
        <v>241</v>
      </c>
      <c r="G182" t="s" s="96">
        <v>620</v>
      </c>
      <c r="H182" s="97"/>
      <c r="I182" s="97"/>
      <c r="J182" s="97"/>
      <c r="K182" s="97"/>
      <c r="L182" s="97"/>
      <c r="M182" t="s" s="96">
        <v>243</v>
      </c>
      <c r="N182" t="s" s="96">
        <v>244</v>
      </c>
      <c r="O182" t="s" s="96">
        <v>264</v>
      </c>
      <c r="P182" t="s" s="96">
        <v>596</v>
      </c>
      <c r="Q182" t="s" s="98">
        <v>441</v>
      </c>
    </row>
    <row r="183" ht="42" customHeight="1">
      <c r="A183" t="s" s="99">
        <v>621</v>
      </c>
      <c r="B183" t="s" s="100">
        <v>238</v>
      </c>
      <c r="C183" t="s" s="100">
        <v>438</v>
      </c>
      <c r="D183" t="s" s="100">
        <v>120</v>
      </c>
      <c r="E183" t="s" s="100">
        <v>120</v>
      </c>
      <c r="F183" t="s" s="100">
        <v>241</v>
      </c>
      <c r="G183" t="s" s="96">
        <v>622</v>
      </c>
      <c r="H183" s="97"/>
      <c r="I183" s="97"/>
      <c r="J183" s="97"/>
      <c r="K183" s="97"/>
      <c r="L183" s="97"/>
      <c r="M183" t="s" s="96">
        <v>243</v>
      </c>
      <c r="N183" t="s" s="96">
        <v>244</v>
      </c>
      <c r="O183" t="s" s="96">
        <v>264</v>
      </c>
      <c r="P183" t="s" s="96">
        <v>596</v>
      </c>
      <c r="Q183" t="s" s="98">
        <v>441</v>
      </c>
    </row>
    <row r="184" ht="42" customHeight="1">
      <c r="A184" t="s" s="99">
        <v>623</v>
      </c>
      <c r="B184" t="s" s="100">
        <v>238</v>
      </c>
      <c r="C184" t="s" s="100">
        <v>438</v>
      </c>
      <c r="D184" t="s" s="100">
        <v>120</v>
      </c>
      <c r="E184" t="s" s="100">
        <v>120</v>
      </c>
      <c r="F184" t="s" s="100">
        <v>241</v>
      </c>
      <c r="G184" t="s" s="96">
        <v>624</v>
      </c>
      <c r="H184" s="97"/>
      <c r="I184" s="97"/>
      <c r="J184" s="97"/>
      <c r="K184" s="97"/>
      <c r="L184" s="97"/>
      <c r="M184" t="s" s="96">
        <v>243</v>
      </c>
      <c r="N184" t="s" s="96">
        <v>244</v>
      </c>
      <c r="O184" t="s" s="96">
        <v>264</v>
      </c>
      <c r="P184" t="s" s="96">
        <v>596</v>
      </c>
      <c r="Q184" t="s" s="98">
        <v>441</v>
      </c>
    </row>
    <row r="185" ht="42" customHeight="1">
      <c r="A185" t="s" s="99">
        <v>625</v>
      </c>
      <c r="B185" t="s" s="100">
        <v>238</v>
      </c>
      <c r="C185" t="s" s="100">
        <v>438</v>
      </c>
      <c r="D185" t="s" s="100">
        <v>120</v>
      </c>
      <c r="E185" t="s" s="100">
        <v>120</v>
      </c>
      <c r="F185" t="s" s="100">
        <v>241</v>
      </c>
      <c r="G185" t="s" s="96">
        <v>626</v>
      </c>
      <c r="H185" s="97"/>
      <c r="I185" s="97"/>
      <c r="J185" s="97"/>
      <c r="K185" s="97"/>
      <c r="L185" s="97"/>
      <c r="M185" t="s" s="96">
        <v>243</v>
      </c>
      <c r="N185" t="s" s="96">
        <v>244</v>
      </c>
      <c r="O185" t="s" s="96">
        <v>264</v>
      </c>
      <c r="P185" t="s" s="96">
        <v>596</v>
      </c>
      <c r="Q185" t="s" s="98">
        <v>441</v>
      </c>
    </row>
    <row r="186" ht="42" customHeight="1">
      <c r="A186" t="s" s="99">
        <v>627</v>
      </c>
      <c r="B186" t="s" s="100">
        <v>238</v>
      </c>
      <c r="C186" t="s" s="100">
        <v>438</v>
      </c>
      <c r="D186" t="s" s="100">
        <v>120</v>
      </c>
      <c r="E186" t="s" s="100">
        <v>120</v>
      </c>
      <c r="F186" t="s" s="100">
        <v>241</v>
      </c>
      <c r="G186" t="s" s="96">
        <v>628</v>
      </c>
      <c r="H186" s="97"/>
      <c r="I186" s="97"/>
      <c r="J186" s="97"/>
      <c r="K186" s="97"/>
      <c r="L186" s="97"/>
      <c r="M186" t="s" s="96">
        <v>243</v>
      </c>
      <c r="N186" t="s" s="96">
        <v>244</v>
      </c>
      <c r="O186" t="s" s="96">
        <v>264</v>
      </c>
      <c r="P186" t="s" s="96">
        <v>596</v>
      </c>
      <c r="Q186" t="s" s="98">
        <v>441</v>
      </c>
    </row>
    <row r="187" ht="42" customHeight="1">
      <c r="A187" t="s" s="99">
        <v>629</v>
      </c>
      <c r="B187" t="s" s="100">
        <v>238</v>
      </c>
      <c r="C187" t="s" s="100">
        <v>438</v>
      </c>
      <c r="D187" t="s" s="100">
        <v>120</v>
      </c>
      <c r="E187" t="s" s="100">
        <v>120</v>
      </c>
      <c r="F187" t="s" s="100">
        <v>241</v>
      </c>
      <c r="G187" t="s" s="96">
        <v>630</v>
      </c>
      <c r="H187" s="97"/>
      <c r="I187" s="97"/>
      <c r="J187" s="97"/>
      <c r="K187" s="97"/>
      <c r="L187" s="97"/>
      <c r="M187" t="s" s="96">
        <v>243</v>
      </c>
      <c r="N187" t="s" s="96">
        <v>244</v>
      </c>
      <c r="O187" t="s" s="96">
        <v>264</v>
      </c>
      <c r="P187" t="s" s="96">
        <v>596</v>
      </c>
      <c r="Q187" t="s" s="98">
        <v>441</v>
      </c>
    </row>
    <row r="188" ht="42" customHeight="1">
      <c r="A188" t="s" s="99">
        <v>631</v>
      </c>
      <c r="B188" t="s" s="100">
        <v>238</v>
      </c>
      <c r="C188" t="s" s="100">
        <v>438</v>
      </c>
      <c r="D188" t="s" s="100">
        <v>120</v>
      </c>
      <c r="E188" t="s" s="100">
        <v>120</v>
      </c>
      <c r="F188" t="s" s="100">
        <v>241</v>
      </c>
      <c r="G188" t="s" s="96">
        <v>632</v>
      </c>
      <c r="H188" s="97"/>
      <c r="I188" s="97"/>
      <c r="J188" s="97"/>
      <c r="K188" s="97"/>
      <c r="L188" s="97"/>
      <c r="M188" t="s" s="96">
        <v>243</v>
      </c>
      <c r="N188" t="s" s="96">
        <v>478</v>
      </c>
      <c r="O188" t="s" s="96">
        <v>264</v>
      </c>
      <c r="P188" t="s" s="96">
        <v>596</v>
      </c>
      <c r="Q188" t="s" s="98">
        <v>479</v>
      </c>
    </row>
    <row r="189" ht="42" customHeight="1">
      <c r="A189" t="s" s="99">
        <v>633</v>
      </c>
      <c r="B189" t="s" s="100">
        <v>238</v>
      </c>
      <c r="C189" t="s" s="100">
        <v>438</v>
      </c>
      <c r="D189" t="s" s="100">
        <v>120</v>
      </c>
      <c r="E189" t="s" s="100">
        <v>120</v>
      </c>
      <c r="F189" t="s" s="100">
        <v>241</v>
      </c>
      <c r="G189" t="s" s="96">
        <v>634</v>
      </c>
      <c r="H189" s="97"/>
      <c r="I189" s="97"/>
      <c r="J189" s="97"/>
      <c r="K189" s="97"/>
      <c r="L189" s="97"/>
      <c r="M189" t="s" s="96">
        <v>243</v>
      </c>
      <c r="N189" t="s" s="96">
        <v>478</v>
      </c>
      <c r="O189" t="s" s="96">
        <v>264</v>
      </c>
      <c r="P189" t="s" s="96">
        <v>596</v>
      </c>
      <c r="Q189" t="s" s="98">
        <v>479</v>
      </c>
    </row>
    <row r="190" ht="42" customHeight="1">
      <c r="A190" t="s" s="99">
        <v>635</v>
      </c>
      <c r="B190" t="s" s="100">
        <v>238</v>
      </c>
      <c r="C190" t="s" s="100">
        <v>438</v>
      </c>
      <c r="D190" t="s" s="100">
        <v>120</v>
      </c>
      <c r="E190" t="s" s="100">
        <v>120</v>
      </c>
      <c r="F190" t="s" s="100">
        <v>241</v>
      </c>
      <c r="G190" t="s" s="96">
        <v>636</v>
      </c>
      <c r="H190" s="97"/>
      <c r="I190" s="97"/>
      <c r="J190" s="97"/>
      <c r="K190" s="97"/>
      <c r="L190" s="97"/>
      <c r="M190" t="s" s="96">
        <v>243</v>
      </c>
      <c r="N190" t="s" s="96">
        <v>478</v>
      </c>
      <c r="O190" t="s" s="96">
        <v>264</v>
      </c>
      <c r="P190" t="s" s="96">
        <v>596</v>
      </c>
      <c r="Q190" t="s" s="98">
        <v>479</v>
      </c>
    </row>
    <row r="191" ht="42" customHeight="1">
      <c r="A191" t="s" s="99">
        <v>637</v>
      </c>
      <c r="B191" t="s" s="100">
        <v>238</v>
      </c>
      <c r="C191" t="s" s="100">
        <v>438</v>
      </c>
      <c r="D191" t="s" s="100">
        <v>120</v>
      </c>
      <c r="E191" t="s" s="100">
        <v>120</v>
      </c>
      <c r="F191" t="s" s="100">
        <v>241</v>
      </c>
      <c r="G191" t="s" s="96">
        <v>638</v>
      </c>
      <c r="H191" s="97"/>
      <c r="I191" s="97"/>
      <c r="J191" s="97"/>
      <c r="K191" s="97"/>
      <c r="L191" s="97"/>
      <c r="M191" t="s" s="96">
        <v>243</v>
      </c>
      <c r="N191" t="s" s="96">
        <v>478</v>
      </c>
      <c r="O191" t="s" s="96">
        <v>264</v>
      </c>
      <c r="P191" t="s" s="96">
        <v>596</v>
      </c>
      <c r="Q191" t="s" s="98">
        <v>479</v>
      </c>
    </row>
    <row r="192" ht="42" customHeight="1">
      <c r="A192" t="s" s="99">
        <v>639</v>
      </c>
      <c r="B192" t="s" s="100">
        <v>238</v>
      </c>
      <c r="C192" t="s" s="100">
        <v>438</v>
      </c>
      <c r="D192" t="s" s="100">
        <v>120</v>
      </c>
      <c r="E192" t="s" s="100">
        <v>120</v>
      </c>
      <c r="F192" t="s" s="100">
        <v>241</v>
      </c>
      <c r="G192" t="s" s="96">
        <v>640</v>
      </c>
      <c r="H192" s="97"/>
      <c r="I192" s="97"/>
      <c r="J192" s="97"/>
      <c r="K192" s="97"/>
      <c r="L192" s="97"/>
      <c r="M192" t="s" s="96">
        <v>243</v>
      </c>
      <c r="N192" t="s" s="96">
        <v>478</v>
      </c>
      <c r="O192" t="s" s="96">
        <v>264</v>
      </c>
      <c r="P192" t="s" s="96">
        <v>596</v>
      </c>
      <c r="Q192" t="s" s="98">
        <v>479</v>
      </c>
    </row>
    <row r="193" ht="42" customHeight="1">
      <c r="A193" t="s" s="99">
        <v>641</v>
      </c>
      <c r="B193" t="s" s="100">
        <v>238</v>
      </c>
      <c r="C193" t="s" s="100">
        <v>438</v>
      </c>
      <c r="D193" t="s" s="100">
        <v>120</v>
      </c>
      <c r="E193" t="s" s="100">
        <v>120</v>
      </c>
      <c r="F193" t="s" s="100">
        <v>241</v>
      </c>
      <c r="G193" t="s" s="96">
        <v>642</v>
      </c>
      <c r="H193" s="97"/>
      <c r="I193" s="97"/>
      <c r="J193" s="97"/>
      <c r="K193" s="97"/>
      <c r="L193" s="97"/>
      <c r="M193" t="s" s="96">
        <v>243</v>
      </c>
      <c r="N193" t="s" s="96">
        <v>478</v>
      </c>
      <c r="O193" t="s" s="96">
        <v>264</v>
      </c>
      <c r="P193" t="s" s="96">
        <v>596</v>
      </c>
      <c r="Q193" t="s" s="98">
        <v>479</v>
      </c>
    </row>
    <row r="194" ht="42" customHeight="1">
      <c r="A194" t="s" s="99">
        <v>643</v>
      </c>
      <c r="B194" t="s" s="100">
        <v>238</v>
      </c>
      <c r="C194" t="s" s="100">
        <v>438</v>
      </c>
      <c r="D194" t="s" s="100">
        <v>120</v>
      </c>
      <c r="E194" t="s" s="100">
        <v>120</v>
      </c>
      <c r="F194" t="s" s="100">
        <v>241</v>
      </c>
      <c r="G194" t="s" s="96">
        <v>644</v>
      </c>
      <c r="H194" s="97"/>
      <c r="I194" s="97"/>
      <c r="J194" s="97"/>
      <c r="K194" s="97"/>
      <c r="L194" s="97"/>
      <c r="M194" t="s" s="96">
        <v>243</v>
      </c>
      <c r="N194" t="s" s="96">
        <v>478</v>
      </c>
      <c r="O194" t="s" s="96">
        <v>264</v>
      </c>
      <c r="P194" t="s" s="96">
        <v>596</v>
      </c>
      <c r="Q194" t="s" s="98">
        <v>479</v>
      </c>
    </row>
    <row r="195" ht="42" customHeight="1">
      <c r="A195" t="s" s="99">
        <v>645</v>
      </c>
      <c r="B195" t="s" s="100">
        <v>238</v>
      </c>
      <c r="C195" t="s" s="100">
        <v>438</v>
      </c>
      <c r="D195" t="s" s="100">
        <v>125</v>
      </c>
      <c r="E195" t="s" s="100">
        <v>125</v>
      </c>
      <c r="F195" t="s" s="100">
        <v>241</v>
      </c>
      <c r="G195" t="s" s="96">
        <v>646</v>
      </c>
      <c r="H195" s="97"/>
      <c r="I195" s="97"/>
      <c r="J195" s="97"/>
      <c r="K195" s="97"/>
      <c r="L195" s="97"/>
      <c r="M195" t="s" s="96">
        <v>243</v>
      </c>
      <c r="N195" t="s" s="96">
        <v>244</v>
      </c>
      <c r="O195" t="s" s="96">
        <v>264</v>
      </c>
      <c r="P195" t="s" s="96">
        <v>647</v>
      </c>
      <c r="Q195" t="s" s="98">
        <v>441</v>
      </c>
    </row>
    <row r="196" ht="42" customHeight="1">
      <c r="A196" t="s" s="99">
        <v>648</v>
      </c>
      <c r="B196" t="s" s="100">
        <v>238</v>
      </c>
      <c r="C196" t="s" s="100">
        <v>438</v>
      </c>
      <c r="D196" t="s" s="100">
        <v>125</v>
      </c>
      <c r="E196" t="s" s="100">
        <v>125</v>
      </c>
      <c r="F196" t="s" s="100">
        <v>241</v>
      </c>
      <c r="G196" t="s" s="96">
        <v>649</v>
      </c>
      <c r="H196" s="97"/>
      <c r="I196" s="97"/>
      <c r="J196" s="97"/>
      <c r="K196" s="97"/>
      <c r="L196" s="97"/>
      <c r="M196" t="s" s="96">
        <v>243</v>
      </c>
      <c r="N196" t="s" s="96">
        <v>244</v>
      </c>
      <c r="O196" t="s" s="96">
        <v>264</v>
      </c>
      <c r="P196" t="s" s="96">
        <v>647</v>
      </c>
      <c r="Q196" t="s" s="98">
        <v>441</v>
      </c>
    </row>
    <row r="197" ht="42" customHeight="1">
      <c r="A197" t="s" s="99">
        <v>650</v>
      </c>
      <c r="B197" t="s" s="100">
        <v>238</v>
      </c>
      <c r="C197" t="s" s="100">
        <v>438</v>
      </c>
      <c r="D197" t="s" s="100">
        <v>125</v>
      </c>
      <c r="E197" t="s" s="100">
        <v>125</v>
      </c>
      <c r="F197" t="s" s="100">
        <v>241</v>
      </c>
      <c r="G197" t="s" s="96">
        <v>651</v>
      </c>
      <c r="H197" s="97"/>
      <c r="I197" s="97"/>
      <c r="J197" s="97"/>
      <c r="K197" s="97"/>
      <c r="L197" s="97"/>
      <c r="M197" t="s" s="96">
        <v>243</v>
      </c>
      <c r="N197" t="s" s="96">
        <v>244</v>
      </c>
      <c r="O197" t="s" s="96">
        <v>264</v>
      </c>
      <c r="P197" t="s" s="96">
        <v>647</v>
      </c>
      <c r="Q197" t="s" s="98">
        <v>441</v>
      </c>
    </row>
    <row r="198" ht="42" customHeight="1">
      <c r="A198" t="s" s="99">
        <v>652</v>
      </c>
      <c r="B198" t="s" s="100">
        <v>238</v>
      </c>
      <c r="C198" t="s" s="100">
        <v>438</v>
      </c>
      <c r="D198" t="s" s="100">
        <v>125</v>
      </c>
      <c r="E198" t="s" s="100">
        <v>125</v>
      </c>
      <c r="F198" t="s" s="100">
        <v>241</v>
      </c>
      <c r="G198" t="s" s="96">
        <v>653</v>
      </c>
      <c r="H198" s="97"/>
      <c r="I198" s="97"/>
      <c r="J198" s="97"/>
      <c r="K198" s="97"/>
      <c r="L198" s="97"/>
      <c r="M198" t="s" s="96">
        <v>243</v>
      </c>
      <c r="N198" t="s" s="96">
        <v>244</v>
      </c>
      <c r="O198" t="s" s="96">
        <v>264</v>
      </c>
      <c r="P198" t="s" s="96">
        <v>647</v>
      </c>
      <c r="Q198" t="s" s="98">
        <v>441</v>
      </c>
    </row>
    <row r="199" ht="42" customHeight="1">
      <c r="A199" t="s" s="99">
        <v>654</v>
      </c>
      <c r="B199" t="s" s="100">
        <v>238</v>
      </c>
      <c r="C199" t="s" s="100">
        <v>438</v>
      </c>
      <c r="D199" t="s" s="100">
        <v>125</v>
      </c>
      <c r="E199" t="s" s="100">
        <v>125</v>
      </c>
      <c r="F199" t="s" s="100">
        <v>241</v>
      </c>
      <c r="G199" t="s" s="96">
        <v>655</v>
      </c>
      <c r="H199" s="97"/>
      <c r="I199" s="97"/>
      <c r="J199" s="97"/>
      <c r="K199" s="97"/>
      <c r="L199" s="97"/>
      <c r="M199" t="s" s="96">
        <v>243</v>
      </c>
      <c r="N199" t="s" s="96">
        <v>244</v>
      </c>
      <c r="O199" t="s" s="96">
        <v>264</v>
      </c>
      <c r="P199" t="s" s="96">
        <v>647</v>
      </c>
      <c r="Q199" t="s" s="98">
        <v>441</v>
      </c>
    </row>
    <row r="200" ht="42" customHeight="1">
      <c r="A200" t="s" s="99">
        <v>656</v>
      </c>
      <c r="B200" t="s" s="100">
        <v>238</v>
      </c>
      <c r="C200" t="s" s="100">
        <v>438</v>
      </c>
      <c r="D200" t="s" s="100">
        <v>125</v>
      </c>
      <c r="E200" t="s" s="100">
        <v>125</v>
      </c>
      <c r="F200" t="s" s="100">
        <v>241</v>
      </c>
      <c r="G200" t="s" s="96">
        <v>657</v>
      </c>
      <c r="H200" s="97"/>
      <c r="I200" s="97"/>
      <c r="J200" s="97"/>
      <c r="K200" s="97"/>
      <c r="L200" s="97"/>
      <c r="M200" t="s" s="96">
        <v>243</v>
      </c>
      <c r="N200" t="s" s="96">
        <v>244</v>
      </c>
      <c r="O200" t="s" s="96">
        <v>264</v>
      </c>
      <c r="P200" t="s" s="96">
        <v>647</v>
      </c>
      <c r="Q200" t="s" s="98">
        <v>441</v>
      </c>
    </row>
    <row r="201" ht="42" customHeight="1">
      <c r="A201" t="s" s="99">
        <v>658</v>
      </c>
      <c r="B201" t="s" s="100">
        <v>238</v>
      </c>
      <c r="C201" t="s" s="100">
        <v>438</v>
      </c>
      <c r="D201" t="s" s="100">
        <v>125</v>
      </c>
      <c r="E201" t="s" s="100">
        <v>125</v>
      </c>
      <c r="F201" t="s" s="100">
        <v>241</v>
      </c>
      <c r="G201" t="s" s="96">
        <v>659</v>
      </c>
      <c r="H201" s="97"/>
      <c r="I201" s="97"/>
      <c r="J201" s="97"/>
      <c r="K201" s="97"/>
      <c r="L201" s="97"/>
      <c r="M201" t="s" s="96">
        <v>243</v>
      </c>
      <c r="N201" t="s" s="96">
        <v>244</v>
      </c>
      <c r="O201" t="s" s="96">
        <v>264</v>
      </c>
      <c r="P201" t="s" s="96">
        <v>647</v>
      </c>
      <c r="Q201" t="s" s="98">
        <v>441</v>
      </c>
    </row>
    <row r="202" ht="42" customHeight="1">
      <c r="A202" t="s" s="99">
        <v>660</v>
      </c>
      <c r="B202" t="s" s="100">
        <v>238</v>
      </c>
      <c r="C202" t="s" s="100">
        <v>438</v>
      </c>
      <c r="D202" t="s" s="100">
        <v>125</v>
      </c>
      <c r="E202" t="s" s="100">
        <v>125</v>
      </c>
      <c r="F202" t="s" s="100">
        <v>241</v>
      </c>
      <c r="G202" t="s" s="96">
        <v>661</v>
      </c>
      <c r="H202" s="97"/>
      <c r="I202" s="97"/>
      <c r="J202" s="97"/>
      <c r="K202" s="97"/>
      <c r="L202" s="97"/>
      <c r="M202" t="s" s="96">
        <v>243</v>
      </c>
      <c r="N202" t="s" s="96">
        <v>244</v>
      </c>
      <c r="O202" t="s" s="96">
        <v>264</v>
      </c>
      <c r="P202" t="s" s="96">
        <v>647</v>
      </c>
      <c r="Q202" t="s" s="98">
        <v>441</v>
      </c>
    </row>
    <row r="203" ht="42" customHeight="1">
      <c r="A203" t="s" s="99">
        <v>662</v>
      </c>
      <c r="B203" t="s" s="100">
        <v>238</v>
      </c>
      <c r="C203" t="s" s="100">
        <v>438</v>
      </c>
      <c r="D203" t="s" s="100">
        <v>125</v>
      </c>
      <c r="E203" t="s" s="100">
        <v>125</v>
      </c>
      <c r="F203" t="s" s="100">
        <v>241</v>
      </c>
      <c r="G203" t="s" s="96">
        <v>663</v>
      </c>
      <c r="H203" s="97"/>
      <c r="I203" s="97"/>
      <c r="J203" s="97"/>
      <c r="K203" s="97"/>
      <c r="L203" s="97"/>
      <c r="M203" t="s" s="96">
        <v>243</v>
      </c>
      <c r="N203" t="s" s="96">
        <v>244</v>
      </c>
      <c r="O203" t="s" s="96">
        <v>264</v>
      </c>
      <c r="P203" t="s" s="96">
        <v>647</v>
      </c>
      <c r="Q203" t="s" s="98">
        <v>441</v>
      </c>
    </row>
    <row r="204" ht="42" customHeight="1">
      <c r="A204" t="s" s="99">
        <v>664</v>
      </c>
      <c r="B204" t="s" s="100">
        <v>238</v>
      </c>
      <c r="C204" t="s" s="100">
        <v>438</v>
      </c>
      <c r="D204" t="s" s="100">
        <v>125</v>
      </c>
      <c r="E204" t="s" s="100">
        <v>125</v>
      </c>
      <c r="F204" t="s" s="100">
        <v>241</v>
      </c>
      <c r="G204" t="s" s="96">
        <v>665</v>
      </c>
      <c r="H204" s="97"/>
      <c r="I204" s="97"/>
      <c r="J204" s="97"/>
      <c r="K204" s="97"/>
      <c r="L204" s="97"/>
      <c r="M204" t="s" s="96">
        <v>243</v>
      </c>
      <c r="N204" t="s" s="96">
        <v>244</v>
      </c>
      <c r="O204" t="s" s="96">
        <v>264</v>
      </c>
      <c r="P204" t="s" s="96">
        <v>647</v>
      </c>
      <c r="Q204" t="s" s="98">
        <v>441</v>
      </c>
    </row>
    <row r="205" ht="42" customHeight="1">
      <c r="A205" t="s" s="99">
        <v>666</v>
      </c>
      <c r="B205" t="s" s="100">
        <v>238</v>
      </c>
      <c r="C205" t="s" s="100">
        <v>438</v>
      </c>
      <c r="D205" t="s" s="100">
        <v>125</v>
      </c>
      <c r="E205" t="s" s="100">
        <v>125</v>
      </c>
      <c r="F205" t="s" s="100">
        <v>241</v>
      </c>
      <c r="G205" t="s" s="96">
        <v>667</v>
      </c>
      <c r="H205" s="97"/>
      <c r="I205" s="97"/>
      <c r="J205" s="97"/>
      <c r="K205" s="97"/>
      <c r="L205" s="97"/>
      <c r="M205" t="s" s="96">
        <v>243</v>
      </c>
      <c r="N205" t="s" s="96">
        <v>244</v>
      </c>
      <c r="O205" t="s" s="96">
        <v>264</v>
      </c>
      <c r="P205" t="s" s="96">
        <v>647</v>
      </c>
      <c r="Q205" t="s" s="98">
        <v>441</v>
      </c>
    </row>
    <row r="206" ht="42" customHeight="1">
      <c r="A206" t="s" s="99">
        <v>668</v>
      </c>
      <c r="B206" t="s" s="100">
        <v>238</v>
      </c>
      <c r="C206" t="s" s="100">
        <v>438</v>
      </c>
      <c r="D206" t="s" s="100">
        <v>125</v>
      </c>
      <c r="E206" t="s" s="100">
        <v>125</v>
      </c>
      <c r="F206" t="s" s="100">
        <v>241</v>
      </c>
      <c r="G206" t="s" s="96">
        <v>669</v>
      </c>
      <c r="H206" s="97"/>
      <c r="I206" s="97"/>
      <c r="J206" s="97"/>
      <c r="K206" s="97"/>
      <c r="L206" s="97"/>
      <c r="M206" t="s" s="96">
        <v>243</v>
      </c>
      <c r="N206" t="s" s="96">
        <v>244</v>
      </c>
      <c r="O206" t="s" s="96">
        <v>264</v>
      </c>
      <c r="P206" t="s" s="96">
        <v>647</v>
      </c>
      <c r="Q206" t="s" s="98">
        <v>441</v>
      </c>
    </row>
    <row r="207" ht="42" customHeight="1">
      <c r="A207" t="s" s="99">
        <v>670</v>
      </c>
      <c r="B207" t="s" s="100">
        <v>238</v>
      </c>
      <c r="C207" t="s" s="100">
        <v>438</v>
      </c>
      <c r="D207" t="s" s="100">
        <v>125</v>
      </c>
      <c r="E207" t="s" s="100">
        <v>125</v>
      </c>
      <c r="F207" t="s" s="100">
        <v>241</v>
      </c>
      <c r="G207" t="s" s="96">
        <v>671</v>
      </c>
      <c r="H207" s="97"/>
      <c r="I207" s="97"/>
      <c r="J207" s="97"/>
      <c r="K207" s="97"/>
      <c r="L207" s="97"/>
      <c r="M207" t="s" s="96">
        <v>243</v>
      </c>
      <c r="N207" t="s" s="96">
        <v>244</v>
      </c>
      <c r="O207" t="s" s="96">
        <v>264</v>
      </c>
      <c r="P207" t="s" s="96">
        <v>647</v>
      </c>
      <c r="Q207" t="s" s="98">
        <v>441</v>
      </c>
    </row>
    <row r="208" ht="42" customHeight="1">
      <c r="A208" t="s" s="99">
        <v>672</v>
      </c>
      <c r="B208" t="s" s="100">
        <v>238</v>
      </c>
      <c r="C208" t="s" s="100">
        <v>438</v>
      </c>
      <c r="D208" t="s" s="100">
        <v>125</v>
      </c>
      <c r="E208" t="s" s="100">
        <v>125</v>
      </c>
      <c r="F208" t="s" s="100">
        <v>241</v>
      </c>
      <c r="G208" t="s" s="96">
        <v>673</v>
      </c>
      <c r="H208" s="97"/>
      <c r="I208" s="97"/>
      <c r="J208" s="97"/>
      <c r="K208" s="97"/>
      <c r="L208" s="97"/>
      <c r="M208" t="s" s="96">
        <v>243</v>
      </c>
      <c r="N208" t="s" s="96">
        <v>244</v>
      </c>
      <c r="O208" t="s" s="96">
        <v>264</v>
      </c>
      <c r="P208" t="s" s="96">
        <v>647</v>
      </c>
      <c r="Q208" t="s" s="98">
        <v>441</v>
      </c>
    </row>
    <row r="209" ht="42" customHeight="1">
      <c r="A209" t="s" s="99">
        <v>674</v>
      </c>
      <c r="B209" t="s" s="100">
        <v>238</v>
      </c>
      <c r="C209" t="s" s="100">
        <v>438</v>
      </c>
      <c r="D209" t="s" s="100">
        <v>125</v>
      </c>
      <c r="E209" t="s" s="100">
        <v>125</v>
      </c>
      <c r="F209" t="s" s="100">
        <v>241</v>
      </c>
      <c r="G209" t="s" s="96">
        <v>675</v>
      </c>
      <c r="H209" s="97"/>
      <c r="I209" s="97"/>
      <c r="J209" s="97"/>
      <c r="K209" s="97"/>
      <c r="L209" s="97"/>
      <c r="M209" t="s" s="96">
        <v>243</v>
      </c>
      <c r="N209" t="s" s="96">
        <v>244</v>
      </c>
      <c r="O209" t="s" s="96">
        <v>264</v>
      </c>
      <c r="P209" t="s" s="96">
        <v>647</v>
      </c>
      <c r="Q209" t="s" s="98">
        <v>441</v>
      </c>
    </row>
    <row r="210" ht="42" customHeight="1">
      <c r="A210" t="s" s="99">
        <v>676</v>
      </c>
      <c r="B210" t="s" s="100">
        <v>238</v>
      </c>
      <c r="C210" t="s" s="100">
        <v>438</v>
      </c>
      <c r="D210" t="s" s="100">
        <v>125</v>
      </c>
      <c r="E210" t="s" s="100">
        <v>125</v>
      </c>
      <c r="F210" t="s" s="100">
        <v>241</v>
      </c>
      <c r="G210" t="s" s="96">
        <v>677</v>
      </c>
      <c r="H210" s="97"/>
      <c r="I210" s="97"/>
      <c r="J210" s="97"/>
      <c r="K210" s="97"/>
      <c r="L210" s="97"/>
      <c r="M210" t="s" s="96">
        <v>243</v>
      </c>
      <c r="N210" t="s" s="96">
        <v>244</v>
      </c>
      <c r="O210" t="s" s="96">
        <v>264</v>
      </c>
      <c r="P210" t="s" s="96">
        <v>647</v>
      </c>
      <c r="Q210" t="s" s="98">
        <v>441</v>
      </c>
    </row>
    <row r="211" ht="42" customHeight="1">
      <c r="A211" t="s" s="99">
        <v>678</v>
      </c>
      <c r="B211" t="s" s="100">
        <v>238</v>
      </c>
      <c r="C211" t="s" s="100">
        <v>438</v>
      </c>
      <c r="D211" t="s" s="100">
        <v>125</v>
      </c>
      <c r="E211" t="s" s="100">
        <v>125</v>
      </c>
      <c r="F211" t="s" s="100">
        <v>241</v>
      </c>
      <c r="G211" t="s" s="96">
        <v>679</v>
      </c>
      <c r="H211" s="97"/>
      <c r="I211" s="97"/>
      <c r="J211" s="97"/>
      <c r="K211" s="97"/>
      <c r="L211" s="97"/>
      <c r="M211" t="s" s="96">
        <v>243</v>
      </c>
      <c r="N211" t="s" s="96">
        <v>244</v>
      </c>
      <c r="O211" t="s" s="96">
        <v>264</v>
      </c>
      <c r="P211" t="s" s="96">
        <v>647</v>
      </c>
      <c r="Q211" t="s" s="98">
        <v>441</v>
      </c>
    </row>
    <row r="212" ht="42" customHeight="1">
      <c r="A212" t="s" s="99">
        <v>680</v>
      </c>
      <c r="B212" t="s" s="100">
        <v>238</v>
      </c>
      <c r="C212" t="s" s="100">
        <v>438</v>
      </c>
      <c r="D212" t="s" s="100">
        <v>125</v>
      </c>
      <c r="E212" t="s" s="100">
        <v>125</v>
      </c>
      <c r="F212" t="s" s="100">
        <v>241</v>
      </c>
      <c r="G212" t="s" s="96">
        <v>681</v>
      </c>
      <c r="H212" s="97"/>
      <c r="I212" s="97"/>
      <c r="J212" s="97"/>
      <c r="K212" s="97"/>
      <c r="L212" s="97"/>
      <c r="M212" t="s" s="96">
        <v>243</v>
      </c>
      <c r="N212" t="s" s="96">
        <v>244</v>
      </c>
      <c r="O212" t="s" s="96">
        <v>264</v>
      </c>
      <c r="P212" t="s" s="96">
        <v>647</v>
      </c>
      <c r="Q212" t="s" s="98">
        <v>441</v>
      </c>
    </row>
    <row r="213" ht="42" customHeight="1">
      <c r="A213" t="s" s="99">
        <v>682</v>
      </c>
      <c r="B213" t="s" s="100">
        <v>238</v>
      </c>
      <c r="C213" t="s" s="100">
        <v>438</v>
      </c>
      <c r="D213" t="s" s="100">
        <v>125</v>
      </c>
      <c r="E213" t="s" s="100">
        <v>125</v>
      </c>
      <c r="F213" t="s" s="100">
        <v>241</v>
      </c>
      <c r="G213" t="s" s="96">
        <v>683</v>
      </c>
      <c r="H213" s="97"/>
      <c r="I213" s="97"/>
      <c r="J213" s="97"/>
      <c r="K213" s="97"/>
      <c r="L213" s="97"/>
      <c r="M213" t="s" s="96">
        <v>243</v>
      </c>
      <c r="N213" t="s" s="96">
        <v>478</v>
      </c>
      <c r="O213" t="s" s="96">
        <v>264</v>
      </c>
      <c r="P213" t="s" s="96">
        <v>647</v>
      </c>
      <c r="Q213" t="s" s="98">
        <v>479</v>
      </c>
    </row>
    <row r="214" ht="42" customHeight="1">
      <c r="A214" t="s" s="99">
        <v>684</v>
      </c>
      <c r="B214" t="s" s="100">
        <v>238</v>
      </c>
      <c r="C214" t="s" s="100">
        <v>438</v>
      </c>
      <c r="D214" t="s" s="100">
        <v>125</v>
      </c>
      <c r="E214" t="s" s="100">
        <v>125</v>
      </c>
      <c r="F214" t="s" s="100">
        <v>241</v>
      </c>
      <c r="G214" t="s" s="96">
        <v>685</v>
      </c>
      <c r="H214" s="97"/>
      <c r="I214" s="97"/>
      <c r="J214" s="97"/>
      <c r="K214" s="97"/>
      <c r="L214" s="97"/>
      <c r="M214" t="s" s="96">
        <v>243</v>
      </c>
      <c r="N214" t="s" s="96">
        <v>478</v>
      </c>
      <c r="O214" t="s" s="96">
        <v>264</v>
      </c>
      <c r="P214" t="s" s="96">
        <v>647</v>
      </c>
      <c r="Q214" t="s" s="98">
        <v>479</v>
      </c>
    </row>
    <row r="215" ht="42" customHeight="1">
      <c r="A215" t="s" s="99">
        <v>686</v>
      </c>
      <c r="B215" t="s" s="100">
        <v>238</v>
      </c>
      <c r="C215" t="s" s="100">
        <v>438</v>
      </c>
      <c r="D215" t="s" s="100">
        <v>125</v>
      </c>
      <c r="E215" t="s" s="100">
        <v>125</v>
      </c>
      <c r="F215" t="s" s="100">
        <v>241</v>
      </c>
      <c r="G215" t="s" s="96">
        <v>687</v>
      </c>
      <c r="H215" s="97"/>
      <c r="I215" s="97"/>
      <c r="J215" s="97"/>
      <c r="K215" s="97"/>
      <c r="L215" s="97"/>
      <c r="M215" t="s" s="96">
        <v>243</v>
      </c>
      <c r="N215" t="s" s="96">
        <v>478</v>
      </c>
      <c r="O215" t="s" s="96">
        <v>264</v>
      </c>
      <c r="P215" t="s" s="96">
        <v>647</v>
      </c>
      <c r="Q215" t="s" s="98">
        <v>479</v>
      </c>
    </row>
    <row r="216" ht="42" customHeight="1">
      <c r="A216" t="s" s="99">
        <v>688</v>
      </c>
      <c r="B216" t="s" s="100">
        <v>238</v>
      </c>
      <c r="C216" t="s" s="100">
        <v>438</v>
      </c>
      <c r="D216" t="s" s="100">
        <v>125</v>
      </c>
      <c r="E216" t="s" s="100">
        <v>125</v>
      </c>
      <c r="F216" t="s" s="100">
        <v>241</v>
      </c>
      <c r="G216" t="s" s="96">
        <v>689</v>
      </c>
      <c r="H216" s="97"/>
      <c r="I216" s="97"/>
      <c r="J216" s="97"/>
      <c r="K216" s="97"/>
      <c r="L216" s="97"/>
      <c r="M216" t="s" s="96">
        <v>243</v>
      </c>
      <c r="N216" t="s" s="96">
        <v>478</v>
      </c>
      <c r="O216" t="s" s="96">
        <v>264</v>
      </c>
      <c r="P216" t="s" s="96">
        <v>647</v>
      </c>
      <c r="Q216" t="s" s="98">
        <v>479</v>
      </c>
    </row>
    <row r="217" ht="42" customHeight="1">
      <c r="A217" t="s" s="99">
        <v>690</v>
      </c>
      <c r="B217" t="s" s="100">
        <v>238</v>
      </c>
      <c r="C217" t="s" s="100">
        <v>438</v>
      </c>
      <c r="D217" t="s" s="100">
        <v>125</v>
      </c>
      <c r="E217" t="s" s="100">
        <v>125</v>
      </c>
      <c r="F217" t="s" s="100">
        <v>241</v>
      </c>
      <c r="G217" t="s" s="96">
        <v>691</v>
      </c>
      <c r="H217" s="97"/>
      <c r="I217" s="97"/>
      <c r="J217" s="97"/>
      <c r="K217" s="97"/>
      <c r="L217" s="97"/>
      <c r="M217" t="s" s="96">
        <v>243</v>
      </c>
      <c r="N217" t="s" s="96">
        <v>478</v>
      </c>
      <c r="O217" t="s" s="96">
        <v>264</v>
      </c>
      <c r="P217" t="s" s="96">
        <v>647</v>
      </c>
      <c r="Q217" t="s" s="98">
        <v>479</v>
      </c>
    </row>
    <row r="218" ht="42" customHeight="1">
      <c r="A218" t="s" s="99">
        <v>692</v>
      </c>
      <c r="B218" t="s" s="100">
        <v>238</v>
      </c>
      <c r="C218" t="s" s="100">
        <v>438</v>
      </c>
      <c r="D218" t="s" s="100">
        <v>125</v>
      </c>
      <c r="E218" t="s" s="100">
        <v>125</v>
      </c>
      <c r="F218" t="s" s="100">
        <v>241</v>
      </c>
      <c r="G218" t="s" s="96">
        <v>693</v>
      </c>
      <c r="H218" s="97"/>
      <c r="I218" s="97"/>
      <c r="J218" s="97"/>
      <c r="K218" s="97"/>
      <c r="L218" s="97"/>
      <c r="M218" t="s" s="96">
        <v>243</v>
      </c>
      <c r="N218" t="s" s="96">
        <v>478</v>
      </c>
      <c r="O218" t="s" s="96">
        <v>264</v>
      </c>
      <c r="P218" t="s" s="96">
        <v>647</v>
      </c>
      <c r="Q218" t="s" s="98">
        <v>479</v>
      </c>
    </row>
    <row r="219" ht="42" customHeight="1">
      <c r="A219" t="s" s="99">
        <v>694</v>
      </c>
      <c r="B219" t="s" s="100">
        <v>238</v>
      </c>
      <c r="C219" t="s" s="100">
        <v>438</v>
      </c>
      <c r="D219" t="s" s="100">
        <v>125</v>
      </c>
      <c r="E219" t="s" s="100">
        <v>125</v>
      </c>
      <c r="F219" t="s" s="100">
        <v>241</v>
      </c>
      <c r="G219" t="s" s="96">
        <v>695</v>
      </c>
      <c r="H219" s="97"/>
      <c r="I219" s="97"/>
      <c r="J219" s="97"/>
      <c r="K219" s="97"/>
      <c r="L219" s="97"/>
      <c r="M219" t="s" s="96">
        <v>243</v>
      </c>
      <c r="N219" t="s" s="96">
        <v>478</v>
      </c>
      <c r="O219" t="s" s="96">
        <v>264</v>
      </c>
      <c r="P219" t="s" s="96">
        <v>647</v>
      </c>
      <c r="Q219" t="s" s="98">
        <v>479</v>
      </c>
    </row>
    <row r="220" ht="42" customHeight="1">
      <c r="A220" t="s" s="101">
        <v>696</v>
      </c>
      <c r="B220" t="s" s="102">
        <v>238</v>
      </c>
      <c r="C220" t="s" s="102">
        <v>697</v>
      </c>
      <c r="D220" t="s" s="102">
        <v>136</v>
      </c>
      <c r="E220" t="s" s="102">
        <v>136</v>
      </c>
      <c r="F220" t="s" s="102">
        <v>698</v>
      </c>
      <c r="G220" t="s" s="96">
        <v>699</v>
      </c>
      <c r="H220" t="s" s="96">
        <v>700</v>
      </c>
      <c r="I220" t="s" s="96">
        <v>701</v>
      </c>
      <c r="J220" t="s" s="96">
        <v>702</v>
      </c>
      <c r="K220" t="s" s="96">
        <v>703</v>
      </c>
      <c r="L220" t="s" s="96">
        <v>99</v>
      </c>
      <c r="M220" t="s" s="96">
        <v>704</v>
      </c>
      <c r="N220" t="s" s="96">
        <v>244</v>
      </c>
      <c r="O220" t="s" s="96">
        <v>264</v>
      </c>
      <c r="P220" t="s" s="96">
        <v>705</v>
      </c>
      <c r="Q220" t="s" s="98">
        <v>706</v>
      </c>
    </row>
    <row r="221" ht="42" customHeight="1">
      <c r="A221" t="s" s="101">
        <v>707</v>
      </c>
      <c r="B221" t="s" s="102">
        <v>238</v>
      </c>
      <c r="C221" t="s" s="102">
        <v>697</v>
      </c>
      <c r="D221" t="s" s="102">
        <v>136</v>
      </c>
      <c r="E221" t="s" s="102">
        <v>136</v>
      </c>
      <c r="F221" t="s" s="102">
        <v>698</v>
      </c>
      <c r="G221" t="s" s="96">
        <v>708</v>
      </c>
      <c r="H221" t="s" s="96">
        <v>709</v>
      </c>
      <c r="I221" t="s" s="96">
        <v>710</v>
      </c>
      <c r="J221" t="s" s="96">
        <v>711</v>
      </c>
      <c r="K221" t="s" s="96">
        <v>712</v>
      </c>
      <c r="L221" t="s" s="96">
        <v>99</v>
      </c>
      <c r="M221" t="s" s="96">
        <v>704</v>
      </c>
      <c r="N221" t="s" s="96">
        <v>244</v>
      </c>
      <c r="O221" t="s" s="96">
        <v>264</v>
      </c>
      <c r="P221" t="s" s="96">
        <v>705</v>
      </c>
      <c r="Q221" t="s" s="98">
        <v>706</v>
      </c>
    </row>
    <row r="222" ht="42" customHeight="1">
      <c r="A222" t="s" s="101">
        <v>713</v>
      </c>
      <c r="B222" t="s" s="102">
        <v>238</v>
      </c>
      <c r="C222" t="s" s="102">
        <v>697</v>
      </c>
      <c r="D222" t="s" s="102">
        <v>136</v>
      </c>
      <c r="E222" t="s" s="102">
        <v>136</v>
      </c>
      <c r="F222" t="s" s="102">
        <v>698</v>
      </c>
      <c r="G222" t="s" s="96">
        <v>714</v>
      </c>
      <c r="H222" t="s" s="96">
        <v>715</v>
      </c>
      <c r="I222" t="s" s="96">
        <v>716</v>
      </c>
      <c r="J222" t="s" s="96">
        <v>717</v>
      </c>
      <c r="K222" t="s" s="96">
        <v>718</v>
      </c>
      <c r="L222" t="s" s="96">
        <v>99</v>
      </c>
      <c r="M222" t="s" s="96">
        <v>704</v>
      </c>
      <c r="N222" t="s" s="96">
        <v>244</v>
      </c>
      <c r="O222" t="s" s="96">
        <v>264</v>
      </c>
      <c r="P222" t="s" s="96">
        <v>705</v>
      </c>
      <c r="Q222" t="s" s="98">
        <v>706</v>
      </c>
    </row>
    <row r="223" ht="42" customHeight="1">
      <c r="A223" t="s" s="101">
        <v>719</v>
      </c>
      <c r="B223" t="s" s="102">
        <v>238</v>
      </c>
      <c r="C223" t="s" s="102">
        <v>697</v>
      </c>
      <c r="D223" t="s" s="102">
        <v>136</v>
      </c>
      <c r="E223" t="s" s="102">
        <v>136</v>
      </c>
      <c r="F223" t="s" s="102">
        <v>698</v>
      </c>
      <c r="G223" t="s" s="96">
        <v>720</v>
      </c>
      <c r="H223" t="s" s="96">
        <v>716</v>
      </c>
      <c r="I223" t="s" s="96">
        <v>717</v>
      </c>
      <c r="J223" t="s" s="96">
        <v>718</v>
      </c>
      <c r="K223" t="s" s="96">
        <v>721</v>
      </c>
      <c r="L223" t="s" s="96">
        <v>99</v>
      </c>
      <c r="M223" t="s" s="96">
        <v>704</v>
      </c>
      <c r="N223" t="s" s="96">
        <v>244</v>
      </c>
      <c r="O223" t="s" s="96">
        <v>264</v>
      </c>
      <c r="P223" t="s" s="96">
        <v>705</v>
      </c>
      <c r="Q223" t="s" s="98">
        <v>706</v>
      </c>
    </row>
    <row r="224" ht="42" customHeight="1">
      <c r="A224" t="s" s="101">
        <v>722</v>
      </c>
      <c r="B224" t="s" s="102">
        <v>238</v>
      </c>
      <c r="C224" t="s" s="102">
        <v>697</v>
      </c>
      <c r="D224" t="s" s="102">
        <v>136</v>
      </c>
      <c r="E224" t="s" s="102">
        <v>136</v>
      </c>
      <c r="F224" t="s" s="102">
        <v>698</v>
      </c>
      <c r="G224" t="s" s="96">
        <v>723</v>
      </c>
      <c r="H224" t="s" s="96">
        <v>724</v>
      </c>
      <c r="I224" t="s" s="96">
        <v>725</v>
      </c>
      <c r="J224" t="s" s="96">
        <v>726</v>
      </c>
      <c r="K224" t="s" s="96">
        <v>727</v>
      </c>
      <c r="L224" t="s" s="96">
        <v>99</v>
      </c>
      <c r="M224" t="s" s="96">
        <v>704</v>
      </c>
      <c r="N224" t="s" s="96">
        <v>244</v>
      </c>
      <c r="O224" t="s" s="96">
        <v>264</v>
      </c>
      <c r="P224" t="s" s="96">
        <v>705</v>
      </c>
      <c r="Q224" t="s" s="98">
        <v>706</v>
      </c>
    </row>
    <row r="225" ht="42" customHeight="1">
      <c r="A225" t="s" s="101">
        <v>728</v>
      </c>
      <c r="B225" t="s" s="102">
        <v>238</v>
      </c>
      <c r="C225" t="s" s="102">
        <v>697</v>
      </c>
      <c r="D225" t="s" s="102">
        <v>136</v>
      </c>
      <c r="E225" t="s" s="102">
        <v>136</v>
      </c>
      <c r="F225" t="s" s="102">
        <v>698</v>
      </c>
      <c r="G225" t="s" s="96">
        <v>729</v>
      </c>
      <c r="H225" t="s" s="96">
        <v>730</v>
      </c>
      <c r="I225" t="s" s="96">
        <v>731</v>
      </c>
      <c r="J225" t="s" s="96">
        <v>732</v>
      </c>
      <c r="K225" t="s" s="96">
        <v>700</v>
      </c>
      <c r="L225" t="s" s="96">
        <v>99</v>
      </c>
      <c r="M225" t="s" s="96">
        <v>704</v>
      </c>
      <c r="N225" t="s" s="96">
        <v>244</v>
      </c>
      <c r="O225" t="s" s="96">
        <v>264</v>
      </c>
      <c r="P225" t="s" s="96">
        <v>705</v>
      </c>
      <c r="Q225" t="s" s="98">
        <v>706</v>
      </c>
    </row>
    <row r="226" ht="42" customHeight="1">
      <c r="A226" t="s" s="101">
        <v>733</v>
      </c>
      <c r="B226" t="s" s="102">
        <v>238</v>
      </c>
      <c r="C226" t="s" s="102">
        <v>697</v>
      </c>
      <c r="D226" t="s" s="102">
        <v>136</v>
      </c>
      <c r="E226" t="s" s="102">
        <v>136</v>
      </c>
      <c r="F226" t="s" s="102">
        <v>698</v>
      </c>
      <c r="G226" t="s" s="96">
        <v>734</v>
      </c>
      <c r="H226" t="s" s="96">
        <v>730</v>
      </c>
      <c r="I226" t="s" s="96">
        <v>731</v>
      </c>
      <c r="J226" t="s" s="96">
        <v>732</v>
      </c>
      <c r="K226" t="s" s="96">
        <v>700</v>
      </c>
      <c r="L226" t="s" s="96">
        <v>735</v>
      </c>
      <c r="M226" t="s" s="96">
        <v>704</v>
      </c>
      <c r="N226" t="s" s="96">
        <v>244</v>
      </c>
      <c r="O226" t="s" s="96">
        <v>264</v>
      </c>
      <c r="P226" t="s" s="96">
        <v>705</v>
      </c>
      <c r="Q226" t="s" s="98">
        <v>706</v>
      </c>
    </row>
    <row r="227" ht="42" customHeight="1">
      <c r="A227" t="s" s="101">
        <v>736</v>
      </c>
      <c r="B227" t="s" s="102">
        <v>238</v>
      </c>
      <c r="C227" t="s" s="102">
        <v>697</v>
      </c>
      <c r="D227" t="s" s="102">
        <v>136</v>
      </c>
      <c r="E227" t="s" s="102">
        <v>136</v>
      </c>
      <c r="F227" t="s" s="102">
        <v>698</v>
      </c>
      <c r="G227" t="s" s="96">
        <v>737</v>
      </c>
      <c r="H227" t="s" s="96">
        <v>738</v>
      </c>
      <c r="I227" t="s" s="96">
        <v>730</v>
      </c>
      <c r="J227" t="s" s="96">
        <v>732</v>
      </c>
      <c r="K227" t="s" s="96">
        <v>702</v>
      </c>
      <c r="L227" t="s" s="96">
        <v>735</v>
      </c>
      <c r="M227" t="s" s="96">
        <v>704</v>
      </c>
      <c r="N227" t="s" s="96">
        <v>244</v>
      </c>
      <c r="O227" t="s" s="96">
        <v>264</v>
      </c>
      <c r="P227" t="s" s="96">
        <v>705</v>
      </c>
      <c r="Q227" t="s" s="98">
        <v>706</v>
      </c>
    </row>
    <row r="228" ht="42" customHeight="1">
      <c r="A228" t="s" s="101">
        <v>739</v>
      </c>
      <c r="B228" t="s" s="102">
        <v>238</v>
      </c>
      <c r="C228" t="s" s="102">
        <v>697</v>
      </c>
      <c r="D228" t="s" s="102">
        <v>136</v>
      </c>
      <c r="E228" t="s" s="102">
        <v>136</v>
      </c>
      <c r="F228" t="s" s="102">
        <v>698</v>
      </c>
      <c r="G228" t="s" s="96">
        <v>740</v>
      </c>
      <c r="H228" t="s" s="96">
        <v>741</v>
      </c>
      <c r="I228" t="s" s="96">
        <v>742</v>
      </c>
      <c r="J228" t="s" s="96">
        <v>743</v>
      </c>
      <c r="K228" t="s" s="96">
        <v>744</v>
      </c>
      <c r="L228" t="s" s="96">
        <v>99</v>
      </c>
      <c r="M228" t="s" s="96">
        <v>704</v>
      </c>
      <c r="N228" t="s" s="96">
        <v>244</v>
      </c>
      <c r="O228" t="s" s="96">
        <v>264</v>
      </c>
      <c r="P228" t="s" s="96">
        <v>705</v>
      </c>
      <c r="Q228" t="s" s="98">
        <v>706</v>
      </c>
    </row>
    <row r="229" ht="42" customHeight="1">
      <c r="A229" t="s" s="101">
        <v>745</v>
      </c>
      <c r="B229" t="s" s="102">
        <v>238</v>
      </c>
      <c r="C229" t="s" s="102">
        <v>697</v>
      </c>
      <c r="D229" t="s" s="102">
        <v>136</v>
      </c>
      <c r="E229" t="s" s="102">
        <v>136</v>
      </c>
      <c r="F229" t="s" s="102">
        <v>698</v>
      </c>
      <c r="G229" t="s" s="96">
        <v>746</v>
      </c>
      <c r="H229" t="s" s="96">
        <v>747</v>
      </c>
      <c r="I229" t="s" s="96">
        <v>748</v>
      </c>
      <c r="J229" t="s" s="96">
        <v>749</v>
      </c>
      <c r="K229" t="s" s="96">
        <v>750</v>
      </c>
      <c r="L229" t="s" s="96">
        <v>735</v>
      </c>
      <c r="M229" t="s" s="96">
        <v>704</v>
      </c>
      <c r="N229" t="s" s="96">
        <v>244</v>
      </c>
      <c r="O229" t="s" s="96">
        <v>264</v>
      </c>
      <c r="P229" t="s" s="96">
        <v>705</v>
      </c>
      <c r="Q229" t="s" s="98">
        <v>706</v>
      </c>
    </row>
    <row r="230" ht="42" customHeight="1">
      <c r="A230" t="s" s="101">
        <v>751</v>
      </c>
      <c r="B230" t="s" s="102">
        <v>238</v>
      </c>
      <c r="C230" t="s" s="102">
        <v>697</v>
      </c>
      <c r="D230" t="s" s="102">
        <v>136</v>
      </c>
      <c r="E230" t="s" s="102">
        <v>136</v>
      </c>
      <c r="F230" t="s" s="102">
        <v>698</v>
      </c>
      <c r="G230" t="s" s="96">
        <v>752</v>
      </c>
      <c r="H230" t="s" s="96">
        <v>718</v>
      </c>
      <c r="I230" t="s" s="96">
        <v>721</v>
      </c>
      <c r="J230" t="s" s="96">
        <v>741</v>
      </c>
      <c r="K230" t="s" s="96">
        <v>753</v>
      </c>
      <c r="L230" t="s" s="96">
        <v>99</v>
      </c>
      <c r="M230" t="s" s="96">
        <v>704</v>
      </c>
      <c r="N230" t="s" s="96">
        <v>244</v>
      </c>
      <c r="O230" t="s" s="96">
        <v>264</v>
      </c>
      <c r="P230" t="s" s="96">
        <v>705</v>
      </c>
      <c r="Q230" t="s" s="98">
        <v>706</v>
      </c>
    </row>
    <row r="231" ht="42" customHeight="1">
      <c r="A231" t="s" s="101">
        <v>754</v>
      </c>
      <c r="B231" t="s" s="102">
        <v>238</v>
      </c>
      <c r="C231" t="s" s="102">
        <v>697</v>
      </c>
      <c r="D231" t="s" s="102">
        <v>136</v>
      </c>
      <c r="E231" t="s" s="102">
        <v>136</v>
      </c>
      <c r="F231" t="s" s="102">
        <v>698</v>
      </c>
      <c r="G231" t="s" s="96">
        <v>755</v>
      </c>
      <c r="H231" t="s" s="96">
        <v>756</v>
      </c>
      <c r="I231" t="s" s="96">
        <v>741</v>
      </c>
      <c r="J231" t="s" s="96">
        <v>743</v>
      </c>
      <c r="K231" t="s" s="96">
        <v>753</v>
      </c>
      <c r="L231" t="s" s="96">
        <v>735</v>
      </c>
      <c r="M231" t="s" s="96">
        <v>704</v>
      </c>
      <c r="N231" t="s" s="96">
        <v>244</v>
      </c>
      <c r="O231" t="s" s="96">
        <v>264</v>
      </c>
      <c r="P231" t="s" s="96">
        <v>705</v>
      </c>
      <c r="Q231" t="s" s="98">
        <v>706</v>
      </c>
    </row>
    <row r="232" ht="42" customHeight="1">
      <c r="A232" t="s" s="101">
        <v>757</v>
      </c>
      <c r="B232" t="s" s="102">
        <v>238</v>
      </c>
      <c r="C232" t="s" s="102">
        <v>697</v>
      </c>
      <c r="D232" t="s" s="102">
        <v>136</v>
      </c>
      <c r="E232" t="s" s="102">
        <v>136</v>
      </c>
      <c r="F232" t="s" s="102">
        <v>698</v>
      </c>
      <c r="G232" t="s" s="96">
        <v>758</v>
      </c>
      <c r="H232" t="s" s="96">
        <v>759</v>
      </c>
      <c r="I232" t="s" s="96">
        <v>760</v>
      </c>
      <c r="J232" t="s" s="96">
        <v>761</v>
      </c>
      <c r="K232" t="s" s="96">
        <v>762</v>
      </c>
      <c r="L232" t="s" s="96">
        <v>735</v>
      </c>
      <c r="M232" t="s" s="96">
        <v>704</v>
      </c>
      <c r="N232" t="s" s="96">
        <v>244</v>
      </c>
      <c r="O232" t="s" s="96">
        <v>264</v>
      </c>
      <c r="P232" t="s" s="96">
        <v>705</v>
      </c>
      <c r="Q232" t="s" s="98">
        <v>706</v>
      </c>
    </row>
    <row r="233" ht="42" customHeight="1">
      <c r="A233" t="s" s="101">
        <v>763</v>
      </c>
      <c r="B233" t="s" s="102">
        <v>238</v>
      </c>
      <c r="C233" t="s" s="102">
        <v>697</v>
      </c>
      <c r="D233" t="s" s="102">
        <v>136</v>
      </c>
      <c r="E233" t="s" s="102">
        <v>136</v>
      </c>
      <c r="F233" t="s" s="102">
        <v>698</v>
      </c>
      <c r="G233" t="s" s="96">
        <v>764</v>
      </c>
      <c r="H233" t="s" s="96">
        <v>703</v>
      </c>
      <c r="I233" t="s" s="96">
        <v>727</v>
      </c>
      <c r="J233" t="s" s="96">
        <v>765</v>
      </c>
      <c r="K233" t="s" s="96">
        <v>766</v>
      </c>
      <c r="L233" t="s" s="96">
        <v>99</v>
      </c>
      <c r="M233" t="s" s="96">
        <v>704</v>
      </c>
      <c r="N233" t="s" s="96">
        <v>244</v>
      </c>
      <c r="O233" t="s" s="96">
        <v>264</v>
      </c>
      <c r="P233" t="s" s="96">
        <v>705</v>
      </c>
      <c r="Q233" t="s" s="98">
        <v>706</v>
      </c>
    </row>
    <row r="234" ht="42" customHeight="1">
      <c r="A234" t="s" s="101">
        <v>767</v>
      </c>
      <c r="B234" t="s" s="102">
        <v>238</v>
      </c>
      <c r="C234" t="s" s="102">
        <v>697</v>
      </c>
      <c r="D234" t="s" s="102">
        <v>136</v>
      </c>
      <c r="E234" t="s" s="102">
        <v>136</v>
      </c>
      <c r="F234" t="s" s="102">
        <v>698</v>
      </c>
      <c r="G234" t="s" s="96">
        <v>768</v>
      </c>
      <c r="H234" t="s" s="96">
        <v>769</v>
      </c>
      <c r="I234" t="s" s="96">
        <v>770</v>
      </c>
      <c r="J234" t="s" s="96">
        <v>771</v>
      </c>
      <c r="K234" t="s" s="96">
        <v>772</v>
      </c>
      <c r="L234" t="s" s="96">
        <v>99</v>
      </c>
      <c r="M234" t="s" s="96">
        <v>704</v>
      </c>
      <c r="N234" t="s" s="96">
        <v>244</v>
      </c>
      <c r="O234" t="s" s="96">
        <v>264</v>
      </c>
      <c r="P234" t="s" s="96">
        <v>705</v>
      </c>
      <c r="Q234" t="s" s="98">
        <v>706</v>
      </c>
    </row>
    <row r="235" ht="42" customHeight="1">
      <c r="A235" t="s" s="101">
        <v>773</v>
      </c>
      <c r="B235" t="s" s="102">
        <v>238</v>
      </c>
      <c r="C235" t="s" s="102">
        <v>697</v>
      </c>
      <c r="D235" t="s" s="102">
        <v>136</v>
      </c>
      <c r="E235" t="s" s="102">
        <v>136</v>
      </c>
      <c r="F235" t="s" s="102">
        <v>698</v>
      </c>
      <c r="G235" t="s" s="96">
        <v>774</v>
      </c>
      <c r="H235" t="s" s="96">
        <v>730</v>
      </c>
      <c r="I235" t="s" s="96">
        <v>731</v>
      </c>
      <c r="J235" t="s" s="96">
        <v>732</v>
      </c>
      <c r="K235" t="s" s="96">
        <v>701</v>
      </c>
      <c r="L235" t="s" s="96">
        <v>99</v>
      </c>
      <c r="M235" t="s" s="96">
        <v>704</v>
      </c>
      <c r="N235" t="s" s="96">
        <v>244</v>
      </c>
      <c r="O235" t="s" s="96">
        <v>264</v>
      </c>
      <c r="P235" t="s" s="96">
        <v>705</v>
      </c>
      <c r="Q235" t="s" s="98">
        <v>706</v>
      </c>
    </row>
    <row r="236" ht="42" customHeight="1">
      <c r="A236" t="s" s="101">
        <v>775</v>
      </c>
      <c r="B236" t="s" s="102">
        <v>238</v>
      </c>
      <c r="C236" t="s" s="102">
        <v>697</v>
      </c>
      <c r="D236" t="s" s="102">
        <v>136</v>
      </c>
      <c r="E236" t="s" s="102">
        <v>136</v>
      </c>
      <c r="F236" t="s" s="102">
        <v>698</v>
      </c>
      <c r="G236" t="s" s="96">
        <v>776</v>
      </c>
      <c r="H236" t="s" s="96">
        <v>777</v>
      </c>
      <c r="I236" t="s" s="96">
        <v>724</v>
      </c>
      <c r="J236" t="s" s="96">
        <v>715</v>
      </c>
      <c r="K236" t="s" s="96">
        <v>727</v>
      </c>
      <c r="L236" t="s" s="96">
        <v>99</v>
      </c>
      <c r="M236" t="s" s="96">
        <v>704</v>
      </c>
      <c r="N236" t="s" s="96">
        <v>244</v>
      </c>
      <c r="O236" t="s" s="96">
        <v>264</v>
      </c>
      <c r="P236" t="s" s="96">
        <v>705</v>
      </c>
      <c r="Q236" t="s" s="98">
        <v>706</v>
      </c>
    </row>
    <row r="237" ht="42" customHeight="1">
      <c r="A237" t="s" s="101">
        <v>778</v>
      </c>
      <c r="B237" t="s" s="102">
        <v>238</v>
      </c>
      <c r="C237" t="s" s="102">
        <v>697</v>
      </c>
      <c r="D237" t="s" s="102">
        <v>136</v>
      </c>
      <c r="E237" t="s" s="102">
        <v>136</v>
      </c>
      <c r="F237" t="s" s="102">
        <v>698</v>
      </c>
      <c r="G237" t="s" s="96">
        <v>779</v>
      </c>
      <c r="H237" t="s" s="96">
        <v>777</v>
      </c>
      <c r="I237" t="s" s="96">
        <v>780</v>
      </c>
      <c r="J237" t="s" s="96">
        <v>724</v>
      </c>
      <c r="K237" t="s" s="96">
        <v>781</v>
      </c>
      <c r="L237" t="s" s="96">
        <v>99</v>
      </c>
      <c r="M237" t="s" s="96">
        <v>704</v>
      </c>
      <c r="N237" t="s" s="96">
        <v>244</v>
      </c>
      <c r="O237" t="s" s="96">
        <v>264</v>
      </c>
      <c r="P237" t="s" s="96">
        <v>705</v>
      </c>
      <c r="Q237" t="s" s="98">
        <v>706</v>
      </c>
    </row>
    <row r="238" ht="42" customHeight="1">
      <c r="A238" t="s" s="101">
        <v>782</v>
      </c>
      <c r="B238" t="s" s="102">
        <v>238</v>
      </c>
      <c r="C238" t="s" s="102">
        <v>697</v>
      </c>
      <c r="D238" t="s" s="102">
        <v>136</v>
      </c>
      <c r="E238" t="s" s="102">
        <v>136</v>
      </c>
      <c r="F238" t="s" s="102">
        <v>698</v>
      </c>
      <c r="G238" t="s" s="96">
        <v>783</v>
      </c>
      <c r="H238" t="s" s="96">
        <v>784</v>
      </c>
      <c r="I238" t="s" s="96">
        <v>785</v>
      </c>
      <c r="J238" t="s" s="96">
        <v>786</v>
      </c>
      <c r="K238" t="s" s="96">
        <v>711</v>
      </c>
      <c r="L238" t="s" s="96">
        <v>99</v>
      </c>
      <c r="M238" t="s" s="96">
        <v>704</v>
      </c>
      <c r="N238" t="s" s="96">
        <v>244</v>
      </c>
      <c r="O238" t="s" s="96">
        <v>264</v>
      </c>
      <c r="P238" t="s" s="96">
        <v>705</v>
      </c>
      <c r="Q238" t="s" s="98">
        <v>706</v>
      </c>
    </row>
    <row r="239" ht="42" customHeight="1">
      <c r="A239" t="s" s="101">
        <v>787</v>
      </c>
      <c r="B239" t="s" s="102">
        <v>238</v>
      </c>
      <c r="C239" t="s" s="102">
        <v>697</v>
      </c>
      <c r="D239" t="s" s="102">
        <v>136</v>
      </c>
      <c r="E239" t="s" s="102">
        <v>136</v>
      </c>
      <c r="F239" t="s" s="102">
        <v>698</v>
      </c>
      <c r="G239" t="s" s="96">
        <v>788</v>
      </c>
      <c r="H239" t="s" s="96">
        <v>789</v>
      </c>
      <c r="I239" t="s" s="96">
        <v>790</v>
      </c>
      <c r="J239" t="s" s="96">
        <v>791</v>
      </c>
      <c r="K239" t="s" s="96">
        <v>792</v>
      </c>
      <c r="L239" t="s" s="96">
        <v>735</v>
      </c>
      <c r="M239" t="s" s="96">
        <v>704</v>
      </c>
      <c r="N239" t="s" s="96">
        <v>244</v>
      </c>
      <c r="O239" t="s" s="96">
        <v>264</v>
      </c>
      <c r="P239" t="s" s="96">
        <v>705</v>
      </c>
      <c r="Q239" t="s" s="98">
        <v>706</v>
      </c>
    </row>
    <row r="240" ht="42" customHeight="1">
      <c r="A240" t="s" s="101">
        <v>793</v>
      </c>
      <c r="B240" t="s" s="102">
        <v>238</v>
      </c>
      <c r="C240" t="s" s="102">
        <v>697</v>
      </c>
      <c r="D240" t="s" s="102">
        <v>131</v>
      </c>
      <c r="E240" t="s" s="102">
        <v>131</v>
      </c>
      <c r="F240" t="s" s="102">
        <v>698</v>
      </c>
      <c r="G240" t="s" s="96">
        <v>794</v>
      </c>
      <c r="H240" t="s" s="96">
        <v>795</v>
      </c>
      <c r="I240" t="s" s="96">
        <v>796</v>
      </c>
      <c r="J240" t="s" s="96">
        <v>797</v>
      </c>
      <c r="K240" t="s" s="96">
        <v>798</v>
      </c>
      <c r="L240" t="s" s="96">
        <v>99</v>
      </c>
      <c r="M240" t="s" s="96">
        <v>704</v>
      </c>
      <c r="N240" t="s" s="96">
        <v>244</v>
      </c>
      <c r="O240" t="s" s="96">
        <v>264</v>
      </c>
      <c r="P240" t="s" s="96">
        <v>799</v>
      </c>
      <c r="Q240" t="s" s="98">
        <v>706</v>
      </c>
    </row>
    <row r="241" ht="42" customHeight="1">
      <c r="A241" t="s" s="101">
        <v>800</v>
      </c>
      <c r="B241" t="s" s="102">
        <v>238</v>
      </c>
      <c r="C241" t="s" s="102">
        <v>697</v>
      </c>
      <c r="D241" t="s" s="102">
        <v>131</v>
      </c>
      <c r="E241" t="s" s="102">
        <v>131</v>
      </c>
      <c r="F241" t="s" s="102">
        <v>698</v>
      </c>
      <c r="G241" t="s" s="96">
        <v>801</v>
      </c>
      <c r="H241" t="s" s="96">
        <v>802</v>
      </c>
      <c r="I241" t="s" s="96">
        <v>803</v>
      </c>
      <c r="J241" t="s" s="96">
        <v>804</v>
      </c>
      <c r="K241" t="s" s="96">
        <v>805</v>
      </c>
      <c r="L241" t="s" s="96">
        <v>735</v>
      </c>
      <c r="M241" t="s" s="96">
        <v>704</v>
      </c>
      <c r="N241" t="s" s="96">
        <v>244</v>
      </c>
      <c r="O241" t="s" s="96">
        <v>264</v>
      </c>
      <c r="P241" t="s" s="96">
        <v>799</v>
      </c>
      <c r="Q241" t="s" s="98">
        <v>706</v>
      </c>
    </row>
    <row r="242" ht="42" customHeight="1">
      <c r="A242" t="s" s="101">
        <v>806</v>
      </c>
      <c r="B242" t="s" s="102">
        <v>238</v>
      </c>
      <c r="C242" t="s" s="102">
        <v>697</v>
      </c>
      <c r="D242" t="s" s="102">
        <v>131</v>
      </c>
      <c r="E242" t="s" s="102">
        <v>131</v>
      </c>
      <c r="F242" t="s" s="102">
        <v>698</v>
      </c>
      <c r="G242" t="s" s="96">
        <v>807</v>
      </c>
      <c r="H242" t="s" s="96">
        <v>808</v>
      </c>
      <c r="I242" t="s" s="96">
        <v>809</v>
      </c>
      <c r="J242" t="s" s="96">
        <v>810</v>
      </c>
      <c r="K242" t="s" s="96">
        <v>811</v>
      </c>
      <c r="L242" t="s" s="96">
        <v>812</v>
      </c>
      <c r="M242" t="s" s="96">
        <v>704</v>
      </c>
      <c r="N242" t="s" s="96">
        <v>244</v>
      </c>
      <c r="O242" t="s" s="96">
        <v>264</v>
      </c>
      <c r="P242" t="s" s="96">
        <v>799</v>
      </c>
      <c r="Q242" t="s" s="98">
        <v>706</v>
      </c>
    </row>
    <row r="243" ht="42" customHeight="1">
      <c r="A243" t="s" s="101">
        <v>813</v>
      </c>
      <c r="B243" t="s" s="102">
        <v>238</v>
      </c>
      <c r="C243" t="s" s="102">
        <v>697</v>
      </c>
      <c r="D243" t="s" s="102">
        <v>131</v>
      </c>
      <c r="E243" t="s" s="102">
        <v>131</v>
      </c>
      <c r="F243" t="s" s="102">
        <v>698</v>
      </c>
      <c r="G243" t="s" s="96">
        <v>814</v>
      </c>
      <c r="H243" t="s" s="96">
        <v>84</v>
      </c>
      <c r="I243" t="s" s="96">
        <v>735</v>
      </c>
      <c r="J243" t="s" s="96">
        <v>99</v>
      </c>
      <c r="K243" t="s" s="96">
        <v>815</v>
      </c>
      <c r="L243" t="s" s="96">
        <v>84</v>
      </c>
      <c r="M243" t="s" s="96">
        <v>704</v>
      </c>
      <c r="N243" t="s" s="96">
        <v>244</v>
      </c>
      <c r="O243" t="s" s="96">
        <v>264</v>
      </c>
      <c r="P243" t="s" s="96">
        <v>799</v>
      </c>
      <c r="Q243" t="s" s="98">
        <v>706</v>
      </c>
    </row>
    <row r="244" ht="42" customHeight="1">
      <c r="A244" t="s" s="101">
        <v>816</v>
      </c>
      <c r="B244" t="s" s="102">
        <v>238</v>
      </c>
      <c r="C244" t="s" s="102">
        <v>697</v>
      </c>
      <c r="D244" t="s" s="102">
        <v>131</v>
      </c>
      <c r="E244" t="s" s="102">
        <v>131</v>
      </c>
      <c r="F244" t="s" s="102">
        <v>698</v>
      </c>
      <c r="G244" t="s" s="96">
        <v>817</v>
      </c>
      <c r="H244" t="s" s="96">
        <v>818</v>
      </c>
      <c r="I244" t="s" s="96">
        <v>819</v>
      </c>
      <c r="J244" t="s" s="96">
        <v>820</v>
      </c>
      <c r="K244" t="s" s="96">
        <v>821</v>
      </c>
      <c r="L244" t="s" s="96">
        <v>735</v>
      </c>
      <c r="M244" t="s" s="96">
        <v>704</v>
      </c>
      <c r="N244" t="s" s="96">
        <v>244</v>
      </c>
      <c r="O244" t="s" s="96">
        <v>264</v>
      </c>
      <c r="P244" t="s" s="96">
        <v>799</v>
      </c>
      <c r="Q244" t="s" s="98">
        <v>706</v>
      </c>
    </row>
    <row r="245" ht="42" customHeight="1">
      <c r="A245" t="s" s="101">
        <v>822</v>
      </c>
      <c r="B245" t="s" s="102">
        <v>238</v>
      </c>
      <c r="C245" t="s" s="102">
        <v>697</v>
      </c>
      <c r="D245" t="s" s="102">
        <v>131</v>
      </c>
      <c r="E245" t="s" s="102">
        <v>131</v>
      </c>
      <c r="F245" t="s" s="102">
        <v>698</v>
      </c>
      <c r="G245" t="s" s="96">
        <v>823</v>
      </c>
      <c r="H245" t="s" s="96">
        <v>824</v>
      </c>
      <c r="I245" t="s" s="96">
        <v>825</v>
      </c>
      <c r="J245" t="s" s="96">
        <v>826</v>
      </c>
      <c r="K245" t="s" s="96">
        <v>815</v>
      </c>
      <c r="L245" t="s" s="96">
        <v>735</v>
      </c>
      <c r="M245" t="s" s="96">
        <v>704</v>
      </c>
      <c r="N245" t="s" s="96">
        <v>244</v>
      </c>
      <c r="O245" t="s" s="96">
        <v>264</v>
      </c>
      <c r="P245" t="s" s="96">
        <v>799</v>
      </c>
      <c r="Q245" t="s" s="98">
        <v>706</v>
      </c>
    </row>
    <row r="246" ht="42" customHeight="1">
      <c r="A246" t="s" s="101">
        <v>827</v>
      </c>
      <c r="B246" t="s" s="102">
        <v>238</v>
      </c>
      <c r="C246" t="s" s="102">
        <v>697</v>
      </c>
      <c r="D246" t="s" s="102">
        <v>131</v>
      </c>
      <c r="E246" t="s" s="102">
        <v>131</v>
      </c>
      <c r="F246" t="s" s="102">
        <v>698</v>
      </c>
      <c r="G246" t="s" s="96">
        <v>828</v>
      </c>
      <c r="H246" t="s" s="96">
        <v>829</v>
      </c>
      <c r="I246" t="s" s="96">
        <v>830</v>
      </c>
      <c r="J246" t="s" s="96">
        <v>831</v>
      </c>
      <c r="K246" t="s" s="96">
        <v>815</v>
      </c>
      <c r="L246" t="s" s="96">
        <v>735</v>
      </c>
      <c r="M246" t="s" s="96">
        <v>704</v>
      </c>
      <c r="N246" t="s" s="96">
        <v>244</v>
      </c>
      <c r="O246" t="s" s="96">
        <v>264</v>
      </c>
      <c r="P246" t="s" s="96">
        <v>799</v>
      </c>
      <c r="Q246" t="s" s="98">
        <v>706</v>
      </c>
    </row>
    <row r="247" ht="42" customHeight="1">
      <c r="A247" t="s" s="101">
        <v>832</v>
      </c>
      <c r="B247" t="s" s="102">
        <v>238</v>
      </c>
      <c r="C247" t="s" s="102">
        <v>697</v>
      </c>
      <c r="D247" t="s" s="102">
        <v>131</v>
      </c>
      <c r="E247" t="s" s="102">
        <v>131</v>
      </c>
      <c r="F247" t="s" s="102">
        <v>698</v>
      </c>
      <c r="G247" t="s" s="96">
        <v>833</v>
      </c>
      <c r="H247" t="s" s="96">
        <v>834</v>
      </c>
      <c r="I247" t="s" s="96">
        <v>835</v>
      </c>
      <c r="J247" t="s" s="96">
        <v>815</v>
      </c>
      <c r="K247" t="s" s="96">
        <v>836</v>
      </c>
      <c r="L247" t="s" s="96">
        <v>84</v>
      </c>
      <c r="M247" t="s" s="96">
        <v>704</v>
      </c>
      <c r="N247" t="s" s="96">
        <v>244</v>
      </c>
      <c r="O247" t="s" s="96">
        <v>264</v>
      </c>
      <c r="P247" t="s" s="96">
        <v>799</v>
      </c>
      <c r="Q247" t="s" s="98">
        <v>706</v>
      </c>
    </row>
    <row r="248" ht="42" customHeight="1">
      <c r="A248" t="s" s="101">
        <v>837</v>
      </c>
      <c r="B248" t="s" s="102">
        <v>238</v>
      </c>
      <c r="C248" t="s" s="102">
        <v>697</v>
      </c>
      <c r="D248" t="s" s="102">
        <v>131</v>
      </c>
      <c r="E248" t="s" s="102">
        <v>131</v>
      </c>
      <c r="F248" t="s" s="102">
        <v>698</v>
      </c>
      <c r="G248" t="s" s="96">
        <v>838</v>
      </c>
      <c r="H248" t="s" s="96">
        <v>839</v>
      </c>
      <c r="I248" t="s" s="96">
        <v>840</v>
      </c>
      <c r="J248" t="s" s="96">
        <v>841</v>
      </c>
      <c r="K248" t="s" s="96">
        <v>842</v>
      </c>
      <c r="L248" t="s" s="96">
        <v>735</v>
      </c>
      <c r="M248" t="s" s="96">
        <v>704</v>
      </c>
      <c r="N248" t="s" s="96">
        <v>244</v>
      </c>
      <c r="O248" t="s" s="96">
        <v>264</v>
      </c>
      <c r="P248" t="s" s="96">
        <v>799</v>
      </c>
      <c r="Q248" t="s" s="98">
        <v>706</v>
      </c>
    </row>
    <row r="249" ht="42" customHeight="1">
      <c r="A249" t="s" s="101">
        <v>843</v>
      </c>
      <c r="B249" t="s" s="102">
        <v>238</v>
      </c>
      <c r="C249" t="s" s="102">
        <v>697</v>
      </c>
      <c r="D249" t="s" s="102">
        <v>131</v>
      </c>
      <c r="E249" t="s" s="102">
        <v>131</v>
      </c>
      <c r="F249" t="s" s="102">
        <v>698</v>
      </c>
      <c r="G249" t="s" s="96">
        <v>844</v>
      </c>
      <c r="H249" t="s" s="96">
        <v>845</v>
      </c>
      <c r="I249" t="s" s="96">
        <v>846</v>
      </c>
      <c r="J249" t="s" s="96">
        <v>847</v>
      </c>
      <c r="K249" t="s" s="96">
        <v>848</v>
      </c>
      <c r="L249" t="s" s="96">
        <v>735</v>
      </c>
      <c r="M249" t="s" s="96">
        <v>704</v>
      </c>
      <c r="N249" t="s" s="96">
        <v>244</v>
      </c>
      <c r="O249" t="s" s="96">
        <v>264</v>
      </c>
      <c r="P249" t="s" s="96">
        <v>799</v>
      </c>
      <c r="Q249" t="s" s="98">
        <v>706</v>
      </c>
    </row>
    <row r="250" ht="42" customHeight="1">
      <c r="A250" t="s" s="101">
        <v>849</v>
      </c>
      <c r="B250" t="s" s="102">
        <v>238</v>
      </c>
      <c r="C250" t="s" s="102">
        <v>697</v>
      </c>
      <c r="D250" t="s" s="102">
        <v>131</v>
      </c>
      <c r="E250" t="s" s="102">
        <v>131</v>
      </c>
      <c r="F250" t="s" s="102">
        <v>698</v>
      </c>
      <c r="G250" t="s" s="96">
        <v>850</v>
      </c>
      <c r="H250" t="s" s="96">
        <v>851</v>
      </c>
      <c r="I250" t="s" s="96">
        <v>852</v>
      </c>
      <c r="J250" t="s" s="96">
        <v>853</v>
      </c>
      <c r="K250" t="s" s="96">
        <v>854</v>
      </c>
      <c r="L250" t="s" s="96">
        <v>84</v>
      </c>
      <c r="M250" t="s" s="96">
        <v>704</v>
      </c>
      <c r="N250" t="s" s="96">
        <v>244</v>
      </c>
      <c r="O250" t="s" s="96">
        <v>264</v>
      </c>
      <c r="P250" t="s" s="96">
        <v>799</v>
      </c>
      <c r="Q250" t="s" s="98">
        <v>706</v>
      </c>
    </row>
    <row r="251" ht="42" customHeight="1">
      <c r="A251" t="s" s="101">
        <v>855</v>
      </c>
      <c r="B251" t="s" s="102">
        <v>238</v>
      </c>
      <c r="C251" t="s" s="102">
        <v>697</v>
      </c>
      <c r="D251" t="s" s="102">
        <v>131</v>
      </c>
      <c r="E251" t="s" s="102">
        <v>131</v>
      </c>
      <c r="F251" t="s" s="102">
        <v>698</v>
      </c>
      <c r="G251" t="s" s="96">
        <v>856</v>
      </c>
      <c r="H251" t="s" s="96">
        <v>857</v>
      </c>
      <c r="I251" t="s" s="96">
        <v>858</v>
      </c>
      <c r="J251" t="s" s="96">
        <v>859</v>
      </c>
      <c r="K251" t="s" s="96">
        <v>860</v>
      </c>
      <c r="L251" t="s" s="96">
        <v>812</v>
      </c>
      <c r="M251" t="s" s="96">
        <v>704</v>
      </c>
      <c r="N251" t="s" s="96">
        <v>244</v>
      </c>
      <c r="O251" t="s" s="96">
        <v>264</v>
      </c>
      <c r="P251" t="s" s="96">
        <v>799</v>
      </c>
      <c r="Q251" t="s" s="98">
        <v>706</v>
      </c>
    </row>
    <row r="252" ht="42" customHeight="1">
      <c r="A252" t="s" s="101">
        <v>861</v>
      </c>
      <c r="B252" t="s" s="102">
        <v>238</v>
      </c>
      <c r="C252" t="s" s="102">
        <v>697</v>
      </c>
      <c r="D252" t="s" s="102">
        <v>131</v>
      </c>
      <c r="E252" t="s" s="102">
        <v>131</v>
      </c>
      <c r="F252" t="s" s="102">
        <v>698</v>
      </c>
      <c r="G252" t="s" s="96">
        <v>862</v>
      </c>
      <c r="H252" t="s" s="96">
        <v>732</v>
      </c>
      <c r="I252" t="s" s="96">
        <v>700</v>
      </c>
      <c r="J252" t="s" s="96">
        <v>701</v>
      </c>
      <c r="K252" t="s" s="96">
        <v>702</v>
      </c>
      <c r="L252" t="s" s="96">
        <v>735</v>
      </c>
      <c r="M252" t="s" s="96">
        <v>704</v>
      </c>
      <c r="N252" t="s" s="96">
        <v>244</v>
      </c>
      <c r="O252" t="s" s="96">
        <v>264</v>
      </c>
      <c r="P252" t="s" s="96">
        <v>799</v>
      </c>
      <c r="Q252" t="s" s="98">
        <v>706</v>
      </c>
    </row>
    <row r="253" ht="42" customHeight="1">
      <c r="A253" t="s" s="101">
        <v>863</v>
      </c>
      <c r="B253" t="s" s="102">
        <v>238</v>
      </c>
      <c r="C253" t="s" s="102">
        <v>697</v>
      </c>
      <c r="D253" t="s" s="102">
        <v>131</v>
      </c>
      <c r="E253" t="s" s="102">
        <v>131</v>
      </c>
      <c r="F253" t="s" s="102">
        <v>698</v>
      </c>
      <c r="G253" t="s" s="96">
        <v>864</v>
      </c>
      <c r="H253" t="s" s="96">
        <v>865</v>
      </c>
      <c r="I253" t="s" s="96">
        <v>866</v>
      </c>
      <c r="J253" t="s" s="96">
        <v>867</v>
      </c>
      <c r="K253" t="s" s="96">
        <v>815</v>
      </c>
      <c r="L253" t="s" s="96">
        <v>735</v>
      </c>
      <c r="M253" t="s" s="96">
        <v>704</v>
      </c>
      <c r="N253" t="s" s="96">
        <v>244</v>
      </c>
      <c r="O253" t="s" s="96">
        <v>264</v>
      </c>
      <c r="P253" t="s" s="96">
        <v>799</v>
      </c>
      <c r="Q253" t="s" s="98">
        <v>706</v>
      </c>
    </row>
    <row r="254" ht="42" customHeight="1">
      <c r="A254" t="s" s="101">
        <v>868</v>
      </c>
      <c r="B254" t="s" s="102">
        <v>238</v>
      </c>
      <c r="C254" t="s" s="102">
        <v>697</v>
      </c>
      <c r="D254" t="s" s="102">
        <v>131</v>
      </c>
      <c r="E254" t="s" s="102">
        <v>131</v>
      </c>
      <c r="F254" t="s" s="102">
        <v>698</v>
      </c>
      <c r="G254" t="s" s="96">
        <v>869</v>
      </c>
      <c r="H254" t="s" s="96">
        <v>870</v>
      </c>
      <c r="I254" t="s" s="96">
        <v>871</v>
      </c>
      <c r="J254" t="s" s="96">
        <v>872</v>
      </c>
      <c r="K254" t="s" s="96">
        <v>815</v>
      </c>
      <c r="L254" t="s" s="96">
        <v>735</v>
      </c>
      <c r="M254" t="s" s="96">
        <v>704</v>
      </c>
      <c r="N254" t="s" s="96">
        <v>244</v>
      </c>
      <c r="O254" t="s" s="96">
        <v>264</v>
      </c>
      <c r="P254" t="s" s="96">
        <v>799</v>
      </c>
      <c r="Q254" t="s" s="98">
        <v>706</v>
      </c>
    </row>
    <row r="255" ht="42" customHeight="1">
      <c r="A255" t="s" s="101">
        <v>873</v>
      </c>
      <c r="B255" t="s" s="102">
        <v>238</v>
      </c>
      <c r="C255" t="s" s="102">
        <v>697</v>
      </c>
      <c r="D255" t="s" s="102">
        <v>131</v>
      </c>
      <c r="E255" t="s" s="102">
        <v>131</v>
      </c>
      <c r="F255" t="s" s="102">
        <v>698</v>
      </c>
      <c r="G255" t="s" s="96">
        <v>874</v>
      </c>
      <c r="H255" t="s" s="96">
        <v>875</v>
      </c>
      <c r="I255" t="s" s="96">
        <v>876</v>
      </c>
      <c r="J255" t="s" s="96">
        <v>809</v>
      </c>
      <c r="K255" t="s" s="96">
        <v>815</v>
      </c>
      <c r="L255" t="s" s="96">
        <v>84</v>
      </c>
      <c r="M255" t="s" s="96">
        <v>704</v>
      </c>
      <c r="N255" t="s" s="96">
        <v>244</v>
      </c>
      <c r="O255" t="s" s="96">
        <v>264</v>
      </c>
      <c r="P255" t="s" s="96">
        <v>799</v>
      </c>
      <c r="Q255" t="s" s="98">
        <v>706</v>
      </c>
    </row>
    <row r="256" ht="42" customHeight="1">
      <c r="A256" t="s" s="101">
        <v>877</v>
      </c>
      <c r="B256" t="s" s="102">
        <v>238</v>
      </c>
      <c r="C256" t="s" s="102">
        <v>697</v>
      </c>
      <c r="D256" t="s" s="102">
        <v>131</v>
      </c>
      <c r="E256" t="s" s="102">
        <v>131</v>
      </c>
      <c r="F256" t="s" s="102">
        <v>698</v>
      </c>
      <c r="G256" t="s" s="96">
        <v>878</v>
      </c>
      <c r="H256" t="s" s="96">
        <v>879</v>
      </c>
      <c r="I256" t="s" s="96">
        <v>880</v>
      </c>
      <c r="J256" t="s" s="96">
        <v>881</v>
      </c>
      <c r="K256" t="s" s="96">
        <v>882</v>
      </c>
      <c r="L256" t="s" s="96">
        <v>735</v>
      </c>
      <c r="M256" t="s" s="96">
        <v>704</v>
      </c>
      <c r="N256" t="s" s="96">
        <v>244</v>
      </c>
      <c r="O256" t="s" s="96">
        <v>264</v>
      </c>
      <c r="P256" t="s" s="96">
        <v>799</v>
      </c>
      <c r="Q256" t="s" s="98">
        <v>706</v>
      </c>
    </row>
    <row r="257" ht="42" customHeight="1">
      <c r="A257" t="s" s="101">
        <v>883</v>
      </c>
      <c r="B257" t="s" s="102">
        <v>238</v>
      </c>
      <c r="C257" t="s" s="102">
        <v>697</v>
      </c>
      <c r="D257" t="s" s="102">
        <v>131</v>
      </c>
      <c r="E257" t="s" s="102">
        <v>131</v>
      </c>
      <c r="F257" t="s" s="102">
        <v>698</v>
      </c>
      <c r="G257" t="s" s="96">
        <v>884</v>
      </c>
      <c r="H257" t="s" s="96">
        <v>84</v>
      </c>
      <c r="I257" t="s" s="96">
        <v>735</v>
      </c>
      <c r="J257" t="s" s="96">
        <v>99</v>
      </c>
      <c r="K257" t="s" s="96">
        <v>815</v>
      </c>
      <c r="L257" t="s" s="96">
        <v>99</v>
      </c>
      <c r="M257" t="s" s="96">
        <v>704</v>
      </c>
      <c r="N257" t="s" s="96">
        <v>244</v>
      </c>
      <c r="O257" t="s" s="96">
        <v>264</v>
      </c>
      <c r="P257" t="s" s="96">
        <v>799</v>
      </c>
      <c r="Q257" t="s" s="98">
        <v>706</v>
      </c>
    </row>
    <row r="258" ht="42" customHeight="1">
      <c r="A258" t="s" s="101">
        <v>885</v>
      </c>
      <c r="B258" t="s" s="102">
        <v>238</v>
      </c>
      <c r="C258" t="s" s="102">
        <v>697</v>
      </c>
      <c r="D258" t="s" s="102">
        <v>131</v>
      </c>
      <c r="E258" t="s" s="102">
        <v>131</v>
      </c>
      <c r="F258" t="s" s="102">
        <v>698</v>
      </c>
      <c r="G258" t="s" s="96">
        <v>886</v>
      </c>
      <c r="H258" t="s" s="96">
        <v>887</v>
      </c>
      <c r="I258" t="s" s="96">
        <v>888</v>
      </c>
      <c r="J258" t="s" s="96">
        <v>802</v>
      </c>
      <c r="K258" t="s" s="96">
        <v>889</v>
      </c>
      <c r="L258" t="s" s="96">
        <v>99</v>
      </c>
      <c r="M258" t="s" s="96">
        <v>704</v>
      </c>
      <c r="N258" t="s" s="96">
        <v>244</v>
      </c>
      <c r="O258" t="s" s="96">
        <v>264</v>
      </c>
      <c r="P258" t="s" s="96">
        <v>799</v>
      </c>
      <c r="Q258" t="s" s="98">
        <v>706</v>
      </c>
    </row>
    <row r="259" ht="42" customHeight="1">
      <c r="A259" t="s" s="101">
        <v>890</v>
      </c>
      <c r="B259" t="s" s="102">
        <v>238</v>
      </c>
      <c r="C259" t="s" s="102">
        <v>697</v>
      </c>
      <c r="D259" t="s" s="102">
        <v>131</v>
      </c>
      <c r="E259" t="s" s="102">
        <v>131</v>
      </c>
      <c r="F259" t="s" s="102">
        <v>698</v>
      </c>
      <c r="G259" t="s" s="96">
        <v>891</v>
      </c>
      <c r="H259" t="s" s="96">
        <v>892</v>
      </c>
      <c r="I259" t="s" s="96">
        <v>893</v>
      </c>
      <c r="J259" t="s" s="96">
        <v>894</v>
      </c>
      <c r="K259" t="s" s="96">
        <v>895</v>
      </c>
      <c r="L259" t="s" s="96">
        <v>735</v>
      </c>
      <c r="M259" t="s" s="96">
        <v>704</v>
      </c>
      <c r="N259" t="s" s="96">
        <v>244</v>
      </c>
      <c r="O259" t="s" s="96">
        <v>264</v>
      </c>
      <c r="P259" t="s" s="96">
        <v>799</v>
      </c>
      <c r="Q259" t="s" s="98">
        <v>706</v>
      </c>
    </row>
    <row r="260" ht="42" customHeight="1">
      <c r="A260" t="s" s="101">
        <v>896</v>
      </c>
      <c r="B260" t="s" s="102">
        <v>238</v>
      </c>
      <c r="C260" t="s" s="102">
        <v>697</v>
      </c>
      <c r="D260" t="s" s="102">
        <v>141</v>
      </c>
      <c r="E260" t="s" s="102">
        <v>141</v>
      </c>
      <c r="F260" t="s" s="102">
        <v>698</v>
      </c>
      <c r="G260" t="s" s="96">
        <v>897</v>
      </c>
      <c r="H260" t="s" s="96">
        <v>898</v>
      </c>
      <c r="I260" t="s" s="96">
        <v>899</v>
      </c>
      <c r="J260" t="s" s="96">
        <v>900</v>
      </c>
      <c r="K260" t="s" s="96">
        <v>901</v>
      </c>
      <c r="L260" t="s" s="96">
        <v>735</v>
      </c>
      <c r="M260" t="s" s="96">
        <v>704</v>
      </c>
      <c r="N260" t="s" s="96">
        <v>244</v>
      </c>
      <c r="O260" t="s" s="96">
        <v>264</v>
      </c>
      <c r="P260" t="s" s="96">
        <v>902</v>
      </c>
      <c r="Q260" t="s" s="98">
        <v>706</v>
      </c>
    </row>
    <row r="261" ht="42" customHeight="1">
      <c r="A261" t="s" s="101">
        <v>903</v>
      </c>
      <c r="B261" t="s" s="102">
        <v>238</v>
      </c>
      <c r="C261" t="s" s="102">
        <v>697</v>
      </c>
      <c r="D261" t="s" s="102">
        <v>141</v>
      </c>
      <c r="E261" t="s" s="102">
        <v>141</v>
      </c>
      <c r="F261" t="s" s="102">
        <v>698</v>
      </c>
      <c r="G261" t="s" s="96">
        <v>904</v>
      </c>
      <c r="H261" t="s" s="96">
        <v>905</v>
      </c>
      <c r="I261" t="s" s="96">
        <v>906</v>
      </c>
      <c r="J261" t="s" s="96">
        <v>907</v>
      </c>
      <c r="K261" t="s" s="96">
        <v>908</v>
      </c>
      <c r="L261" t="s" s="96">
        <v>99</v>
      </c>
      <c r="M261" t="s" s="96">
        <v>704</v>
      </c>
      <c r="N261" t="s" s="96">
        <v>244</v>
      </c>
      <c r="O261" t="s" s="96">
        <v>264</v>
      </c>
      <c r="P261" t="s" s="96">
        <v>902</v>
      </c>
      <c r="Q261" t="s" s="98">
        <v>706</v>
      </c>
    </row>
    <row r="262" ht="42" customHeight="1">
      <c r="A262" t="s" s="101">
        <v>909</v>
      </c>
      <c r="B262" t="s" s="102">
        <v>238</v>
      </c>
      <c r="C262" t="s" s="102">
        <v>697</v>
      </c>
      <c r="D262" t="s" s="102">
        <v>141</v>
      </c>
      <c r="E262" t="s" s="102">
        <v>141</v>
      </c>
      <c r="F262" t="s" s="102">
        <v>698</v>
      </c>
      <c r="G262" t="s" s="96">
        <v>910</v>
      </c>
      <c r="H262" t="s" s="96">
        <v>911</v>
      </c>
      <c r="I262" t="s" s="96">
        <v>912</v>
      </c>
      <c r="J262" t="s" s="96">
        <v>913</v>
      </c>
      <c r="K262" t="s" s="96">
        <v>914</v>
      </c>
      <c r="L262" t="s" s="96">
        <v>735</v>
      </c>
      <c r="M262" t="s" s="96">
        <v>704</v>
      </c>
      <c r="N262" t="s" s="96">
        <v>244</v>
      </c>
      <c r="O262" t="s" s="96">
        <v>264</v>
      </c>
      <c r="P262" t="s" s="96">
        <v>902</v>
      </c>
      <c r="Q262" t="s" s="98">
        <v>706</v>
      </c>
    </row>
    <row r="263" ht="42" customHeight="1">
      <c r="A263" t="s" s="101">
        <v>915</v>
      </c>
      <c r="B263" t="s" s="102">
        <v>238</v>
      </c>
      <c r="C263" t="s" s="102">
        <v>697</v>
      </c>
      <c r="D263" t="s" s="102">
        <v>141</v>
      </c>
      <c r="E263" t="s" s="102">
        <v>141</v>
      </c>
      <c r="F263" t="s" s="102">
        <v>698</v>
      </c>
      <c r="G263" t="s" s="96">
        <v>916</v>
      </c>
      <c r="H263" t="s" s="96">
        <v>917</v>
      </c>
      <c r="I263" t="s" s="96">
        <v>918</v>
      </c>
      <c r="J263" t="s" s="96">
        <v>919</v>
      </c>
      <c r="K263" t="s" s="96">
        <v>920</v>
      </c>
      <c r="L263" t="s" s="96">
        <v>84</v>
      </c>
      <c r="M263" t="s" s="96">
        <v>704</v>
      </c>
      <c r="N263" t="s" s="96">
        <v>244</v>
      </c>
      <c r="O263" t="s" s="96">
        <v>264</v>
      </c>
      <c r="P263" t="s" s="96">
        <v>902</v>
      </c>
      <c r="Q263" t="s" s="98">
        <v>706</v>
      </c>
    </row>
    <row r="264" ht="42" customHeight="1">
      <c r="A264" t="s" s="101">
        <v>921</v>
      </c>
      <c r="B264" t="s" s="102">
        <v>238</v>
      </c>
      <c r="C264" t="s" s="102">
        <v>697</v>
      </c>
      <c r="D264" t="s" s="102">
        <v>141</v>
      </c>
      <c r="E264" t="s" s="102">
        <v>141</v>
      </c>
      <c r="F264" t="s" s="102">
        <v>698</v>
      </c>
      <c r="G264" t="s" s="96">
        <v>922</v>
      </c>
      <c r="H264" t="s" s="96">
        <v>923</v>
      </c>
      <c r="I264" t="s" s="96">
        <v>924</v>
      </c>
      <c r="J264" t="s" s="96">
        <v>925</v>
      </c>
      <c r="K264" t="s" s="96">
        <v>926</v>
      </c>
      <c r="L264" t="s" s="96">
        <v>735</v>
      </c>
      <c r="M264" t="s" s="96">
        <v>704</v>
      </c>
      <c r="N264" t="s" s="96">
        <v>244</v>
      </c>
      <c r="O264" t="s" s="96">
        <v>264</v>
      </c>
      <c r="P264" t="s" s="96">
        <v>902</v>
      </c>
      <c r="Q264" t="s" s="98">
        <v>706</v>
      </c>
    </row>
    <row r="265" ht="42" customHeight="1">
      <c r="A265" t="s" s="101">
        <v>927</v>
      </c>
      <c r="B265" t="s" s="102">
        <v>238</v>
      </c>
      <c r="C265" t="s" s="102">
        <v>697</v>
      </c>
      <c r="D265" t="s" s="102">
        <v>141</v>
      </c>
      <c r="E265" t="s" s="102">
        <v>141</v>
      </c>
      <c r="F265" t="s" s="102">
        <v>698</v>
      </c>
      <c r="G265" t="s" s="96">
        <v>928</v>
      </c>
      <c r="H265" t="s" s="96">
        <v>929</v>
      </c>
      <c r="I265" t="s" s="96">
        <v>930</v>
      </c>
      <c r="J265" t="s" s="96">
        <v>931</v>
      </c>
      <c r="K265" t="s" s="96">
        <v>932</v>
      </c>
      <c r="L265" t="s" s="96">
        <v>735</v>
      </c>
      <c r="M265" t="s" s="96">
        <v>704</v>
      </c>
      <c r="N265" t="s" s="96">
        <v>244</v>
      </c>
      <c r="O265" t="s" s="96">
        <v>264</v>
      </c>
      <c r="P265" t="s" s="96">
        <v>902</v>
      </c>
      <c r="Q265" t="s" s="98">
        <v>706</v>
      </c>
    </row>
    <row r="266" ht="42" customHeight="1">
      <c r="A266" t="s" s="101">
        <v>933</v>
      </c>
      <c r="B266" t="s" s="102">
        <v>238</v>
      </c>
      <c r="C266" t="s" s="102">
        <v>697</v>
      </c>
      <c r="D266" t="s" s="102">
        <v>141</v>
      </c>
      <c r="E266" t="s" s="102">
        <v>141</v>
      </c>
      <c r="F266" t="s" s="102">
        <v>698</v>
      </c>
      <c r="G266" t="s" s="96">
        <v>934</v>
      </c>
      <c r="H266" t="s" s="96">
        <v>935</v>
      </c>
      <c r="I266" t="s" s="96">
        <v>936</v>
      </c>
      <c r="J266" t="s" s="96">
        <v>937</v>
      </c>
      <c r="K266" t="s" s="96">
        <v>938</v>
      </c>
      <c r="L266" t="s" s="96">
        <v>735</v>
      </c>
      <c r="M266" t="s" s="96">
        <v>704</v>
      </c>
      <c r="N266" t="s" s="96">
        <v>244</v>
      </c>
      <c r="O266" t="s" s="96">
        <v>264</v>
      </c>
      <c r="P266" t="s" s="96">
        <v>902</v>
      </c>
      <c r="Q266" t="s" s="98">
        <v>706</v>
      </c>
    </row>
    <row r="267" ht="42" customHeight="1">
      <c r="A267" t="s" s="101">
        <v>939</v>
      </c>
      <c r="B267" t="s" s="102">
        <v>238</v>
      </c>
      <c r="C267" t="s" s="102">
        <v>697</v>
      </c>
      <c r="D267" t="s" s="102">
        <v>141</v>
      </c>
      <c r="E267" t="s" s="102">
        <v>141</v>
      </c>
      <c r="F267" t="s" s="102">
        <v>698</v>
      </c>
      <c r="G267" t="s" s="96">
        <v>940</v>
      </c>
      <c r="H267" t="s" s="96">
        <v>941</v>
      </c>
      <c r="I267" t="s" s="96">
        <v>942</v>
      </c>
      <c r="J267" t="s" s="96">
        <v>943</v>
      </c>
      <c r="K267" t="s" s="96">
        <v>901</v>
      </c>
      <c r="L267" t="s" s="96">
        <v>84</v>
      </c>
      <c r="M267" t="s" s="96">
        <v>704</v>
      </c>
      <c r="N267" t="s" s="96">
        <v>244</v>
      </c>
      <c r="O267" t="s" s="96">
        <v>264</v>
      </c>
      <c r="P267" t="s" s="96">
        <v>902</v>
      </c>
      <c r="Q267" t="s" s="98">
        <v>706</v>
      </c>
    </row>
    <row r="268" ht="42" customHeight="1">
      <c r="A268" t="s" s="101">
        <v>944</v>
      </c>
      <c r="B268" t="s" s="102">
        <v>238</v>
      </c>
      <c r="C268" t="s" s="102">
        <v>697</v>
      </c>
      <c r="D268" t="s" s="102">
        <v>141</v>
      </c>
      <c r="E268" t="s" s="102">
        <v>141</v>
      </c>
      <c r="F268" t="s" s="102">
        <v>698</v>
      </c>
      <c r="G268" t="s" s="96">
        <v>945</v>
      </c>
      <c r="H268" t="s" s="96">
        <v>946</v>
      </c>
      <c r="I268" t="s" s="96">
        <v>947</v>
      </c>
      <c r="J268" t="s" s="96">
        <v>948</v>
      </c>
      <c r="K268" t="s" s="96">
        <v>949</v>
      </c>
      <c r="L268" t="s" s="96">
        <v>812</v>
      </c>
      <c r="M268" t="s" s="96">
        <v>704</v>
      </c>
      <c r="N268" t="s" s="96">
        <v>244</v>
      </c>
      <c r="O268" t="s" s="96">
        <v>264</v>
      </c>
      <c r="P268" t="s" s="96">
        <v>902</v>
      </c>
      <c r="Q268" t="s" s="98">
        <v>706</v>
      </c>
    </row>
    <row r="269" ht="42" customHeight="1">
      <c r="A269" t="s" s="101">
        <v>950</v>
      </c>
      <c r="B269" t="s" s="102">
        <v>238</v>
      </c>
      <c r="C269" t="s" s="102">
        <v>697</v>
      </c>
      <c r="D269" t="s" s="102">
        <v>141</v>
      </c>
      <c r="E269" t="s" s="102">
        <v>141</v>
      </c>
      <c r="F269" t="s" s="102">
        <v>698</v>
      </c>
      <c r="G269" t="s" s="96">
        <v>951</v>
      </c>
      <c r="H269" t="s" s="96">
        <v>952</v>
      </c>
      <c r="I269" t="s" s="96">
        <v>953</v>
      </c>
      <c r="J269" t="s" s="96">
        <v>954</v>
      </c>
      <c r="K269" t="s" s="96">
        <v>955</v>
      </c>
      <c r="L269" t="s" s="96">
        <v>84</v>
      </c>
      <c r="M269" t="s" s="96">
        <v>704</v>
      </c>
      <c r="N269" t="s" s="96">
        <v>244</v>
      </c>
      <c r="O269" t="s" s="96">
        <v>264</v>
      </c>
      <c r="P269" t="s" s="96">
        <v>902</v>
      </c>
      <c r="Q269" t="s" s="98">
        <v>706</v>
      </c>
    </row>
    <row r="270" ht="42" customHeight="1">
      <c r="A270" t="s" s="101">
        <v>956</v>
      </c>
      <c r="B270" t="s" s="102">
        <v>238</v>
      </c>
      <c r="C270" t="s" s="102">
        <v>697</v>
      </c>
      <c r="D270" t="s" s="102">
        <v>141</v>
      </c>
      <c r="E270" t="s" s="102">
        <v>141</v>
      </c>
      <c r="F270" t="s" s="102">
        <v>698</v>
      </c>
      <c r="G270" t="s" s="96">
        <v>957</v>
      </c>
      <c r="H270" t="s" s="96">
        <v>958</v>
      </c>
      <c r="I270" t="s" s="96">
        <v>959</v>
      </c>
      <c r="J270" t="s" s="96">
        <v>960</v>
      </c>
      <c r="K270" t="s" s="96">
        <v>961</v>
      </c>
      <c r="L270" t="s" s="96">
        <v>84</v>
      </c>
      <c r="M270" t="s" s="96">
        <v>704</v>
      </c>
      <c r="N270" t="s" s="96">
        <v>244</v>
      </c>
      <c r="O270" t="s" s="96">
        <v>264</v>
      </c>
      <c r="P270" t="s" s="96">
        <v>902</v>
      </c>
      <c r="Q270" t="s" s="98">
        <v>706</v>
      </c>
    </row>
    <row r="271" ht="42" customHeight="1">
      <c r="A271" t="s" s="101">
        <v>962</v>
      </c>
      <c r="B271" t="s" s="102">
        <v>238</v>
      </c>
      <c r="C271" t="s" s="102">
        <v>697</v>
      </c>
      <c r="D271" t="s" s="102">
        <v>141</v>
      </c>
      <c r="E271" t="s" s="102">
        <v>141</v>
      </c>
      <c r="F271" t="s" s="102">
        <v>698</v>
      </c>
      <c r="G271" t="s" s="96">
        <v>963</v>
      </c>
      <c r="H271" t="s" s="96">
        <v>964</v>
      </c>
      <c r="I271" t="s" s="96">
        <v>965</v>
      </c>
      <c r="J271" t="s" s="96">
        <v>966</v>
      </c>
      <c r="K271" t="s" s="96">
        <v>967</v>
      </c>
      <c r="L271" t="s" s="96">
        <v>735</v>
      </c>
      <c r="M271" t="s" s="96">
        <v>704</v>
      </c>
      <c r="N271" t="s" s="96">
        <v>244</v>
      </c>
      <c r="O271" t="s" s="96">
        <v>264</v>
      </c>
      <c r="P271" t="s" s="96">
        <v>902</v>
      </c>
      <c r="Q271" t="s" s="98">
        <v>706</v>
      </c>
    </row>
    <row r="272" ht="42" customHeight="1">
      <c r="A272" t="s" s="101">
        <v>968</v>
      </c>
      <c r="B272" t="s" s="102">
        <v>238</v>
      </c>
      <c r="C272" t="s" s="102">
        <v>697</v>
      </c>
      <c r="D272" t="s" s="102">
        <v>141</v>
      </c>
      <c r="E272" t="s" s="102">
        <v>141</v>
      </c>
      <c r="F272" t="s" s="102">
        <v>698</v>
      </c>
      <c r="G272" t="s" s="96">
        <v>969</v>
      </c>
      <c r="H272" t="s" s="96">
        <v>970</v>
      </c>
      <c r="I272" t="s" s="96">
        <v>971</v>
      </c>
      <c r="J272" t="s" s="96">
        <v>893</v>
      </c>
      <c r="K272" t="s" s="96">
        <v>972</v>
      </c>
      <c r="L272" t="s" s="96">
        <v>735</v>
      </c>
      <c r="M272" t="s" s="96">
        <v>704</v>
      </c>
      <c r="N272" t="s" s="96">
        <v>244</v>
      </c>
      <c r="O272" t="s" s="96">
        <v>264</v>
      </c>
      <c r="P272" t="s" s="96">
        <v>902</v>
      </c>
      <c r="Q272" t="s" s="98">
        <v>706</v>
      </c>
    </row>
    <row r="273" ht="42" customHeight="1">
      <c r="A273" t="s" s="101">
        <v>973</v>
      </c>
      <c r="B273" t="s" s="102">
        <v>238</v>
      </c>
      <c r="C273" t="s" s="102">
        <v>697</v>
      </c>
      <c r="D273" t="s" s="102">
        <v>141</v>
      </c>
      <c r="E273" t="s" s="102">
        <v>141</v>
      </c>
      <c r="F273" t="s" s="102">
        <v>698</v>
      </c>
      <c r="G273" t="s" s="96">
        <v>974</v>
      </c>
      <c r="H273" t="s" s="96">
        <v>975</v>
      </c>
      <c r="I273" t="s" s="96">
        <v>976</v>
      </c>
      <c r="J273" t="s" s="96">
        <v>924</v>
      </c>
      <c r="K273" t="s" s="96">
        <v>977</v>
      </c>
      <c r="L273" t="s" s="96">
        <v>84</v>
      </c>
      <c r="M273" t="s" s="96">
        <v>704</v>
      </c>
      <c r="N273" t="s" s="96">
        <v>244</v>
      </c>
      <c r="O273" t="s" s="96">
        <v>264</v>
      </c>
      <c r="P273" t="s" s="96">
        <v>902</v>
      </c>
      <c r="Q273" t="s" s="98">
        <v>706</v>
      </c>
    </row>
    <row r="274" ht="42" customHeight="1">
      <c r="A274" t="s" s="101">
        <v>978</v>
      </c>
      <c r="B274" t="s" s="102">
        <v>238</v>
      </c>
      <c r="C274" t="s" s="102">
        <v>697</v>
      </c>
      <c r="D274" t="s" s="102">
        <v>141</v>
      </c>
      <c r="E274" t="s" s="102">
        <v>141</v>
      </c>
      <c r="F274" t="s" s="102">
        <v>698</v>
      </c>
      <c r="G274" t="s" s="96">
        <v>979</v>
      </c>
      <c r="H274" t="s" s="96">
        <v>980</v>
      </c>
      <c r="I274" t="s" s="96">
        <v>981</v>
      </c>
      <c r="J274" t="s" s="96">
        <v>982</v>
      </c>
      <c r="K274" t="s" s="96">
        <v>983</v>
      </c>
      <c r="L274" t="s" s="96">
        <v>735</v>
      </c>
      <c r="M274" t="s" s="96">
        <v>704</v>
      </c>
      <c r="N274" t="s" s="96">
        <v>244</v>
      </c>
      <c r="O274" t="s" s="96">
        <v>264</v>
      </c>
      <c r="P274" t="s" s="96">
        <v>902</v>
      </c>
      <c r="Q274" t="s" s="98">
        <v>706</v>
      </c>
    </row>
    <row r="275" ht="42" customHeight="1">
      <c r="A275" t="s" s="101">
        <v>984</v>
      </c>
      <c r="B275" t="s" s="102">
        <v>238</v>
      </c>
      <c r="C275" t="s" s="102">
        <v>697</v>
      </c>
      <c r="D275" t="s" s="102">
        <v>141</v>
      </c>
      <c r="E275" t="s" s="102">
        <v>141</v>
      </c>
      <c r="F275" t="s" s="102">
        <v>698</v>
      </c>
      <c r="G275" t="s" s="96">
        <v>985</v>
      </c>
      <c r="H275" t="s" s="96">
        <v>986</v>
      </c>
      <c r="I275" t="s" s="96">
        <v>987</v>
      </c>
      <c r="J275" t="s" s="96">
        <v>988</v>
      </c>
      <c r="K275" t="s" s="96">
        <v>989</v>
      </c>
      <c r="L275" t="s" s="96">
        <v>84</v>
      </c>
      <c r="M275" t="s" s="96">
        <v>704</v>
      </c>
      <c r="N275" t="s" s="96">
        <v>244</v>
      </c>
      <c r="O275" t="s" s="96">
        <v>264</v>
      </c>
      <c r="P275" t="s" s="96">
        <v>902</v>
      </c>
      <c r="Q275" t="s" s="98">
        <v>706</v>
      </c>
    </row>
    <row r="276" ht="42" customHeight="1">
      <c r="A276" t="s" s="101">
        <v>990</v>
      </c>
      <c r="B276" t="s" s="102">
        <v>238</v>
      </c>
      <c r="C276" t="s" s="102">
        <v>697</v>
      </c>
      <c r="D276" t="s" s="102">
        <v>141</v>
      </c>
      <c r="E276" t="s" s="102">
        <v>141</v>
      </c>
      <c r="F276" t="s" s="102">
        <v>698</v>
      </c>
      <c r="G276" t="s" s="96">
        <v>991</v>
      </c>
      <c r="H276" t="s" s="96">
        <v>992</v>
      </c>
      <c r="I276" t="s" s="96">
        <v>993</v>
      </c>
      <c r="J276" t="s" s="96">
        <v>994</v>
      </c>
      <c r="K276" t="s" s="96">
        <v>995</v>
      </c>
      <c r="L276" t="s" s="96">
        <v>735</v>
      </c>
      <c r="M276" t="s" s="96">
        <v>704</v>
      </c>
      <c r="N276" t="s" s="96">
        <v>244</v>
      </c>
      <c r="O276" t="s" s="96">
        <v>264</v>
      </c>
      <c r="P276" t="s" s="96">
        <v>902</v>
      </c>
      <c r="Q276" t="s" s="98">
        <v>706</v>
      </c>
    </row>
    <row r="277" ht="42" customHeight="1">
      <c r="A277" t="s" s="101">
        <v>996</v>
      </c>
      <c r="B277" t="s" s="102">
        <v>238</v>
      </c>
      <c r="C277" t="s" s="102">
        <v>697</v>
      </c>
      <c r="D277" t="s" s="102">
        <v>141</v>
      </c>
      <c r="E277" t="s" s="102">
        <v>141</v>
      </c>
      <c r="F277" t="s" s="102">
        <v>698</v>
      </c>
      <c r="G277" t="s" s="96">
        <v>997</v>
      </c>
      <c r="H277" t="s" s="96">
        <v>998</v>
      </c>
      <c r="I277" t="s" s="96">
        <v>999</v>
      </c>
      <c r="J277" t="s" s="96">
        <v>1000</v>
      </c>
      <c r="K277" t="s" s="96">
        <v>1001</v>
      </c>
      <c r="L277" t="s" s="96">
        <v>84</v>
      </c>
      <c r="M277" t="s" s="96">
        <v>704</v>
      </c>
      <c r="N277" t="s" s="96">
        <v>244</v>
      </c>
      <c r="O277" t="s" s="96">
        <v>264</v>
      </c>
      <c r="P277" t="s" s="96">
        <v>902</v>
      </c>
      <c r="Q277" t="s" s="98">
        <v>706</v>
      </c>
    </row>
    <row r="278" ht="42" customHeight="1">
      <c r="A278" t="s" s="101">
        <v>1002</v>
      </c>
      <c r="B278" t="s" s="102">
        <v>238</v>
      </c>
      <c r="C278" t="s" s="102">
        <v>697</v>
      </c>
      <c r="D278" t="s" s="102">
        <v>141</v>
      </c>
      <c r="E278" t="s" s="102">
        <v>141</v>
      </c>
      <c r="F278" t="s" s="102">
        <v>698</v>
      </c>
      <c r="G278" t="s" s="96">
        <v>1003</v>
      </c>
      <c r="H278" t="s" s="96">
        <v>1004</v>
      </c>
      <c r="I278" t="s" s="96">
        <v>1005</v>
      </c>
      <c r="J278" t="s" s="96">
        <v>1006</v>
      </c>
      <c r="K278" t="s" s="96">
        <v>1007</v>
      </c>
      <c r="L278" t="s" s="96">
        <v>84</v>
      </c>
      <c r="M278" t="s" s="96">
        <v>704</v>
      </c>
      <c r="N278" t="s" s="96">
        <v>244</v>
      </c>
      <c r="O278" t="s" s="96">
        <v>264</v>
      </c>
      <c r="P278" t="s" s="96">
        <v>902</v>
      </c>
      <c r="Q278" t="s" s="98">
        <v>706</v>
      </c>
    </row>
    <row r="279" ht="42" customHeight="1">
      <c r="A279" t="s" s="101">
        <v>1008</v>
      </c>
      <c r="B279" t="s" s="102">
        <v>238</v>
      </c>
      <c r="C279" t="s" s="102">
        <v>697</v>
      </c>
      <c r="D279" t="s" s="102">
        <v>141</v>
      </c>
      <c r="E279" t="s" s="102">
        <v>141</v>
      </c>
      <c r="F279" t="s" s="102">
        <v>698</v>
      </c>
      <c r="G279" t="s" s="96">
        <v>1009</v>
      </c>
      <c r="H279" t="s" s="96">
        <v>1010</v>
      </c>
      <c r="I279" t="s" s="96">
        <v>1011</v>
      </c>
      <c r="J279" t="s" s="96">
        <v>1012</v>
      </c>
      <c r="K279" t="s" s="96">
        <v>1013</v>
      </c>
      <c r="L279" t="s" s="96">
        <v>84</v>
      </c>
      <c r="M279" t="s" s="96">
        <v>704</v>
      </c>
      <c r="N279" t="s" s="96">
        <v>244</v>
      </c>
      <c r="O279" t="s" s="96">
        <v>264</v>
      </c>
      <c r="P279" t="s" s="96">
        <v>902</v>
      </c>
      <c r="Q279" t="s" s="98">
        <v>706</v>
      </c>
    </row>
    <row r="280" ht="42" customHeight="1">
      <c r="A280" t="s" s="101">
        <v>1014</v>
      </c>
      <c r="B280" t="s" s="102">
        <v>238</v>
      </c>
      <c r="C280" t="s" s="102">
        <v>697</v>
      </c>
      <c r="D280" t="s" s="102">
        <v>146</v>
      </c>
      <c r="E280" t="s" s="102">
        <v>146</v>
      </c>
      <c r="F280" t="s" s="102">
        <v>698</v>
      </c>
      <c r="G280" t="s" s="96">
        <v>1015</v>
      </c>
      <c r="H280" t="s" s="96">
        <v>1016</v>
      </c>
      <c r="I280" t="s" s="96">
        <v>1017</v>
      </c>
      <c r="J280" t="s" s="96">
        <v>1018</v>
      </c>
      <c r="K280" t="s" s="96">
        <v>1019</v>
      </c>
      <c r="L280" t="s" s="96">
        <v>84</v>
      </c>
      <c r="M280" t="s" s="96">
        <v>704</v>
      </c>
      <c r="N280" t="s" s="96">
        <v>244</v>
      </c>
      <c r="O280" t="s" s="96">
        <v>264</v>
      </c>
      <c r="P280" t="s" s="96">
        <v>1020</v>
      </c>
      <c r="Q280" t="s" s="98">
        <v>706</v>
      </c>
    </row>
    <row r="281" ht="42" customHeight="1">
      <c r="A281" t="s" s="101">
        <v>1021</v>
      </c>
      <c r="B281" t="s" s="102">
        <v>238</v>
      </c>
      <c r="C281" t="s" s="102">
        <v>697</v>
      </c>
      <c r="D281" t="s" s="102">
        <v>146</v>
      </c>
      <c r="E281" t="s" s="102">
        <v>146</v>
      </c>
      <c r="F281" t="s" s="102">
        <v>698</v>
      </c>
      <c r="G281" t="s" s="96">
        <v>1022</v>
      </c>
      <c r="H281" t="s" s="96">
        <v>1023</v>
      </c>
      <c r="I281" t="s" s="96">
        <v>79</v>
      </c>
      <c r="J281" t="s" s="96">
        <v>1024</v>
      </c>
      <c r="K281" t="s" s="96">
        <v>1025</v>
      </c>
      <c r="L281" t="s" s="96">
        <v>735</v>
      </c>
      <c r="M281" t="s" s="96">
        <v>704</v>
      </c>
      <c r="N281" t="s" s="96">
        <v>244</v>
      </c>
      <c r="O281" t="s" s="96">
        <v>264</v>
      </c>
      <c r="P281" t="s" s="96">
        <v>1020</v>
      </c>
      <c r="Q281" t="s" s="98">
        <v>706</v>
      </c>
    </row>
    <row r="282" ht="42" customHeight="1">
      <c r="A282" t="s" s="101">
        <v>1026</v>
      </c>
      <c r="B282" t="s" s="102">
        <v>238</v>
      </c>
      <c r="C282" t="s" s="102">
        <v>697</v>
      </c>
      <c r="D282" t="s" s="102">
        <v>146</v>
      </c>
      <c r="E282" t="s" s="102">
        <v>146</v>
      </c>
      <c r="F282" t="s" s="102">
        <v>698</v>
      </c>
      <c r="G282" t="s" s="96">
        <v>1027</v>
      </c>
      <c r="H282" t="s" s="96">
        <v>730</v>
      </c>
      <c r="I282" t="s" s="96">
        <v>732</v>
      </c>
      <c r="J282" t="s" s="96">
        <v>701</v>
      </c>
      <c r="K282" t="s" s="96">
        <v>1028</v>
      </c>
      <c r="L282" t="s" s="96">
        <v>812</v>
      </c>
      <c r="M282" t="s" s="96">
        <v>704</v>
      </c>
      <c r="N282" t="s" s="96">
        <v>244</v>
      </c>
      <c r="O282" t="s" s="96">
        <v>264</v>
      </c>
      <c r="P282" t="s" s="96">
        <v>1020</v>
      </c>
      <c r="Q282" t="s" s="98">
        <v>706</v>
      </c>
    </row>
    <row r="283" ht="42" customHeight="1">
      <c r="A283" t="s" s="101">
        <v>1029</v>
      </c>
      <c r="B283" t="s" s="102">
        <v>238</v>
      </c>
      <c r="C283" t="s" s="102">
        <v>697</v>
      </c>
      <c r="D283" t="s" s="102">
        <v>146</v>
      </c>
      <c r="E283" t="s" s="102">
        <v>146</v>
      </c>
      <c r="F283" t="s" s="102">
        <v>698</v>
      </c>
      <c r="G283" t="s" s="96">
        <v>1030</v>
      </c>
      <c r="H283" t="s" s="96">
        <v>1031</v>
      </c>
      <c r="I283" t="s" s="96">
        <v>1032</v>
      </c>
      <c r="J283" t="s" s="96">
        <v>1033</v>
      </c>
      <c r="K283" t="s" s="96">
        <v>89</v>
      </c>
      <c r="L283" t="s" s="96">
        <v>84</v>
      </c>
      <c r="M283" t="s" s="96">
        <v>704</v>
      </c>
      <c r="N283" t="s" s="96">
        <v>244</v>
      </c>
      <c r="O283" t="s" s="96">
        <v>264</v>
      </c>
      <c r="P283" t="s" s="96">
        <v>1020</v>
      </c>
      <c r="Q283" t="s" s="98">
        <v>706</v>
      </c>
    </row>
    <row r="284" ht="42" customHeight="1">
      <c r="A284" t="s" s="101">
        <v>1034</v>
      </c>
      <c r="B284" t="s" s="102">
        <v>238</v>
      </c>
      <c r="C284" t="s" s="102">
        <v>697</v>
      </c>
      <c r="D284" t="s" s="102">
        <v>146</v>
      </c>
      <c r="E284" t="s" s="102">
        <v>146</v>
      </c>
      <c r="F284" t="s" s="102">
        <v>698</v>
      </c>
      <c r="G284" t="s" s="96">
        <v>1035</v>
      </c>
      <c r="H284" t="s" s="96">
        <v>859</v>
      </c>
      <c r="I284" t="s" s="96">
        <v>857</v>
      </c>
      <c r="J284" t="s" s="96">
        <v>858</v>
      </c>
      <c r="K284" t="s" s="96">
        <v>1036</v>
      </c>
      <c r="L284" t="s" s="96">
        <v>84</v>
      </c>
      <c r="M284" t="s" s="96">
        <v>704</v>
      </c>
      <c r="N284" t="s" s="96">
        <v>244</v>
      </c>
      <c r="O284" t="s" s="96">
        <v>264</v>
      </c>
      <c r="P284" t="s" s="96">
        <v>1020</v>
      </c>
      <c r="Q284" t="s" s="98">
        <v>706</v>
      </c>
    </row>
    <row r="285" ht="42" customHeight="1">
      <c r="A285" t="s" s="101">
        <v>1037</v>
      </c>
      <c r="B285" t="s" s="102">
        <v>238</v>
      </c>
      <c r="C285" t="s" s="102">
        <v>697</v>
      </c>
      <c r="D285" t="s" s="102">
        <v>146</v>
      </c>
      <c r="E285" t="s" s="102">
        <v>146</v>
      </c>
      <c r="F285" t="s" s="102">
        <v>698</v>
      </c>
      <c r="G285" t="s" s="96">
        <v>1038</v>
      </c>
      <c r="H285" t="s" s="96">
        <v>700</v>
      </c>
      <c r="I285" t="s" s="96">
        <v>701</v>
      </c>
      <c r="J285" t="s" s="96">
        <v>702</v>
      </c>
      <c r="K285" t="s" s="96">
        <v>1028</v>
      </c>
      <c r="L285" t="s" s="96">
        <v>735</v>
      </c>
      <c r="M285" t="s" s="96">
        <v>704</v>
      </c>
      <c r="N285" t="s" s="96">
        <v>244</v>
      </c>
      <c r="O285" t="s" s="96">
        <v>264</v>
      </c>
      <c r="P285" t="s" s="96">
        <v>1020</v>
      </c>
      <c r="Q285" t="s" s="98">
        <v>706</v>
      </c>
    </row>
    <row r="286" ht="42" customHeight="1">
      <c r="A286" t="s" s="101">
        <v>1039</v>
      </c>
      <c r="B286" t="s" s="102">
        <v>238</v>
      </c>
      <c r="C286" t="s" s="102">
        <v>697</v>
      </c>
      <c r="D286" t="s" s="102">
        <v>146</v>
      </c>
      <c r="E286" t="s" s="102">
        <v>146</v>
      </c>
      <c r="F286" t="s" s="102">
        <v>698</v>
      </c>
      <c r="G286" t="s" s="96">
        <v>1040</v>
      </c>
      <c r="H286" t="s" s="96">
        <v>1041</v>
      </c>
      <c r="I286" t="s" s="96">
        <v>1042</v>
      </c>
      <c r="J286" t="s" s="96">
        <v>1043</v>
      </c>
      <c r="K286" t="s" s="96">
        <v>1044</v>
      </c>
      <c r="L286" t="s" s="96">
        <v>84</v>
      </c>
      <c r="M286" t="s" s="96">
        <v>704</v>
      </c>
      <c r="N286" t="s" s="96">
        <v>244</v>
      </c>
      <c r="O286" t="s" s="96">
        <v>264</v>
      </c>
      <c r="P286" t="s" s="96">
        <v>1020</v>
      </c>
      <c r="Q286" t="s" s="98">
        <v>706</v>
      </c>
    </row>
    <row r="287" ht="42" customHeight="1">
      <c r="A287" t="s" s="101">
        <v>1045</v>
      </c>
      <c r="B287" t="s" s="102">
        <v>238</v>
      </c>
      <c r="C287" t="s" s="102">
        <v>697</v>
      </c>
      <c r="D287" t="s" s="102">
        <v>146</v>
      </c>
      <c r="E287" t="s" s="102">
        <v>146</v>
      </c>
      <c r="F287" t="s" s="102">
        <v>698</v>
      </c>
      <c r="G287" t="s" s="96">
        <v>1046</v>
      </c>
      <c r="H287" t="s" s="96">
        <v>1047</v>
      </c>
      <c r="I287" t="s" s="96">
        <v>1048</v>
      </c>
      <c r="J287" t="s" s="96">
        <v>1049</v>
      </c>
      <c r="K287" t="s" s="96">
        <v>1050</v>
      </c>
      <c r="L287" t="s" s="96">
        <v>99</v>
      </c>
      <c r="M287" t="s" s="96">
        <v>704</v>
      </c>
      <c r="N287" t="s" s="96">
        <v>244</v>
      </c>
      <c r="O287" t="s" s="96">
        <v>264</v>
      </c>
      <c r="P287" t="s" s="96">
        <v>1020</v>
      </c>
      <c r="Q287" t="s" s="98">
        <v>706</v>
      </c>
    </row>
    <row r="288" ht="42" customHeight="1">
      <c r="A288" t="s" s="101">
        <v>1051</v>
      </c>
      <c r="B288" t="s" s="102">
        <v>238</v>
      </c>
      <c r="C288" t="s" s="102">
        <v>697</v>
      </c>
      <c r="D288" t="s" s="102">
        <v>146</v>
      </c>
      <c r="E288" t="s" s="102">
        <v>146</v>
      </c>
      <c r="F288" t="s" s="102">
        <v>698</v>
      </c>
      <c r="G288" t="s" s="96">
        <v>1052</v>
      </c>
      <c r="H288" t="s" s="96">
        <v>717</v>
      </c>
      <c r="I288" t="s" s="96">
        <v>1053</v>
      </c>
      <c r="J288" t="s" s="96">
        <v>718</v>
      </c>
      <c r="K288" t="s" s="96">
        <v>1054</v>
      </c>
      <c r="L288" t="s" s="96">
        <v>99</v>
      </c>
      <c r="M288" t="s" s="96">
        <v>704</v>
      </c>
      <c r="N288" t="s" s="96">
        <v>244</v>
      </c>
      <c r="O288" t="s" s="96">
        <v>264</v>
      </c>
      <c r="P288" t="s" s="96">
        <v>1020</v>
      </c>
      <c r="Q288" t="s" s="98">
        <v>706</v>
      </c>
    </row>
    <row r="289" ht="42" customHeight="1">
      <c r="A289" t="s" s="101">
        <v>1055</v>
      </c>
      <c r="B289" t="s" s="102">
        <v>238</v>
      </c>
      <c r="C289" t="s" s="102">
        <v>697</v>
      </c>
      <c r="D289" t="s" s="102">
        <v>146</v>
      </c>
      <c r="E289" t="s" s="102">
        <v>146</v>
      </c>
      <c r="F289" t="s" s="102">
        <v>698</v>
      </c>
      <c r="G289" t="s" s="96">
        <v>1056</v>
      </c>
      <c r="H289" t="s" s="96">
        <v>1057</v>
      </c>
      <c r="I289" t="s" s="96">
        <v>1058</v>
      </c>
      <c r="J289" t="s" s="96">
        <v>1059</v>
      </c>
      <c r="K289" t="s" s="96">
        <v>1060</v>
      </c>
      <c r="L289" t="s" s="96">
        <v>735</v>
      </c>
      <c r="M289" t="s" s="96">
        <v>704</v>
      </c>
      <c r="N289" t="s" s="96">
        <v>244</v>
      </c>
      <c r="O289" t="s" s="96">
        <v>264</v>
      </c>
      <c r="P289" t="s" s="96">
        <v>1020</v>
      </c>
      <c r="Q289" t="s" s="98">
        <v>706</v>
      </c>
    </row>
    <row r="290" ht="42" customHeight="1">
      <c r="A290" t="s" s="101">
        <v>1061</v>
      </c>
      <c r="B290" t="s" s="102">
        <v>238</v>
      </c>
      <c r="C290" t="s" s="102">
        <v>697</v>
      </c>
      <c r="D290" t="s" s="102">
        <v>146</v>
      </c>
      <c r="E290" t="s" s="102">
        <v>146</v>
      </c>
      <c r="F290" t="s" s="102">
        <v>698</v>
      </c>
      <c r="G290" t="s" s="96">
        <v>1062</v>
      </c>
      <c r="H290" t="s" s="96">
        <v>1063</v>
      </c>
      <c r="I290" t="s" s="96">
        <v>727</v>
      </c>
      <c r="J290" t="s" s="96">
        <v>1064</v>
      </c>
      <c r="K290" t="s" s="96">
        <v>1065</v>
      </c>
      <c r="L290" t="s" s="96">
        <v>812</v>
      </c>
      <c r="M290" t="s" s="96">
        <v>704</v>
      </c>
      <c r="N290" t="s" s="96">
        <v>244</v>
      </c>
      <c r="O290" t="s" s="96">
        <v>264</v>
      </c>
      <c r="P290" t="s" s="96">
        <v>1020</v>
      </c>
      <c r="Q290" t="s" s="98">
        <v>706</v>
      </c>
    </row>
    <row r="291" ht="42" customHeight="1">
      <c r="A291" t="s" s="101">
        <v>1066</v>
      </c>
      <c r="B291" t="s" s="102">
        <v>238</v>
      </c>
      <c r="C291" t="s" s="102">
        <v>697</v>
      </c>
      <c r="D291" t="s" s="102">
        <v>146</v>
      </c>
      <c r="E291" t="s" s="102">
        <v>146</v>
      </c>
      <c r="F291" t="s" s="102">
        <v>698</v>
      </c>
      <c r="G291" t="s" s="96">
        <v>1067</v>
      </c>
      <c r="H291" t="s" s="96">
        <v>1068</v>
      </c>
      <c r="I291" t="s" s="96">
        <v>74</v>
      </c>
      <c r="J291" t="s" s="96">
        <v>89</v>
      </c>
      <c r="K291" t="s" s="96">
        <v>1033</v>
      </c>
      <c r="L291" t="s" s="96">
        <v>735</v>
      </c>
      <c r="M291" t="s" s="96">
        <v>704</v>
      </c>
      <c r="N291" t="s" s="96">
        <v>244</v>
      </c>
      <c r="O291" t="s" s="96">
        <v>264</v>
      </c>
      <c r="P291" t="s" s="96">
        <v>1020</v>
      </c>
      <c r="Q291" t="s" s="98">
        <v>706</v>
      </c>
    </row>
    <row r="292" ht="42" customHeight="1">
      <c r="A292" t="s" s="101">
        <v>1069</v>
      </c>
      <c r="B292" t="s" s="102">
        <v>238</v>
      </c>
      <c r="C292" t="s" s="102">
        <v>697</v>
      </c>
      <c r="D292" t="s" s="102">
        <v>146</v>
      </c>
      <c r="E292" t="s" s="102">
        <v>146</v>
      </c>
      <c r="F292" t="s" s="102">
        <v>698</v>
      </c>
      <c r="G292" t="s" s="96">
        <v>1070</v>
      </c>
      <c r="H292" t="s" s="96">
        <v>1017</v>
      </c>
      <c r="I292" t="s" s="96">
        <v>1071</v>
      </c>
      <c r="J292" t="s" s="96">
        <v>1072</v>
      </c>
      <c r="K292" t="s" s="96">
        <v>1073</v>
      </c>
      <c r="L292" t="s" s="96">
        <v>99</v>
      </c>
      <c r="M292" t="s" s="96">
        <v>704</v>
      </c>
      <c r="N292" t="s" s="96">
        <v>244</v>
      </c>
      <c r="O292" t="s" s="96">
        <v>264</v>
      </c>
      <c r="P292" t="s" s="96">
        <v>1020</v>
      </c>
      <c r="Q292" t="s" s="98">
        <v>706</v>
      </c>
    </row>
    <row r="293" ht="42" customHeight="1">
      <c r="A293" t="s" s="101">
        <v>1074</v>
      </c>
      <c r="B293" t="s" s="102">
        <v>238</v>
      </c>
      <c r="C293" t="s" s="102">
        <v>697</v>
      </c>
      <c r="D293" t="s" s="102">
        <v>146</v>
      </c>
      <c r="E293" t="s" s="102">
        <v>146</v>
      </c>
      <c r="F293" t="s" s="102">
        <v>698</v>
      </c>
      <c r="G293" t="s" s="96">
        <v>1075</v>
      </c>
      <c r="H293" t="s" s="96">
        <v>715</v>
      </c>
      <c r="I293" t="s" s="96">
        <v>781</v>
      </c>
      <c r="J293" t="s" s="96">
        <v>725</v>
      </c>
      <c r="K293" t="s" s="96">
        <v>1063</v>
      </c>
      <c r="L293" t="s" s="96">
        <v>99</v>
      </c>
      <c r="M293" t="s" s="96">
        <v>704</v>
      </c>
      <c r="N293" t="s" s="96">
        <v>244</v>
      </c>
      <c r="O293" t="s" s="96">
        <v>264</v>
      </c>
      <c r="P293" t="s" s="96">
        <v>1020</v>
      </c>
      <c r="Q293" t="s" s="98">
        <v>706</v>
      </c>
    </row>
    <row r="294" ht="42" customHeight="1">
      <c r="A294" t="s" s="101">
        <v>1076</v>
      </c>
      <c r="B294" t="s" s="102">
        <v>238</v>
      </c>
      <c r="C294" t="s" s="102">
        <v>697</v>
      </c>
      <c r="D294" t="s" s="102">
        <v>146</v>
      </c>
      <c r="E294" t="s" s="102">
        <v>146</v>
      </c>
      <c r="F294" t="s" s="102">
        <v>698</v>
      </c>
      <c r="G294" t="s" s="96">
        <v>1077</v>
      </c>
      <c r="H294" t="s" s="96">
        <v>1078</v>
      </c>
      <c r="I294" t="s" s="96">
        <v>1079</v>
      </c>
      <c r="J294" t="s" s="96">
        <v>1080</v>
      </c>
      <c r="K294" t="s" s="96">
        <v>1081</v>
      </c>
      <c r="L294" t="s" s="96">
        <v>735</v>
      </c>
      <c r="M294" t="s" s="96">
        <v>704</v>
      </c>
      <c r="N294" t="s" s="96">
        <v>244</v>
      </c>
      <c r="O294" t="s" s="96">
        <v>264</v>
      </c>
      <c r="P294" t="s" s="96">
        <v>1020</v>
      </c>
      <c r="Q294" t="s" s="98">
        <v>706</v>
      </c>
    </row>
    <row r="295" ht="42" customHeight="1">
      <c r="A295" t="s" s="101">
        <v>1082</v>
      </c>
      <c r="B295" t="s" s="102">
        <v>238</v>
      </c>
      <c r="C295" t="s" s="102">
        <v>697</v>
      </c>
      <c r="D295" t="s" s="102">
        <v>146</v>
      </c>
      <c r="E295" t="s" s="102">
        <v>146</v>
      </c>
      <c r="F295" t="s" s="102">
        <v>698</v>
      </c>
      <c r="G295" t="s" s="96">
        <v>1083</v>
      </c>
      <c r="H295" t="s" s="96">
        <v>1084</v>
      </c>
      <c r="I295" t="s" s="96">
        <v>1085</v>
      </c>
      <c r="J295" t="s" s="96">
        <v>1086</v>
      </c>
      <c r="K295" t="s" s="96">
        <v>1087</v>
      </c>
      <c r="L295" t="s" s="96">
        <v>84</v>
      </c>
      <c r="M295" t="s" s="96">
        <v>704</v>
      </c>
      <c r="N295" t="s" s="96">
        <v>244</v>
      </c>
      <c r="O295" t="s" s="96">
        <v>264</v>
      </c>
      <c r="P295" t="s" s="96">
        <v>1020</v>
      </c>
      <c r="Q295" t="s" s="98">
        <v>706</v>
      </c>
    </row>
    <row r="296" ht="42" customHeight="1">
      <c r="A296" t="s" s="101">
        <v>1088</v>
      </c>
      <c r="B296" t="s" s="102">
        <v>238</v>
      </c>
      <c r="C296" t="s" s="102">
        <v>697</v>
      </c>
      <c r="D296" t="s" s="102">
        <v>146</v>
      </c>
      <c r="E296" t="s" s="102">
        <v>146</v>
      </c>
      <c r="F296" t="s" s="102">
        <v>698</v>
      </c>
      <c r="G296" t="s" s="96">
        <v>1089</v>
      </c>
      <c r="H296" t="s" s="96">
        <v>780</v>
      </c>
      <c r="I296" t="s" s="96">
        <v>1090</v>
      </c>
      <c r="J296" t="s" s="96">
        <v>724</v>
      </c>
      <c r="K296" t="s" s="96">
        <v>715</v>
      </c>
      <c r="L296" t="s" s="96">
        <v>99</v>
      </c>
      <c r="M296" t="s" s="96">
        <v>704</v>
      </c>
      <c r="N296" t="s" s="96">
        <v>244</v>
      </c>
      <c r="O296" t="s" s="96">
        <v>264</v>
      </c>
      <c r="P296" t="s" s="96">
        <v>1020</v>
      </c>
      <c r="Q296" t="s" s="98">
        <v>706</v>
      </c>
    </row>
    <row r="297" ht="42" customHeight="1">
      <c r="A297" t="s" s="101">
        <v>1091</v>
      </c>
      <c r="B297" t="s" s="102">
        <v>238</v>
      </c>
      <c r="C297" t="s" s="102">
        <v>697</v>
      </c>
      <c r="D297" t="s" s="102">
        <v>146</v>
      </c>
      <c r="E297" t="s" s="102">
        <v>146</v>
      </c>
      <c r="F297" t="s" s="102">
        <v>698</v>
      </c>
      <c r="G297" t="s" s="96">
        <v>1092</v>
      </c>
      <c r="H297" t="s" s="96">
        <v>1093</v>
      </c>
      <c r="I297" t="s" s="96">
        <v>1094</v>
      </c>
      <c r="J297" t="s" s="96">
        <v>1095</v>
      </c>
      <c r="K297" t="s" s="96">
        <v>1096</v>
      </c>
      <c r="L297" t="s" s="96">
        <v>735</v>
      </c>
      <c r="M297" t="s" s="96">
        <v>704</v>
      </c>
      <c r="N297" t="s" s="96">
        <v>244</v>
      </c>
      <c r="O297" t="s" s="96">
        <v>264</v>
      </c>
      <c r="P297" t="s" s="96">
        <v>1020</v>
      </c>
      <c r="Q297" t="s" s="98">
        <v>706</v>
      </c>
    </row>
    <row r="298" ht="42" customHeight="1">
      <c r="A298" t="s" s="101">
        <v>1097</v>
      </c>
      <c r="B298" t="s" s="102">
        <v>238</v>
      </c>
      <c r="C298" t="s" s="102">
        <v>697</v>
      </c>
      <c r="D298" t="s" s="102">
        <v>146</v>
      </c>
      <c r="E298" t="s" s="102">
        <v>146</v>
      </c>
      <c r="F298" t="s" s="102">
        <v>698</v>
      </c>
      <c r="G298" t="s" s="96">
        <v>1098</v>
      </c>
      <c r="H298" t="s" s="96">
        <v>1099</v>
      </c>
      <c r="I298" t="s" s="96">
        <v>1100</v>
      </c>
      <c r="J298" t="s" s="96">
        <v>1060</v>
      </c>
      <c r="K298" t="s" s="96">
        <v>1059</v>
      </c>
      <c r="L298" t="s" s="96">
        <v>812</v>
      </c>
      <c r="M298" t="s" s="96">
        <v>704</v>
      </c>
      <c r="N298" t="s" s="96">
        <v>244</v>
      </c>
      <c r="O298" t="s" s="96">
        <v>264</v>
      </c>
      <c r="P298" t="s" s="96">
        <v>1020</v>
      </c>
      <c r="Q298" t="s" s="98">
        <v>706</v>
      </c>
    </row>
    <row r="299" ht="42" customHeight="1">
      <c r="A299" t="s" s="101">
        <v>1101</v>
      </c>
      <c r="B299" t="s" s="102">
        <v>238</v>
      </c>
      <c r="C299" t="s" s="102">
        <v>697</v>
      </c>
      <c r="D299" t="s" s="102">
        <v>146</v>
      </c>
      <c r="E299" t="s" s="102">
        <v>146</v>
      </c>
      <c r="F299" t="s" s="102">
        <v>698</v>
      </c>
      <c r="G299" t="s" s="96">
        <v>1102</v>
      </c>
      <c r="H299" t="s" s="96">
        <v>1103</v>
      </c>
      <c r="I299" t="s" s="96">
        <v>1104</v>
      </c>
      <c r="J299" t="s" s="96">
        <v>1105</v>
      </c>
      <c r="K299" t="s" s="96">
        <v>1106</v>
      </c>
      <c r="L299" t="s" s="96">
        <v>84</v>
      </c>
      <c r="M299" t="s" s="96">
        <v>704</v>
      </c>
      <c r="N299" t="s" s="96">
        <v>244</v>
      </c>
      <c r="O299" t="s" s="96">
        <v>264</v>
      </c>
      <c r="P299" t="s" s="96">
        <v>1020</v>
      </c>
      <c r="Q299" t="s" s="98">
        <v>706</v>
      </c>
    </row>
    <row r="300" ht="42" customHeight="1">
      <c r="A300" t="s" s="101">
        <v>1107</v>
      </c>
      <c r="B300" t="s" s="102">
        <v>238</v>
      </c>
      <c r="C300" t="s" s="102">
        <v>697</v>
      </c>
      <c r="D300" t="s" s="102">
        <v>151</v>
      </c>
      <c r="E300" t="s" s="102">
        <v>151</v>
      </c>
      <c r="F300" t="s" s="102">
        <v>698</v>
      </c>
      <c r="G300" t="s" s="96">
        <v>1108</v>
      </c>
      <c r="H300" t="s" s="96">
        <v>1060</v>
      </c>
      <c r="I300" t="s" s="96">
        <v>1100</v>
      </c>
      <c r="J300" t="s" s="96">
        <v>1099</v>
      </c>
      <c r="K300" t="s" s="96">
        <v>1109</v>
      </c>
      <c r="L300" t="s" s="96">
        <v>735</v>
      </c>
      <c r="M300" t="s" s="96">
        <v>704</v>
      </c>
      <c r="N300" t="s" s="96">
        <v>244</v>
      </c>
      <c r="O300" t="s" s="96">
        <v>264</v>
      </c>
      <c r="P300" t="s" s="96">
        <v>1110</v>
      </c>
      <c r="Q300" t="s" s="98">
        <v>706</v>
      </c>
    </row>
    <row r="301" ht="42" customHeight="1">
      <c r="A301" t="s" s="101">
        <v>1111</v>
      </c>
      <c r="B301" t="s" s="102">
        <v>238</v>
      </c>
      <c r="C301" t="s" s="102">
        <v>697</v>
      </c>
      <c r="D301" t="s" s="102">
        <v>151</v>
      </c>
      <c r="E301" t="s" s="102">
        <v>151</v>
      </c>
      <c r="F301" t="s" s="102">
        <v>698</v>
      </c>
      <c r="G301" t="s" s="96">
        <v>1112</v>
      </c>
      <c r="H301" t="s" s="96">
        <v>1113</v>
      </c>
      <c r="I301" t="s" s="96">
        <v>859</v>
      </c>
      <c r="J301" t="s" s="96">
        <v>858</v>
      </c>
      <c r="K301" t="s" s="96">
        <v>857</v>
      </c>
      <c r="L301" t="s" s="96">
        <v>735</v>
      </c>
      <c r="M301" t="s" s="96">
        <v>704</v>
      </c>
      <c r="N301" t="s" s="96">
        <v>244</v>
      </c>
      <c r="O301" t="s" s="96">
        <v>264</v>
      </c>
      <c r="P301" t="s" s="96">
        <v>1110</v>
      </c>
      <c r="Q301" t="s" s="98">
        <v>706</v>
      </c>
    </row>
    <row r="302" ht="42" customHeight="1">
      <c r="A302" t="s" s="101">
        <v>1114</v>
      </c>
      <c r="B302" t="s" s="102">
        <v>238</v>
      </c>
      <c r="C302" t="s" s="102">
        <v>697</v>
      </c>
      <c r="D302" t="s" s="102">
        <v>151</v>
      </c>
      <c r="E302" t="s" s="102">
        <v>151</v>
      </c>
      <c r="F302" t="s" s="102">
        <v>698</v>
      </c>
      <c r="G302" t="s" s="96">
        <v>1115</v>
      </c>
      <c r="H302" t="s" s="96">
        <v>857</v>
      </c>
      <c r="I302" t="s" s="96">
        <v>858</v>
      </c>
      <c r="J302" t="s" s="96">
        <v>859</v>
      </c>
      <c r="K302" t="s" s="96">
        <v>1036</v>
      </c>
      <c r="L302" t="s" s="96">
        <v>735</v>
      </c>
      <c r="M302" t="s" s="96">
        <v>704</v>
      </c>
      <c r="N302" t="s" s="96">
        <v>244</v>
      </c>
      <c r="O302" t="s" s="96">
        <v>264</v>
      </c>
      <c r="P302" t="s" s="96">
        <v>1110</v>
      </c>
      <c r="Q302" t="s" s="98">
        <v>706</v>
      </c>
    </row>
    <row r="303" ht="42" customHeight="1">
      <c r="A303" t="s" s="101">
        <v>1116</v>
      </c>
      <c r="B303" t="s" s="102">
        <v>238</v>
      </c>
      <c r="C303" t="s" s="102">
        <v>697</v>
      </c>
      <c r="D303" t="s" s="102">
        <v>151</v>
      </c>
      <c r="E303" t="s" s="102">
        <v>151</v>
      </c>
      <c r="F303" t="s" s="102">
        <v>698</v>
      </c>
      <c r="G303" t="s" s="96">
        <v>1117</v>
      </c>
      <c r="H303" t="s" s="96">
        <v>1100</v>
      </c>
      <c r="I303" t="s" s="96">
        <v>1099</v>
      </c>
      <c r="J303" t="s" s="96">
        <v>1109</v>
      </c>
      <c r="K303" t="s" s="96">
        <v>738</v>
      </c>
      <c r="L303" t="s" s="96">
        <v>735</v>
      </c>
      <c r="M303" t="s" s="96">
        <v>704</v>
      </c>
      <c r="N303" t="s" s="96">
        <v>244</v>
      </c>
      <c r="O303" t="s" s="96">
        <v>264</v>
      </c>
      <c r="P303" t="s" s="96">
        <v>1110</v>
      </c>
      <c r="Q303" t="s" s="98">
        <v>706</v>
      </c>
    </row>
    <row r="304" ht="42" customHeight="1">
      <c r="A304" t="s" s="101">
        <v>1118</v>
      </c>
      <c r="B304" t="s" s="102">
        <v>238</v>
      </c>
      <c r="C304" t="s" s="102">
        <v>697</v>
      </c>
      <c r="D304" t="s" s="102">
        <v>151</v>
      </c>
      <c r="E304" t="s" s="102">
        <v>151</v>
      </c>
      <c r="F304" t="s" s="102">
        <v>698</v>
      </c>
      <c r="G304" t="s" s="96">
        <v>1119</v>
      </c>
      <c r="H304" t="s" s="96">
        <v>1120</v>
      </c>
      <c r="I304" t="s" s="96">
        <v>1121</v>
      </c>
      <c r="J304" t="s" s="96">
        <v>1122</v>
      </c>
      <c r="K304" t="s" s="96">
        <v>809</v>
      </c>
      <c r="L304" t="s" s="96">
        <v>735</v>
      </c>
      <c r="M304" t="s" s="96">
        <v>704</v>
      </c>
      <c r="N304" t="s" s="96">
        <v>244</v>
      </c>
      <c r="O304" t="s" s="96">
        <v>264</v>
      </c>
      <c r="P304" t="s" s="96">
        <v>1110</v>
      </c>
      <c r="Q304" t="s" s="98">
        <v>706</v>
      </c>
    </row>
    <row r="305" ht="42" customHeight="1">
      <c r="A305" t="s" s="101">
        <v>1123</v>
      </c>
      <c r="B305" t="s" s="102">
        <v>238</v>
      </c>
      <c r="C305" t="s" s="102">
        <v>697</v>
      </c>
      <c r="D305" t="s" s="102">
        <v>151</v>
      </c>
      <c r="E305" t="s" s="102">
        <v>151</v>
      </c>
      <c r="F305" t="s" s="102">
        <v>698</v>
      </c>
      <c r="G305" t="s" s="96">
        <v>1124</v>
      </c>
      <c r="H305" t="s" s="96">
        <v>1125</v>
      </c>
      <c r="I305" t="s" s="96">
        <v>1126</v>
      </c>
      <c r="J305" t="s" s="96">
        <v>1127</v>
      </c>
      <c r="K305" t="s" s="96">
        <v>1128</v>
      </c>
      <c r="L305" t="s" s="96">
        <v>735</v>
      </c>
      <c r="M305" t="s" s="96">
        <v>704</v>
      </c>
      <c r="N305" t="s" s="96">
        <v>244</v>
      </c>
      <c r="O305" t="s" s="96">
        <v>264</v>
      </c>
      <c r="P305" t="s" s="96">
        <v>1110</v>
      </c>
      <c r="Q305" t="s" s="98">
        <v>706</v>
      </c>
    </row>
    <row r="306" ht="42" customHeight="1">
      <c r="A306" t="s" s="101">
        <v>1129</v>
      </c>
      <c r="B306" t="s" s="102">
        <v>238</v>
      </c>
      <c r="C306" t="s" s="102">
        <v>697</v>
      </c>
      <c r="D306" t="s" s="102">
        <v>151</v>
      </c>
      <c r="E306" t="s" s="102">
        <v>151</v>
      </c>
      <c r="F306" t="s" s="102">
        <v>698</v>
      </c>
      <c r="G306" t="s" s="96">
        <v>1130</v>
      </c>
      <c r="H306" t="s" s="96">
        <v>857</v>
      </c>
      <c r="I306" t="s" s="96">
        <v>859</v>
      </c>
      <c r="J306" t="s" s="96">
        <v>1131</v>
      </c>
      <c r="K306" t="s" s="96">
        <v>1132</v>
      </c>
      <c r="L306" t="s" s="96">
        <v>735</v>
      </c>
      <c r="M306" t="s" s="96">
        <v>704</v>
      </c>
      <c r="N306" t="s" s="96">
        <v>244</v>
      </c>
      <c r="O306" t="s" s="96">
        <v>264</v>
      </c>
      <c r="P306" t="s" s="96">
        <v>1110</v>
      </c>
      <c r="Q306" t="s" s="98">
        <v>706</v>
      </c>
    </row>
    <row r="307" ht="42" customHeight="1">
      <c r="A307" t="s" s="101">
        <v>1133</v>
      </c>
      <c r="B307" t="s" s="102">
        <v>238</v>
      </c>
      <c r="C307" t="s" s="102">
        <v>697</v>
      </c>
      <c r="D307" t="s" s="102">
        <v>151</v>
      </c>
      <c r="E307" t="s" s="102">
        <v>151</v>
      </c>
      <c r="F307" t="s" s="102">
        <v>698</v>
      </c>
      <c r="G307" t="s" s="96">
        <v>1134</v>
      </c>
      <c r="H307" t="s" s="96">
        <v>1135</v>
      </c>
      <c r="I307" t="s" s="96">
        <v>1136</v>
      </c>
      <c r="J307" t="s" s="96">
        <v>1137</v>
      </c>
      <c r="K307" t="s" s="96">
        <v>1138</v>
      </c>
      <c r="L307" t="s" s="96">
        <v>735</v>
      </c>
      <c r="M307" t="s" s="96">
        <v>704</v>
      </c>
      <c r="N307" t="s" s="96">
        <v>244</v>
      </c>
      <c r="O307" t="s" s="96">
        <v>264</v>
      </c>
      <c r="P307" t="s" s="96">
        <v>1110</v>
      </c>
      <c r="Q307" t="s" s="98">
        <v>706</v>
      </c>
    </row>
    <row r="308" ht="42" customHeight="1">
      <c r="A308" t="s" s="101">
        <v>1139</v>
      </c>
      <c r="B308" t="s" s="102">
        <v>238</v>
      </c>
      <c r="C308" t="s" s="102">
        <v>697</v>
      </c>
      <c r="D308" t="s" s="102">
        <v>151</v>
      </c>
      <c r="E308" t="s" s="102">
        <v>151</v>
      </c>
      <c r="F308" t="s" s="102">
        <v>698</v>
      </c>
      <c r="G308" t="s" s="96">
        <v>1140</v>
      </c>
      <c r="H308" t="s" s="96">
        <v>858</v>
      </c>
      <c r="I308" t="s" s="96">
        <v>859</v>
      </c>
      <c r="J308" t="s" s="96">
        <v>857</v>
      </c>
      <c r="K308" t="s" s="96">
        <v>1141</v>
      </c>
      <c r="L308" t="s" s="96">
        <v>735</v>
      </c>
      <c r="M308" t="s" s="96">
        <v>704</v>
      </c>
      <c r="N308" t="s" s="96">
        <v>244</v>
      </c>
      <c r="O308" t="s" s="96">
        <v>264</v>
      </c>
      <c r="P308" t="s" s="96">
        <v>1110</v>
      </c>
      <c r="Q308" t="s" s="98">
        <v>706</v>
      </c>
    </row>
    <row r="309" ht="42" customHeight="1">
      <c r="A309" t="s" s="101">
        <v>1142</v>
      </c>
      <c r="B309" t="s" s="102">
        <v>238</v>
      </c>
      <c r="C309" t="s" s="102">
        <v>697</v>
      </c>
      <c r="D309" t="s" s="102">
        <v>151</v>
      </c>
      <c r="E309" t="s" s="102">
        <v>151</v>
      </c>
      <c r="F309" t="s" s="102">
        <v>698</v>
      </c>
      <c r="G309" t="s" s="96">
        <v>1143</v>
      </c>
      <c r="H309" t="s" s="96">
        <v>1144</v>
      </c>
      <c r="I309" t="s" s="96">
        <v>1145</v>
      </c>
      <c r="J309" t="s" s="96">
        <v>1036</v>
      </c>
      <c r="K309" t="s" s="96">
        <v>1132</v>
      </c>
      <c r="L309" t="s" s="96">
        <v>735</v>
      </c>
      <c r="M309" t="s" s="96">
        <v>704</v>
      </c>
      <c r="N309" t="s" s="96">
        <v>244</v>
      </c>
      <c r="O309" t="s" s="96">
        <v>264</v>
      </c>
      <c r="P309" t="s" s="96">
        <v>1110</v>
      </c>
      <c r="Q309" t="s" s="98">
        <v>706</v>
      </c>
    </row>
    <row r="310" ht="42" customHeight="1">
      <c r="A310" t="s" s="101">
        <v>1146</v>
      </c>
      <c r="B310" t="s" s="102">
        <v>238</v>
      </c>
      <c r="C310" t="s" s="102">
        <v>697</v>
      </c>
      <c r="D310" t="s" s="102">
        <v>151</v>
      </c>
      <c r="E310" t="s" s="102">
        <v>151</v>
      </c>
      <c r="F310" t="s" s="102">
        <v>698</v>
      </c>
      <c r="G310" t="s" s="96">
        <v>1147</v>
      </c>
      <c r="H310" t="s" s="96">
        <v>1127</v>
      </c>
      <c r="I310" t="s" s="96">
        <v>1148</v>
      </c>
      <c r="J310" t="s" s="96">
        <v>1149</v>
      </c>
      <c r="K310" t="s" s="96">
        <v>1150</v>
      </c>
      <c r="L310" t="s" s="96">
        <v>99</v>
      </c>
      <c r="M310" t="s" s="96">
        <v>704</v>
      </c>
      <c r="N310" t="s" s="96">
        <v>244</v>
      </c>
      <c r="O310" t="s" s="96">
        <v>264</v>
      </c>
      <c r="P310" t="s" s="96">
        <v>1110</v>
      </c>
      <c r="Q310" t="s" s="98">
        <v>706</v>
      </c>
    </row>
    <row r="311" ht="42" customHeight="1">
      <c r="A311" t="s" s="101">
        <v>1151</v>
      </c>
      <c r="B311" t="s" s="102">
        <v>238</v>
      </c>
      <c r="C311" t="s" s="102">
        <v>697</v>
      </c>
      <c r="D311" t="s" s="102">
        <v>151</v>
      </c>
      <c r="E311" t="s" s="102">
        <v>151</v>
      </c>
      <c r="F311" t="s" s="102">
        <v>698</v>
      </c>
      <c r="G311" t="s" s="96">
        <v>1152</v>
      </c>
      <c r="H311" t="s" s="96">
        <v>858</v>
      </c>
      <c r="I311" t="s" s="96">
        <v>859</v>
      </c>
      <c r="J311" t="s" s="96">
        <v>857</v>
      </c>
      <c r="K311" t="s" s="96">
        <v>1113</v>
      </c>
      <c r="L311" t="s" s="96">
        <v>99</v>
      </c>
      <c r="M311" t="s" s="96">
        <v>704</v>
      </c>
      <c r="N311" t="s" s="96">
        <v>244</v>
      </c>
      <c r="O311" t="s" s="96">
        <v>264</v>
      </c>
      <c r="P311" t="s" s="96">
        <v>1110</v>
      </c>
      <c r="Q311" t="s" s="98">
        <v>706</v>
      </c>
    </row>
    <row r="312" ht="42" customHeight="1">
      <c r="A312" t="s" s="101">
        <v>1153</v>
      </c>
      <c r="B312" t="s" s="102">
        <v>238</v>
      </c>
      <c r="C312" t="s" s="102">
        <v>697</v>
      </c>
      <c r="D312" t="s" s="102">
        <v>151</v>
      </c>
      <c r="E312" t="s" s="102">
        <v>151</v>
      </c>
      <c r="F312" t="s" s="102">
        <v>698</v>
      </c>
      <c r="G312" t="s" s="96">
        <v>1154</v>
      </c>
      <c r="H312" t="s" s="96">
        <v>1155</v>
      </c>
      <c r="I312" t="s" s="96">
        <v>1156</v>
      </c>
      <c r="J312" t="s" s="96">
        <v>1157</v>
      </c>
      <c r="K312" t="s" s="96">
        <v>1158</v>
      </c>
      <c r="L312" t="s" s="96">
        <v>735</v>
      </c>
      <c r="M312" t="s" s="96">
        <v>704</v>
      </c>
      <c r="N312" t="s" s="96">
        <v>244</v>
      </c>
      <c r="O312" t="s" s="96">
        <v>264</v>
      </c>
      <c r="P312" t="s" s="96">
        <v>1110</v>
      </c>
      <c r="Q312" t="s" s="98">
        <v>706</v>
      </c>
    </row>
    <row r="313" ht="42" customHeight="1">
      <c r="A313" t="s" s="101">
        <v>1159</v>
      </c>
      <c r="B313" t="s" s="102">
        <v>238</v>
      </c>
      <c r="C313" t="s" s="102">
        <v>697</v>
      </c>
      <c r="D313" t="s" s="102">
        <v>151</v>
      </c>
      <c r="E313" t="s" s="102">
        <v>151</v>
      </c>
      <c r="F313" t="s" s="102">
        <v>698</v>
      </c>
      <c r="G313" t="s" s="96">
        <v>1160</v>
      </c>
      <c r="H313" t="s" s="96">
        <v>1121</v>
      </c>
      <c r="I313" t="s" s="96">
        <v>1161</v>
      </c>
      <c r="J313" t="s" s="96">
        <v>1122</v>
      </c>
      <c r="K313" t="s" s="96">
        <v>1162</v>
      </c>
      <c r="L313" t="s" s="96">
        <v>735</v>
      </c>
      <c r="M313" t="s" s="96">
        <v>704</v>
      </c>
      <c r="N313" t="s" s="96">
        <v>244</v>
      </c>
      <c r="O313" t="s" s="96">
        <v>264</v>
      </c>
      <c r="P313" t="s" s="96">
        <v>1110</v>
      </c>
      <c r="Q313" t="s" s="98">
        <v>706</v>
      </c>
    </row>
    <row r="314" ht="42" customHeight="1">
      <c r="A314" t="s" s="101">
        <v>1163</v>
      </c>
      <c r="B314" t="s" s="102">
        <v>238</v>
      </c>
      <c r="C314" t="s" s="102">
        <v>697</v>
      </c>
      <c r="D314" t="s" s="102">
        <v>151</v>
      </c>
      <c r="E314" t="s" s="102">
        <v>151</v>
      </c>
      <c r="F314" t="s" s="102">
        <v>698</v>
      </c>
      <c r="G314" t="s" s="96">
        <v>1164</v>
      </c>
      <c r="H314" t="s" s="96">
        <v>1058</v>
      </c>
      <c r="I314" t="s" s="96">
        <v>1059</v>
      </c>
      <c r="J314" t="s" s="96">
        <v>1060</v>
      </c>
      <c r="K314" t="s" s="96">
        <v>1100</v>
      </c>
      <c r="L314" t="s" s="96">
        <v>99</v>
      </c>
      <c r="M314" t="s" s="96">
        <v>704</v>
      </c>
      <c r="N314" t="s" s="96">
        <v>244</v>
      </c>
      <c r="O314" t="s" s="96">
        <v>264</v>
      </c>
      <c r="P314" t="s" s="96">
        <v>1110</v>
      </c>
      <c r="Q314" t="s" s="98">
        <v>706</v>
      </c>
    </row>
    <row r="315" ht="42" customHeight="1">
      <c r="A315" t="s" s="101">
        <v>1165</v>
      </c>
      <c r="B315" t="s" s="102">
        <v>238</v>
      </c>
      <c r="C315" t="s" s="102">
        <v>697</v>
      </c>
      <c r="D315" t="s" s="102">
        <v>151</v>
      </c>
      <c r="E315" t="s" s="102">
        <v>151</v>
      </c>
      <c r="F315" t="s" s="102">
        <v>698</v>
      </c>
      <c r="G315" t="s" s="96">
        <v>1166</v>
      </c>
      <c r="H315" t="s" s="96">
        <v>857</v>
      </c>
      <c r="I315" t="s" s="96">
        <v>858</v>
      </c>
      <c r="J315" t="s" s="96">
        <v>1131</v>
      </c>
      <c r="K315" t="s" s="96">
        <v>859</v>
      </c>
      <c r="L315" t="s" s="96">
        <v>99</v>
      </c>
      <c r="M315" t="s" s="96">
        <v>704</v>
      </c>
      <c r="N315" t="s" s="96">
        <v>244</v>
      </c>
      <c r="O315" t="s" s="96">
        <v>264</v>
      </c>
      <c r="P315" t="s" s="96">
        <v>1110</v>
      </c>
      <c r="Q315" t="s" s="98">
        <v>706</v>
      </c>
    </row>
    <row r="316" ht="42" customHeight="1">
      <c r="A316" t="s" s="101">
        <v>1167</v>
      </c>
      <c r="B316" t="s" s="102">
        <v>238</v>
      </c>
      <c r="C316" t="s" s="102">
        <v>697</v>
      </c>
      <c r="D316" t="s" s="102">
        <v>151</v>
      </c>
      <c r="E316" t="s" s="102">
        <v>151</v>
      </c>
      <c r="F316" t="s" s="102">
        <v>698</v>
      </c>
      <c r="G316" t="s" s="96">
        <v>1168</v>
      </c>
      <c r="H316" t="s" s="96">
        <v>1169</v>
      </c>
      <c r="I316" t="s" s="96">
        <v>1170</v>
      </c>
      <c r="J316" t="s" s="96">
        <v>1171</v>
      </c>
      <c r="K316" t="s" s="96">
        <v>1172</v>
      </c>
      <c r="L316" t="s" s="96">
        <v>84</v>
      </c>
      <c r="M316" t="s" s="96">
        <v>704</v>
      </c>
      <c r="N316" t="s" s="96">
        <v>244</v>
      </c>
      <c r="O316" t="s" s="96">
        <v>264</v>
      </c>
      <c r="P316" t="s" s="96">
        <v>1110</v>
      </c>
      <c r="Q316" t="s" s="98">
        <v>706</v>
      </c>
    </row>
    <row r="317" ht="42" customHeight="1">
      <c r="A317" t="s" s="101">
        <v>1173</v>
      </c>
      <c r="B317" t="s" s="102">
        <v>238</v>
      </c>
      <c r="C317" t="s" s="102">
        <v>697</v>
      </c>
      <c r="D317" t="s" s="102">
        <v>151</v>
      </c>
      <c r="E317" t="s" s="102">
        <v>151</v>
      </c>
      <c r="F317" t="s" s="102">
        <v>698</v>
      </c>
      <c r="G317" t="s" s="96">
        <v>1174</v>
      </c>
      <c r="H317" t="s" s="96">
        <v>1137</v>
      </c>
      <c r="I317" t="s" s="96">
        <v>1138</v>
      </c>
      <c r="J317" t="s" s="96">
        <v>1175</v>
      </c>
      <c r="K317" t="s" s="96">
        <v>1176</v>
      </c>
      <c r="L317" t="s" s="96">
        <v>735</v>
      </c>
      <c r="M317" t="s" s="96">
        <v>704</v>
      </c>
      <c r="N317" t="s" s="96">
        <v>244</v>
      </c>
      <c r="O317" t="s" s="96">
        <v>264</v>
      </c>
      <c r="P317" t="s" s="96">
        <v>1110</v>
      </c>
      <c r="Q317" t="s" s="98">
        <v>706</v>
      </c>
    </row>
    <row r="318" ht="42" customHeight="1">
      <c r="A318" t="s" s="101">
        <v>1177</v>
      </c>
      <c r="B318" t="s" s="102">
        <v>238</v>
      </c>
      <c r="C318" t="s" s="102">
        <v>697</v>
      </c>
      <c r="D318" t="s" s="102">
        <v>151</v>
      </c>
      <c r="E318" t="s" s="102">
        <v>151</v>
      </c>
      <c r="F318" t="s" s="102">
        <v>698</v>
      </c>
      <c r="G318" t="s" s="96">
        <v>1178</v>
      </c>
      <c r="H318" t="s" s="96">
        <v>1179</v>
      </c>
      <c r="I318" t="s" s="96">
        <v>1180</v>
      </c>
      <c r="J318" t="s" s="96">
        <v>857</v>
      </c>
      <c r="K318" t="s" s="96">
        <v>1181</v>
      </c>
      <c r="L318" t="s" s="96">
        <v>735</v>
      </c>
      <c r="M318" t="s" s="96">
        <v>704</v>
      </c>
      <c r="N318" t="s" s="96">
        <v>244</v>
      </c>
      <c r="O318" t="s" s="96">
        <v>264</v>
      </c>
      <c r="P318" t="s" s="96">
        <v>1110</v>
      </c>
      <c r="Q318" t="s" s="98">
        <v>706</v>
      </c>
    </row>
    <row r="319" ht="42" customHeight="1">
      <c r="A319" t="s" s="101">
        <v>1182</v>
      </c>
      <c r="B319" t="s" s="102">
        <v>238</v>
      </c>
      <c r="C319" t="s" s="102">
        <v>697</v>
      </c>
      <c r="D319" t="s" s="102">
        <v>151</v>
      </c>
      <c r="E319" t="s" s="102">
        <v>151</v>
      </c>
      <c r="F319" t="s" s="102">
        <v>698</v>
      </c>
      <c r="G319" t="s" s="96">
        <v>1183</v>
      </c>
      <c r="H319" t="s" s="96">
        <v>1184</v>
      </c>
      <c r="I319" t="s" s="96">
        <v>1185</v>
      </c>
      <c r="J319" t="s" s="96">
        <v>1186</v>
      </c>
      <c r="K319" t="s" s="96">
        <v>1187</v>
      </c>
      <c r="L319" t="s" s="96">
        <v>99</v>
      </c>
      <c r="M319" t="s" s="96">
        <v>704</v>
      </c>
      <c r="N319" t="s" s="96">
        <v>244</v>
      </c>
      <c r="O319" t="s" s="96">
        <v>264</v>
      </c>
      <c r="P319" t="s" s="96">
        <v>1110</v>
      </c>
      <c r="Q319" t="s" s="98">
        <v>706</v>
      </c>
    </row>
    <row r="320" ht="42" customHeight="1">
      <c r="A320" t="s" s="103">
        <v>1188</v>
      </c>
      <c r="B320" t="s" s="104">
        <v>238</v>
      </c>
      <c r="C320" t="s" s="104">
        <v>1189</v>
      </c>
      <c r="D320" t="s" s="104">
        <v>157</v>
      </c>
      <c r="E320" t="s" s="104">
        <v>157</v>
      </c>
      <c r="F320" t="s" s="104">
        <v>241</v>
      </c>
      <c r="G320" t="s" s="96">
        <v>1190</v>
      </c>
      <c r="H320" s="97"/>
      <c r="I320" s="97"/>
      <c r="J320" s="97"/>
      <c r="K320" s="97"/>
      <c r="L320" s="97"/>
      <c r="M320" t="s" s="96">
        <v>243</v>
      </c>
      <c r="N320" t="s" s="96">
        <v>244</v>
      </c>
      <c r="O320" t="s" s="96">
        <v>264</v>
      </c>
      <c r="P320" t="s" s="96">
        <v>1191</v>
      </c>
      <c r="Q320" t="s" s="98">
        <v>1192</v>
      </c>
    </row>
    <row r="321" ht="42" customHeight="1">
      <c r="A321" t="s" s="103">
        <v>1193</v>
      </c>
      <c r="B321" t="s" s="104">
        <v>238</v>
      </c>
      <c r="C321" t="s" s="104">
        <v>1189</v>
      </c>
      <c r="D321" t="s" s="104">
        <v>157</v>
      </c>
      <c r="E321" t="s" s="104">
        <v>157</v>
      </c>
      <c r="F321" t="s" s="104">
        <v>241</v>
      </c>
      <c r="G321" t="s" s="96">
        <v>1194</v>
      </c>
      <c r="H321" s="97"/>
      <c r="I321" s="97"/>
      <c r="J321" s="97"/>
      <c r="K321" s="97"/>
      <c r="L321" s="97"/>
      <c r="M321" t="s" s="96">
        <v>243</v>
      </c>
      <c r="N321" t="s" s="96">
        <v>244</v>
      </c>
      <c r="O321" t="s" s="96">
        <v>264</v>
      </c>
      <c r="P321" t="s" s="96">
        <v>1191</v>
      </c>
      <c r="Q321" t="s" s="98">
        <v>1192</v>
      </c>
    </row>
    <row r="322" ht="42" customHeight="1">
      <c r="A322" t="s" s="103">
        <v>1195</v>
      </c>
      <c r="B322" t="s" s="104">
        <v>238</v>
      </c>
      <c r="C322" t="s" s="104">
        <v>1189</v>
      </c>
      <c r="D322" t="s" s="104">
        <v>157</v>
      </c>
      <c r="E322" t="s" s="104">
        <v>157</v>
      </c>
      <c r="F322" t="s" s="104">
        <v>241</v>
      </c>
      <c r="G322" t="s" s="96">
        <v>1196</v>
      </c>
      <c r="H322" s="97"/>
      <c r="I322" s="97"/>
      <c r="J322" s="97"/>
      <c r="K322" s="97"/>
      <c r="L322" s="97"/>
      <c r="M322" t="s" s="96">
        <v>243</v>
      </c>
      <c r="N322" t="s" s="96">
        <v>244</v>
      </c>
      <c r="O322" t="s" s="96">
        <v>264</v>
      </c>
      <c r="P322" t="s" s="96">
        <v>1191</v>
      </c>
      <c r="Q322" t="s" s="98">
        <v>1192</v>
      </c>
    </row>
    <row r="323" ht="42" customHeight="1">
      <c r="A323" t="s" s="103">
        <v>1197</v>
      </c>
      <c r="B323" t="s" s="104">
        <v>238</v>
      </c>
      <c r="C323" t="s" s="104">
        <v>1189</v>
      </c>
      <c r="D323" t="s" s="104">
        <v>157</v>
      </c>
      <c r="E323" t="s" s="104">
        <v>157</v>
      </c>
      <c r="F323" t="s" s="104">
        <v>241</v>
      </c>
      <c r="G323" t="s" s="96">
        <v>1198</v>
      </c>
      <c r="H323" s="97"/>
      <c r="I323" s="97"/>
      <c r="J323" s="97"/>
      <c r="K323" s="97"/>
      <c r="L323" s="97"/>
      <c r="M323" t="s" s="96">
        <v>243</v>
      </c>
      <c r="N323" t="s" s="96">
        <v>244</v>
      </c>
      <c r="O323" t="s" s="96">
        <v>264</v>
      </c>
      <c r="P323" t="s" s="96">
        <v>1191</v>
      </c>
      <c r="Q323" t="s" s="98">
        <v>1192</v>
      </c>
    </row>
    <row r="324" ht="42" customHeight="1">
      <c r="A324" t="s" s="103">
        <v>1199</v>
      </c>
      <c r="B324" t="s" s="104">
        <v>238</v>
      </c>
      <c r="C324" t="s" s="104">
        <v>1189</v>
      </c>
      <c r="D324" t="s" s="104">
        <v>157</v>
      </c>
      <c r="E324" t="s" s="104">
        <v>157</v>
      </c>
      <c r="F324" t="s" s="104">
        <v>241</v>
      </c>
      <c r="G324" t="s" s="96">
        <v>1200</v>
      </c>
      <c r="H324" s="97"/>
      <c r="I324" s="97"/>
      <c r="J324" s="97"/>
      <c r="K324" s="97"/>
      <c r="L324" s="97"/>
      <c r="M324" t="s" s="96">
        <v>243</v>
      </c>
      <c r="N324" t="s" s="96">
        <v>244</v>
      </c>
      <c r="O324" t="s" s="96">
        <v>264</v>
      </c>
      <c r="P324" t="s" s="96">
        <v>1191</v>
      </c>
      <c r="Q324" t="s" s="98">
        <v>1192</v>
      </c>
    </row>
    <row r="325" ht="42" customHeight="1">
      <c r="A325" t="s" s="103">
        <v>1201</v>
      </c>
      <c r="B325" t="s" s="104">
        <v>238</v>
      </c>
      <c r="C325" t="s" s="104">
        <v>1189</v>
      </c>
      <c r="D325" t="s" s="104">
        <v>157</v>
      </c>
      <c r="E325" t="s" s="104">
        <v>157</v>
      </c>
      <c r="F325" t="s" s="104">
        <v>241</v>
      </c>
      <c r="G325" t="s" s="96">
        <v>1202</v>
      </c>
      <c r="H325" s="97"/>
      <c r="I325" s="97"/>
      <c r="J325" s="97"/>
      <c r="K325" s="97"/>
      <c r="L325" s="97"/>
      <c r="M325" t="s" s="96">
        <v>243</v>
      </c>
      <c r="N325" t="s" s="96">
        <v>244</v>
      </c>
      <c r="O325" t="s" s="96">
        <v>264</v>
      </c>
      <c r="P325" t="s" s="96">
        <v>1191</v>
      </c>
      <c r="Q325" t="s" s="98">
        <v>1192</v>
      </c>
    </row>
    <row r="326" ht="42" customHeight="1">
      <c r="A326" t="s" s="103">
        <v>1203</v>
      </c>
      <c r="B326" t="s" s="104">
        <v>238</v>
      </c>
      <c r="C326" t="s" s="104">
        <v>1189</v>
      </c>
      <c r="D326" t="s" s="104">
        <v>157</v>
      </c>
      <c r="E326" t="s" s="104">
        <v>157</v>
      </c>
      <c r="F326" t="s" s="104">
        <v>241</v>
      </c>
      <c r="G326" t="s" s="96">
        <v>1204</v>
      </c>
      <c r="H326" s="97"/>
      <c r="I326" s="97"/>
      <c r="J326" s="97"/>
      <c r="K326" s="97"/>
      <c r="L326" s="97"/>
      <c r="M326" t="s" s="96">
        <v>243</v>
      </c>
      <c r="N326" t="s" s="96">
        <v>244</v>
      </c>
      <c r="O326" t="s" s="96">
        <v>264</v>
      </c>
      <c r="P326" t="s" s="96">
        <v>1191</v>
      </c>
      <c r="Q326" t="s" s="98">
        <v>1192</v>
      </c>
    </row>
    <row r="327" ht="42" customHeight="1">
      <c r="A327" t="s" s="103">
        <v>1205</v>
      </c>
      <c r="B327" t="s" s="104">
        <v>238</v>
      </c>
      <c r="C327" t="s" s="104">
        <v>1189</v>
      </c>
      <c r="D327" t="s" s="104">
        <v>157</v>
      </c>
      <c r="E327" t="s" s="104">
        <v>157</v>
      </c>
      <c r="F327" t="s" s="104">
        <v>241</v>
      </c>
      <c r="G327" t="s" s="96">
        <v>1206</v>
      </c>
      <c r="H327" s="97"/>
      <c r="I327" s="97"/>
      <c r="J327" s="97"/>
      <c r="K327" s="97"/>
      <c r="L327" s="97"/>
      <c r="M327" t="s" s="96">
        <v>243</v>
      </c>
      <c r="N327" t="s" s="96">
        <v>244</v>
      </c>
      <c r="O327" t="s" s="96">
        <v>264</v>
      </c>
      <c r="P327" t="s" s="96">
        <v>1191</v>
      </c>
      <c r="Q327" t="s" s="98">
        <v>1192</v>
      </c>
    </row>
    <row r="328" ht="42" customHeight="1">
      <c r="A328" t="s" s="103">
        <v>1207</v>
      </c>
      <c r="B328" t="s" s="104">
        <v>238</v>
      </c>
      <c r="C328" t="s" s="104">
        <v>1189</v>
      </c>
      <c r="D328" t="s" s="104">
        <v>157</v>
      </c>
      <c r="E328" t="s" s="104">
        <v>157</v>
      </c>
      <c r="F328" t="s" s="104">
        <v>241</v>
      </c>
      <c r="G328" t="s" s="96">
        <v>1208</v>
      </c>
      <c r="H328" s="97"/>
      <c r="I328" s="97"/>
      <c r="J328" s="97"/>
      <c r="K328" s="97"/>
      <c r="L328" s="97"/>
      <c r="M328" t="s" s="96">
        <v>243</v>
      </c>
      <c r="N328" t="s" s="96">
        <v>244</v>
      </c>
      <c r="O328" t="s" s="96">
        <v>264</v>
      </c>
      <c r="P328" t="s" s="96">
        <v>1191</v>
      </c>
      <c r="Q328" t="s" s="98">
        <v>1192</v>
      </c>
    </row>
    <row r="329" ht="42" customHeight="1">
      <c r="A329" t="s" s="103">
        <v>1209</v>
      </c>
      <c r="B329" t="s" s="104">
        <v>238</v>
      </c>
      <c r="C329" t="s" s="104">
        <v>1189</v>
      </c>
      <c r="D329" t="s" s="104">
        <v>157</v>
      </c>
      <c r="E329" t="s" s="104">
        <v>157</v>
      </c>
      <c r="F329" t="s" s="104">
        <v>241</v>
      </c>
      <c r="G329" t="s" s="96">
        <v>671</v>
      </c>
      <c r="H329" s="97"/>
      <c r="I329" s="97"/>
      <c r="J329" s="97"/>
      <c r="K329" s="97"/>
      <c r="L329" s="97"/>
      <c r="M329" t="s" s="96">
        <v>243</v>
      </c>
      <c r="N329" t="s" s="96">
        <v>244</v>
      </c>
      <c r="O329" t="s" s="96">
        <v>264</v>
      </c>
      <c r="P329" t="s" s="96">
        <v>1191</v>
      </c>
      <c r="Q329" t="s" s="98">
        <v>1192</v>
      </c>
    </row>
    <row r="330" ht="42" customHeight="1">
      <c r="A330" t="s" s="103">
        <v>1210</v>
      </c>
      <c r="B330" t="s" s="104">
        <v>238</v>
      </c>
      <c r="C330" t="s" s="104">
        <v>1189</v>
      </c>
      <c r="D330" t="s" s="104">
        <v>157</v>
      </c>
      <c r="E330" t="s" s="104">
        <v>157</v>
      </c>
      <c r="F330" t="s" s="104">
        <v>241</v>
      </c>
      <c r="G330" t="s" s="96">
        <v>1211</v>
      </c>
      <c r="H330" s="97"/>
      <c r="I330" s="97"/>
      <c r="J330" s="97"/>
      <c r="K330" s="97"/>
      <c r="L330" s="97"/>
      <c r="M330" t="s" s="96">
        <v>243</v>
      </c>
      <c r="N330" t="s" s="96">
        <v>244</v>
      </c>
      <c r="O330" t="s" s="96">
        <v>264</v>
      </c>
      <c r="P330" t="s" s="96">
        <v>1191</v>
      </c>
      <c r="Q330" t="s" s="98">
        <v>1192</v>
      </c>
    </row>
    <row r="331" ht="42" customHeight="1">
      <c r="A331" t="s" s="103">
        <v>1212</v>
      </c>
      <c r="B331" t="s" s="104">
        <v>238</v>
      </c>
      <c r="C331" t="s" s="104">
        <v>1189</v>
      </c>
      <c r="D331" t="s" s="104">
        <v>157</v>
      </c>
      <c r="E331" t="s" s="104">
        <v>157</v>
      </c>
      <c r="F331" t="s" s="104">
        <v>241</v>
      </c>
      <c r="G331" t="s" s="96">
        <v>1213</v>
      </c>
      <c r="H331" s="97"/>
      <c r="I331" s="97"/>
      <c r="J331" s="97"/>
      <c r="K331" s="97"/>
      <c r="L331" s="97"/>
      <c r="M331" t="s" s="96">
        <v>243</v>
      </c>
      <c r="N331" t="s" s="96">
        <v>244</v>
      </c>
      <c r="O331" t="s" s="96">
        <v>264</v>
      </c>
      <c r="P331" t="s" s="96">
        <v>1191</v>
      </c>
      <c r="Q331" t="s" s="98">
        <v>1192</v>
      </c>
    </row>
    <row r="332" ht="42" customHeight="1">
      <c r="A332" t="s" s="103">
        <v>1214</v>
      </c>
      <c r="B332" t="s" s="104">
        <v>238</v>
      </c>
      <c r="C332" t="s" s="104">
        <v>1189</v>
      </c>
      <c r="D332" t="s" s="104">
        <v>157</v>
      </c>
      <c r="E332" t="s" s="104">
        <v>157</v>
      </c>
      <c r="F332" t="s" s="104">
        <v>241</v>
      </c>
      <c r="G332" t="s" s="96">
        <v>1215</v>
      </c>
      <c r="H332" s="97"/>
      <c r="I332" s="97"/>
      <c r="J332" s="97"/>
      <c r="K332" s="97"/>
      <c r="L332" s="97"/>
      <c r="M332" t="s" s="96">
        <v>243</v>
      </c>
      <c r="N332" t="s" s="96">
        <v>244</v>
      </c>
      <c r="O332" t="s" s="96">
        <v>264</v>
      </c>
      <c r="P332" t="s" s="96">
        <v>1191</v>
      </c>
      <c r="Q332" t="s" s="98">
        <v>1192</v>
      </c>
    </row>
    <row r="333" ht="42" customHeight="1">
      <c r="A333" t="s" s="103">
        <v>1216</v>
      </c>
      <c r="B333" t="s" s="104">
        <v>238</v>
      </c>
      <c r="C333" t="s" s="104">
        <v>1189</v>
      </c>
      <c r="D333" t="s" s="104">
        <v>157</v>
      </c>
      <c r="E333" t="s" s="104">
        <v>157</v>
      </c>
      <c r="F333" t="s" s="104">
        <v>241</v>
      </c>
      <c r="G333" t="s" s="96">
        <v>1217</v>
      </c>
      <c r="H333" s="97"/>
      <c r="I333" s="97"/>
      <c r="J333" s="97"/>
      <c r="K333" s="97"/>
      <c r="L333" s="97"/>
      <c r="M333" t="s" s="96">
        <v>243</v>
      </c>
      <c r="N333" t="s" s="96">
        <v>244</v>
      </c>
      <c r="O333" t="s" s="96">
        <v>264</v>
      </c>
      <c r="P333" t="s" s="96">
        <v>1191</v>
      </c>
      <c r="Q333" t="s" s="98">
        <v>1192</v>
      </c>
    </row>
    <row r="334" ht="42" customHeight="1">
      <c r="A334" t="s" s="103">
        <v>1218</v>
      </c>
      <c r="B334" t="s" s="104">
        <v>238</v>
      </c>
      <c r="C334" t="s" s="104">
        <v>1189</v>
      </c>
      <c r="D334" t="s" s="104">
        <v>157</v>
      </c>
      <c r="E334" t="s" s="104">
        <v>157</v>
      </c>
      <c r="F334" t="s" s="104">
        <v>241</v>
      </c>
      <c r="G334" t="s" s="96">
        <v>1219</v>
      </c>
      <c r="H334" s="97"/>
      <c r="I334" s="97"/>
      <c r="J334" s="97"/>
      <c r="K334" s="97"/>
      <c r="L334" s="97"/>
      <c r="M334" t="s" s="96">
        <v>243</v>
      </c>
      <c r="N334" t="s" s="96">
        <v>244</v>
      </c>
      <c r="O334" t="s" s="96">
        <v>264</v>
      </c>
      <c r="P334" t="s" s="96">
        <v>1191</v>
      </c>
      <c r="Q334" t="s" s="98">
        <v>1192</v>
      </c>
    </row>
    <row r="335" ht="42" customHeight="1">
      <c r="A335" t="s" s="103">
        <v>1220</v>
      </c>
      <c r="B335" t="s" s="104">
        <v>238</v>
      </c>
      <c r="C335" t="s" s="104">
        <v>1189</v>
      </c>
      <c r="D335" t="s" s="104">
        <v>157</v>
      </c>
      <c r="E335" t="s" s="104">
        <v>157</v>
      </c>
      <c r="F335" t="s" s="104">
        <v>241</v>
      </c>
      <c r="G335" t="s" s="96">
        <v>1221</v>
      </c>
      <c r="H335" s="97"/>
      <c r="I335" s="97"/>
      <c r="J335" s="97"/>
      <c r="K335" s="97"/>
      <c r="L335" s="97"/>
      <c r="M335" t="s" s="96">
        <v>243</v>
      </c>
      <c r="N335" t="s" s="96">
        <v>244</v>
      </c>
      <c r="O335" t="s" s="96">
        <v>264</v>
      </c>
      <c r="P335" t="s" s="96">
        <v>1191</v>
      </c>
      <c r="Q335" t="s" s="98">
        <v>1192</v>
      </c>
    </row>
    <row r="336" ht="42" customHeight="1">
      <c r="A336" t="s" s="103">
        <v>1222</v>
      </c>
      <c r="B336" t="s" s="104">
        <v>238</v>
      </c>
      <c r="C336" t="s" s="104">
        <v>1189</v>
      </c>
      <c r="D336" t="s" s="104">
        <v>157</v>
      </c>
      <c r="E336" t="s" s="104">
        <v>157</v>
      </c>
      <c r="F336" t="s" s="104">
        <v>241</v>
      </c>
      <c r="G336" t="s" s="96">
        <v>591</v>
      </c>
      <c r="H336" s="97"/>
      <c r="I336" s="97"/>
      <c r="J336" s="97"/>
      <c r="K336" s="97"/>
      <c r="L336" s="97"/>
      <c r="M336" t="s" s="96">
        <v>243</v>
      </c>
      <c r="N336" t="s" s="96">
        <v>244</v>
      </c>
      <c r="O336" t="s" s="96">
        <v>264</v>
      </c>
      <c r="P336" t="s" s="96">
        <v>1191</v>
      </c>
      <c r="Q336" t="s" s="98">
        <v>1192</v>
      </c>
    </row>
    <row r="337" ht="42" customHeight="1">
      <c r="A337" t="s" s="103">
        <v>1223</v>
      </c>
      <c r="B337" t="s" s="104">
        <v>238</v>
      </c>
      <c r="C337" t="s" s="104">
        <v>1189</v>
      </c>
      <c r="D337" t="s" s="104">
        <v>157</v>
      </c>
      <c r="E337" t="s" s="104">
        <v>157</v>
      </c>
      <c r="F337" t="s" s="104">
        <v>241</v>
      </c>
      <c r="G337" t="s" s="96">
        <v>1224</v>
      </c>
      <c r="H337" s="97"/>
      <c r="I337" s="97"/>
      <c r="J337" s="97"/>
      <c r="K337" s="97"/>
      <c r="L337" s="97"/>
      <c r="M337" t="s" s="96">
        <v>243</v>
      </c>
      <c r="N337" t="s" s="96">
        <v>244</v>
      </c>
      <c r="O337" t="s" s="96">
        <v>264</v>
      </c>
      <c r="P337" t="s" s="96">
        <v>1191</v>
      </c>
      <c r="Q337" t="s" s="98">
        <v>1192</v>
      </c>
    </row>
    <row r="338" ht="42" customHeight="1">
      <c r="A338" t="s" s="103">
        <v>1225</v>
      </c>
      <c r="B338" t="s" s="104">
        <v>238</v>
      </c>
      <c r="C338" t="s" s="104">
        <v>1189</v>
      </c>
      <c r="D338" t="s" s="104">
        <v>157</v>
      </c>
      <c r="E338" t="s" s="104">
        <v>157</v>
      </c>
      <c r="F338" t="s" s="104">
        <v>241</v>
      </c>
      <c r="G338" t="s" s="96">
        <v>1226</v>
      </c>
      <c r="H338" s="97"/>
      <c r="I338" s="97"/>
      <c r="J338" s="97"/>
      <c r="K338" s="97"/>
      <c r="L338" s="97"/>
      <c r="M338" t="s" s="96">
        <v>243</v>
      </c>
      <c r="N338" t="s" s="96">
        <v>244</v>
      </c>
      <c r="O338" t="s" s="96">
        <v>264</v>
      </c>
      <c r="P338" t="s" s="96">
        <v>1191</v>
      </c>
      <c r="Q338" t="s" s="98">
        <v>1192</v>
      </c>
    </row>
    <row r="339" ht="42" customHeight="1">
      <c r="A339" t="s" s="103">
        <v>1227</v>
      </c>
      <c r="B339" t="s" s="104">
        <v>238</v>
      </c>
      <c r="C339" t="s" s="104">
        <v>1189</v>
      </c>
      <c r="D339" t="s" s="104">
        <v>157</v>
      </c>
      <c r="E339" t="s" s="104">
        <v>157</v>
      </c>
      <c r="F339" t="s" s="104">
        <v>241</v>
      </c>
      <c r="G339" t="s" s="96">
        <v>1228</v>
      </c>
      <c r="H339" s="97"/>
      <c r="I339" s="97"/>
      <c r="J339" s="97"/>
      <c r="K339" s="97"/>
      <c r="L339" s="97"/>
      <c r="M339" t="s" s="96">
        <v>243</v>
      </c>
      <c r="N339" t="s" s="96">
        <v>244</v>
      </c>
      <c r="O339" t="s" s="96">
        <v>264</v>
      </c>
      <c r="P339" t="s" s="96">
        <v>1191</v>
      </c>
      <c r="Q339" t="s" s="98">
        <v>1192</v>
      </c>
    </row>
    <row r="340" ht="42" customHeight="1">
      <c r="A340" t="s" s="103">
        <v>1229</v>
      </c>
      <c r="B340" t="s" s="104">
        <v>238</v>
      </c>
      <c r="C340" t="s" s="104">
        <v>1189</v>
      </c>
      <c r="D340" t="s" s="104">
        <v>162</v>
      </c>
      <c r="E340" t="s" s="104">
        <v>162</v>
      </c>
      <c r="F340" t="s" s="104">
        <v>241</v>
      </c>
      <c r="G340" t="s" s="96">
        <v>1230</v>
      </c>
      <c r="H340" s="97"/>
      <c r="I340" s="97"/>
      <c r="J340" s="97"/>
      <c r="K340" s="97"/>
      <c r="L340" s="97"/>
      <c r="M340" t="s" s="96">
        <v>243</v>
      </c>
      <c r="N340" t="s" s="96">
        <v>244</v>
      </c>
      <c r="O340" t="s" s="96">
        <v>264</v>
      </c>
      <c r="P340" t="s" s="96">
        <v>1231</v>
      </c>
      <c r="Q340" t="s" s="98">
        <v>1192</v>
      </c>
    </row>
    <row r="341" ht="42" customHeight="1">
      <c r="A341" t="s" s="103">
        <v>1232</v>
      </c>
      <c r="B341" t="s" s="104">
        <v>238</v>
      </c>
      <c r="C341" t="s" s="104">
        <v>1189</v>
      </c>
      <c r="D341" t="s" s="104">
        <v>162</v>
      </c>
      <c r="E341" t="s" s="104">
        <v>162</v>
      </c>
      <c r="F341" t="s" s="104">
        <v>241</v>
      </c>
      <c r="G341" t="s" s="96">
        <v>1233</v>
      </c>
      <c r="H341" s="97"/>
      <c r="I341" s="97"/>
      <c r="J341" s="97"/>
      <c r="K341" s="97"/>
      <c r="L341" s="97"/>
      <c r="M341" t="s" s="96">
        <v>243</v>
      </c>
      <c r="N341" t="s" s="96">
        <v>244</v>
      </c>
      <c r="O341" t="s" s="96">
        <v>264</v>
      </c>
      <c r="P341" t="s" s="96">
        <v>1231</v>
      </c>
      <c r="Q341" t="s" s="98">
        <v>1192</v>
      </c>
    </row>
    <row r="342" ht="42" customHeight="1">
      <c r="A342" t="s" s="103">
        <v>1234</v>
      </c>
      <c r="B342" t="s" s="104">
        <v>238</v>
      </c>
      <c r="C342" t="s" s="104">
        <v>1189</v>
      </c>
      <c r="D342" t="s" s="104">
        <v>162</v>
      </c>
      <c r="E342" t="s" s="104">
        <v>162</v>
      </c>
      <c r="F342" t="s" s="104">
        <v>241</v>
      </c>
      <c r="G342" t="s" s="96">
        <v>1235</v>
      </c>
      <c r="H342" s="97"/>
      <c r="I342" s="97"/>
      <c r="J342" s="97"/>
      <c r="K342" s="97"/>
      <c r="L342" s="97"/>
      <c r="M342" t="s" s="96">
        <v>243</v>
      </c>
      <c r="N342" t="s" s="96">
        <v>244</v>
      </c>
      <c r="O342" t="s" s="96">
        <v>264</v>
      </c>
      <c r="P342" t="s" s="96">
        <v>1231</v>
      </c>
      <c r="Q342" t="s" s="98">
        <v>1192</v>
      </c>
    </row>
    <row r="343" ht="42" customHeight="1">
      <c r="A343" t="s" s="103">
        <v>1236</v>
      </c>
      <c r="B343" t="s" s="104">
        <v>238</v>
      </c>
      <c r="C343" t="s" s="104">
        <v>1189</v>
      </c>
      <c r="D343" t="s" s="104">
        <v>162</v>
      </c>
      <c r="E343" t="s" s="104">
        <v>162</v>
      </c>
      <c r="F343" t="s" s="104">
        <v>241</v>
      </c>
      <c r="G343" t="s" s="96">
        <v>1237</v>
      </c>
      <c r="H343" s="97"/>
      <c r="I343" s="97"/>
      <c r="J343" s="97"/>
      <c r="K343" s="97"/>
      <c r="L343" s="97"/>
      <c r="M343" t="s" s="96">
        <v>243</v>
      </c>
      <c r="N343" t="s" s="96">
        <v>244</v>
      </c>
      <c r="O343" t="s" s="96">
        <v>264</v>
      </c>
      <c r="P343" t="s" s="96">
        <v>1231</v>
      </c>
      <c r="Q343" t="s" s="98">
        <v>1192</v>
      </c>
    </row>
    <row r="344" ht="42" customHeight="1">
      <c r="A344" t="s" s="103">
        <v>1238</v>
      </c>
      <c r="B344" t="s" s="104">
        <v>238</v>
      </c>
      <c r="C344" t="s" s="104">
        <v>1189</v>
      </c>
      <c r="D344" t="s" s="104">
        <v>162</v>
      </c>
      <c r="E344" t="s" s="104">
        <v>162</v>
      </c>
      <c r="F344" t="s" s="104">
        <v>241</v>
      </c>
      <c r="G344" t="s" s="96">
        <v>1239</v>
      </c>
      <c r="H344" s="97"/>
      <c r="I344" s="97"/>
      <c r="J344" s="97"/>
      <c r="K344" s="97"/>
      <c r="L344" s="97"/>
      <c r="M344" t="s" s="96">
        <v>243</v>
      </c>
      <c r="N344" t="s" s="96">
        <v>244</v>
      </c>
      <c r="O344" t="s" s="96">
        <v>264</v>
      </c>
      <c r="P344" t="s" s="96">
        <v>1231</v>
      </c>
      <c r="Q344" t="s" s="98">
        <v>1192</v>
      </c>
    </row>
    <row r="345" ht="42" customHeight="1">
      <c r="A345" t="s" s="103">
        <v>1240</v>
      </c>
      <c r="B345" t="s" s="104">
        <v>238</v>
      </c>
      <c r="C345" t="s" s="104">
        <v>1189</v>
      </c>
      <c r="D345" t="s" s="104">
        <v>162</v>
      </c>
      <c r="E345" t="s" s="104">
        <v>162</v>
      </c>
      <c r="F345" t="s" s="104">
        <v>241</v>
      </c>
      <c r="G345" t="s" s="96">
        <v>1241</v>
      </c>
      <c r="H345" s="97"/>
      <c r="I345" s="97"/>
      <c r="J345" s="97"/>
      <c r="K345" s="97"/>
      <c r="L345" s="97"/>
      <c r="M345" t="s" s="96">
        <v>243</v>
      </c>
      <c r="N345" t="s" s="96">
        <v>244</v>
      </c>
      <c r="O345" t="s" s="96">
        <v>264</v>
      </c>
      <c r="P345" t="s" s="96">
        <v>1231</v>
      </c>
      <c r="Q345" t="s" s="98">
        <v>1192</v>
      </c>
    </row>
    <row r="346" ht="42" customHeight="1">
      <c r="A346" t="s" s="103">
        <v>1242</v>
      </c>
      <c r="B346" t="s" s="104">
        <v>238</v>
      </c>
      <c r="C346" t="s" s="104">
        <v>1189</v>
      </c>
      <c r="D346" t="s" s="104">
        <v>162</v>
      </c>
      <c r="E346" t="s" s="104">
        <v>162</v>
      </c>
      <c r="F346" t="s" s="104">
        <v>241</v>
      </c>
      <c r="G346" t="s" s="96">
        <v>1243</v>
      </c>
      <c r="H346" s="97"/>
      <c r="I346" s="97"/>
      <c r="J346" s="97"/>
      <c r="K346" s="97"/>
      <c r="L346" s="97"/>
      <c r="M346" t="s" s="96">
        <v>243</v>
      </c>
      <c r="N346" t="s" s="96">
        <v>244</v>
      </c>
      <c r="O346" t="s" s="96">
        <v>264</v>
      </c>
      <c r="P346" t="s" s="96">
        <v>1231</v>
      </c>
      <c r="Q346" t="s" s="98">
        <v>1192</v>
      </c>
    </row>
    <row r="347" ht="42" customHeight="1">
      <c r="A347" t="s" s="103">
        <v>1244</v>
      </c>
      <c r="B347" t="s" s="104">
        <v>238</v>
      </c>
      <c r="C347" t="s" s="104">
        <v>1189</v>
      </c>
      <c r="D347" t="s" s="104">
        <v>162</v>
      </c>
      <c r="E347" t="s" s="104">
        <v>162</v>
      </c>
      <c r="F347" t="s" s="104">
        <v>241</v>
      </c>
      <c r="G347" t="s" s="96">
        <v>1245</v>
      </c>
      <c r="H347" s="97"/>
      <c r="I347" s="97"/>
      <c r="J347" s="97"/>
      <c r="K347" s="97"/>
      <c r="L347" s="97"/>
      <c r="M347" t="s" s="96">
        <v>243</v>
      </c>
      <c r="N347" t="s" s="96">
        <v>244</v>
      </c>
      <c r="O347" t="s" s="96">
        <v>264</v>
      </c>
      <c r="P347" t="s" s="96">
        <v>1231</v>
      </c>
      <c r="Q347" t="s" s="98">
        <v>1192</v>
      </c>
    </row>
    <row r="348" ht="42" customHeight="1">
      <c r="A348" t="s" s="103">
        <v>1246</v>
      </c>
      <c r="B348" t="s" s="104">
        <v>238</v>
      </c>
      <c r="C348" t="s" s="104">
        <v>1189</v>
      </c>
      <c r="D348" t="s" s="104">
        <v>162</v>
      </c>
      <c r="E348" t="s" s="104">
        <v>162</v>
      </c>
      <c r="F348" t="s" s="104">
        <v>241</v>
      </c>
      <c r="G348" t="s" s="96">
        <v>1247</v>
      </c>
      <c r="H348" s="97"/>
      <c r="I348" s="97"/>
      <c r="J348" s="97"/>
      <c r="K348" s="97"/>
      <c r="L348" s="97"/>
      <c r="M348" t="s" s="96">
        <v>243</v>
      </c>
      <c r="N348" t="s" s="96">
        <v>244</v>
      </c>
      <c r="O348" t="s" s="96">
        <v>264</v>
      </c>
      <c r="P348" t="s" s="96">
        <v>1231</v>
      </c>
      <c r="Q348" t="s" s="98">
        <v>1192</v>
      </c>
    </row>
    <row r="349" ht="42" customHeight="1">
      <c r="A349" t="s" s="103">
        <v>1248</v>
      </c>
      <c r="B349" t="s" s="104">
        <v>238</v>
      </c>
      <c r="C349" t="s" s="104">
        <v>1189</v>
      </c>
      <c r="D349" t="s" s="104">
        <v>162</v>
      </c>
      <c r="E349" t="s" s="104">
        <v>162</v>
      </c>
      <c r="F349" t="s" s="104">
        <v>241</v>
      </c>
      <c r="G349" t="s" s="96">
        <v>1249</v>
      </c>
      <c r="H349" s="97"/>
      <c r="I349" s="97"/>
      <c r="J349" s="97"/>
      <c r="K349" s="97"/>
      <c r="L349" s="97"/>
      <c r="M349" t="s" s="96">
        <v>243</v>
      </c>
      <c r="N349" t="s" s="96">
        <v>244</v>
      </c>
      <c r="O349" t="s" s="96">
        <v>264</v>
      </c>
      <c r="P349" t="s" s="96">
        <v>1231</v>
      </c>
      <c r="Q349" t="s" s="98">
        <v>1192</v>
      </c>
    </row>
    <row r="350" ht="42" customHeight="1">
      <c r="A350" t="s" s="103">
        <v>1250</v>
      </c>
      <c r="B350" t="s" s="104">
        <v>238</v>
      </c>
      <c r="C350" t="s" s="104">
        <v>1189</v>
      </c>
      <c r="D350" t="s" s="104">
        <v>162</v>
      </c>
      <c r="E350" t="s" s="104">
        <v>162</v>
      </c>
      <c r="F350" t="s" s="104">
        <v>241</v>
      </c>
      <c r="G350" t="s" s="96">
        <v>1251</v>
      </c>
      <c r="H350" s="97"/>
      <c r="I350" s="97"/>
      <c r="J350" s="97"/>
      <c r="K350" s="97"/>
      <c r="L350" s="97"/>
      <c r="M350" t="s" s="96">
        <v>243</v>
      </c>
      <c r="N350" t="s" s="96">
        <v>244</v>
      </c>
      <c r="O350" t="s" s="96">
        <v>264</v>
      </c>
      <c r="P350" t="s" s="96">
        <v>1231</v>
      </c>
      <c r="Q350" t="s" s="98">
        <v>1192</v>
      </c>
    </row>
    <row r="351" ht="42" customHeight="1">
      <c r="A351" t="s" s="103">
        <v>1252</v>
      </c>
      <c r="B351" t="s" s="104">
        <v>238</v>
      </c>
      <c r="C351" t="s" s="104">
        <v>1189</v>
      </c>
      <c r="D351" t="s" s="104">
        <v>162</v>
      </c>
      <c r="E351" t="s" s="104">
        <v>162</v>
      </c>
      <c r="F351" t="s" s="104">
        <v>241</v>
      </c>
      <c r="G351" t="s" s="96">
        <v>1253</v>
      </c>
      <c r="H351" s="97"/>
      <c r="I351" s="97"/>
      <c r="J351" s="97"/>
      <c r="K351" s="97"/>
      <c r="L351" s="97"/>
      <c r="M351" t="s" s="96">
        <v>243</v>
      </c>
      <c r="N351" t="s" s="96">
        <v>244</v>
      </c>
      <c r="O351" t="s" s="96">
        <v>264</v>
      </c>
      <c r="P351" t="s" s="96">
        <v>1231</v>
      </c>
      <c r="Q351" t="s" s="98">
        <v>1192</v>
      </c>
    </row>
    <row r="352" ht="42" customHeight="1">
      <c r="A352" t="s" s="103">
        <v>1254</v>
      </c>
      <c r="B352" t="s" s="104">
        <v>238</v>
      </c>
      <c r="C352" t="s" s="104">
        <v>1189</v>
      </c>
      <c r="D352" t="s" s="104">
        <v>162</v>
      </c>
      <c r="E352" t="s" s="104">
        <v>162</v>
      </c>
      <c r="F352" t="s" s="104">
        <v>241</v>
      </c>
      <c r="G352" t="s" s="96">
        <v>1255</v>
      </c>
      <c r="H352" s="97"/>
      <c r="I352" s="97"/>
      <c r="J352" s="97"/>
      <c r="K352" s="97"/>
      <c r="L352" s="97"/>
      <c r="M352" t="s" s="96">
        <v>243</v>
      </c>
      <c r="N352" t="s" s="96">
        <v>244</v>
      </c>
      <c r="O352" t="s" s="96">
        <v>264</v>
      </c>
      <c r="P352" t="s" s="96">
        <v>1231</v>
      </c>
      <c r="Q352" t="s" s="98">
        <v>1192</v>
      </c>
    </row>
    <row r="353" ht="42" customHeight="1">
      <c r="A353" t="s" s="103">
        <v>1256</v>
      </c>
      <c r="B353" t="s" s="104">
        <v>238</v>
      </c>
      <c r="C353" t="s" s="104">
        <v>1189</v>
      </c>
      <c r="D353" t="s" s="104">
        <v>162</v>
      </c>
      <c r="E353" t="s" s="104">
        <v>162</v>
      </c>
      <c r="F353" t="s" s="104">
        <v>241</v>
      </c>
      <c r="G353" t="s" s="96">
        <v>1257</v>
      </c>
      <c r="H353" s="97"/>
      <c r="I353" s="97"/>
      <c r="J353" s="97"/>
      <c r="K353" s="97"/>
      <c r="L353" s="97"/>
      <c r="M353" t="s" s="96">
        <v>243</v>
      </c>
      <c r="N353" t="s" s="96">
        <v>244</v>
      </c>
      <c r="O353" t="s" s="96">
        <v>264</v>
      </c>
      <c r="P353" t="s" s="96">
        <v>1231</v>
      </c>
      <c r="Q353" t="s" s="98">
        <v>1192</v>
      </c>
    </row>
    <row r="354" ht="42" customHeight="1">
      <c r="A354" t="s" s="103">
        <v>1258</v>
      </c>
      <c r="B354" t="s" s="104">
        <v>238</v>
      </c>
      <c r="C354" t="s" s="104">
        <v>1189</v>
      </c>
      <c r="D354" t="s" s="104">
        <v>162</v>
      </c>
      <c r="E354" t="s" s="104">
        <v>162</v>
      </c>
      <c r="F354" t="s" s="104">
        <v>241</v>
      </c>
      <c r="G354" t="s" s="96">
        <v>1259</v>
      </c>
      <c r="H354" s="97"/>
      <c r="I354" s="97"/>
      <c r="J354" s="97"/>
      <c r="K354" s="97"/>
      <c r="L354" s="97"/>
      <c r="M354" t="s" s="96">
        <v>243</v>
      </c>
      <c r="N354" t="s" s="96">
        <v>244</v>
      </c>
      <c r="O354" t="s" s="96">
        <v>264</v>
      </c>
      <c r="P354" t="s" s="96">
        <v>1231</v>
      </c>
      <c r="Q354" t="s" s="98">
        <v>1192</v>
      </c>
    </row>
    <row r="355" ht="42" customHeight="1">
      <c r="A355" t="s" s="103">
        <v>1260</v>
      </c>
      <c r="B355" t="s" s="104">
        <v>238</v>
      </c>
      <c r="C355" t="s" s="104">
        <v>1189</v>
      </c>
      <c r="D355" t="s" s="104">
        <v>162</v>
      </c>
      <c r="E355" t="s" s="104">
        <v>162</v>
      </c>
      <c r="F355" t="s" s="104">
        <v>241</v>
      </c>
      <c r="G355" t="s" s="96">
        <v>1261</v>
      </c>
      <c r="H355" s="97"/>
      <c r="I355" s="97"/>
      <c r="J355" s="97"/>
      <c r="K355" s="97"/>
      <c r="L355" s="97"/>
      <c r="M355" t="s" s="96">
        <v>243</v>
      </c>
      <c r="N355" t="s" s="96">
        <v>244</v>
      </c>
      <c r="O355" t="s" s="96">
        <v>264</v>
      </c>
      <c r="P355" t="s" s="96">
        <v>1231</v>
      </c>
      <c r="Q355" t="s" s="98">
        <v>1192</v>
      </c>
    </row>
    <row r="356" ht="42" customHeight="1">
      <c r="A356" t="s" s="103">
        <v>1262</v>
      </c>
      <c r="B356" t="s" s="104">
        <v>238</v>
      </c>
      <c r="C356" t="s" s="104">
        <v>1189</v>
      </c>
      <c r="D356" t="s" s="104">
        <v>162</v>
      </c>
      <c r="E356" t="s" s="104">
        <v>162</v>
      </c>
      <c r="F356" t="s" s="104">
        <v>241</v>
      </c>
      <c r="G356" t="s" s="96">
        <v>1263</v>
      </c>
      <c r="H356" s="97"/>
      <c r="I356" s="97"/>
      <c r="J356" s="97"/>
      <c r="K356" s="97"/>
      <c r="L356" s="97"/>
      <c r="M356" t="s" s="96">
        <v>243</v>
      </c>
      <c r="N356" t="s" s="96">
        <v>244</v>
      </c>
      <c r="O356" t="s" s="96">
        <v>264</v>
      </c>
      <c r="P356" t="s" s="96">
        <v>1231</v>
      </c>
      <c r="Q356" t="s" s="98">
        <v>1192</v>
      </c>
    </row>
    <row r="357" ht="42" customHeight="1">
      <c r="A357" t="s" s="103">
        <v>1264</v>
      </c>
      <c r="B357" t="s" s="104">
        <v>238</v>
      </c>
      <c r="C357" t="s" s="104">
        <v>1189</v>
      </c>
      <c r="D357" t="s" s="104">
        <v>162</v>
      </c>
      <c r="E357" t="s" s="104">
        <v>162</v>
      </c>
      <c r="F357" t="s" s="104">
        <v>241</v>
      </c>
      <c r="G357" t="s" s="96">
        <v>1265</v>
      </c>
      <c r="H357" s="97"/>
      <c r="I357" s="97"/>
      <c r="J357" s="97"/>
      <c r="K357" s="97"/>
      <c r="L357" s="97"/>
      <c r="M357" t="s" s="96">
        <v>243</v>
      </c>
      <c r="N357" t="s" s="96">
        <v>244</v>
      </c>
      <c r="O357" t="s" s="96">
        <v>264</v>
      </c>
      <c r="P357" t="s" s="96">
        <v>1231</v>
      </c>
      <c r="Q357" t="s" s="98">
        <v>1192</v>
      </c>
    </row>
    <row r="358" ht="42" customHeight="1">
      <c r="A358" t="s" s="103">
        <v>1266</v>
      </c>
      <c r="B358" t="s" s="104">
        <v>238</v>
      </c>
      <c r="C358" t="s" s="104">
        <v>1189</v>
      </c>
      <c r="D358" t="s" s="104">
        <v>162</v>
      </c>
      <c r="E358" t="s" s="104">
        <v>162</v>
      </c>
      <c r="F358" t="s" s="104">
        <v>241</v>
      </c>
      <c r="G358" t="s" s="96">
        <v>1267</v>
      </c>
      <c r="H358" s="97"/>
      <c r="I358" s="97"/>
      <c r="J358" s="97"/>
      <c r="K358" s="97"/>
      <c r="L358" s="97"/>
      <c r="M358" t="s" s="96">
        <v>243</v>
      </c>
      <c r="N358" t="s" s="96">
        <v>244</v>
      </c>
      <c r="O358" t="s" s="96">
        <v>264</v>
      </c>
      <c r="P358" t="s" s="96">
        <v>1231</v>
      </c>
      <c r="Q358" t="s" s="98">
        <v>1192</v>
      </c>
    </row>
    <row r="359" ht="42" customHeight="1">
      <c r="A359" t="s" s="103">
        <v>1268</v>
      </c>
      <c r="B359" t="s" s="104">
        <v>238</v>
      </c>
      <c r="C359" t="s" s="104">
        <v>1189</v>
      </c>
      <c r="D359" t="s" s="104">
        <v>162</v>
      </c>
      <c r="E359" t="s" s="104">
        <v>162</v>
      </c>
      <c r="F359" t="s" s="104">
        <v>241</v>
      </c>
      <c r="G359" t="s" s="96">
        <v>1269</v>
      </c>
      <c r="H359" s="97"/>
      <c r="I359" s="97"/>
      <c r="J359" s="97"/>
      <c r="K359" s="97"/>
      <c r="L359" s="97"/>
      <c r="M359" t="s" s="96">
        <v>243</v>
      </c>
      <c r="N359" t="s" s="96">
        <v>244</v>
      </c>
      <c r="O359" t="s" s="96">
        <v>264</v>
      </c>
      <c r="P359" t="s" s="96">
        <v>1231</v>
      </c>
      <c r="Q359" t="s" s="98">
        <v>1192</v>
      </c>
    </row>
    <row r="360" ht="42" customHeight="1">
      <c r="A360" t="s" s="103">
        <v>1270</v>
      </c>
      <c r="B360" t="s" s="104">
        <v>238</v>
      </c>
      <c r="C360" t="s" s="104">
        <v>1189</v>
      </c>
      <c r="D360" t="s" s="104">
        <v>167</v>
      </c>
      <c r="E360" t="s" s="104">
        <v>167</v>
      </c>
      <c r="F360" t="s" s="104">
        <v>241</v>
      </c>
      <c r="G360" t="s" s="96">
        <v>1271</v>
      </c>
      <c r="H360" s="97"/>
      <c r="I360" s="97"/>
      <c r="J360" s="97"/>
      <c r="K360" s="97"/>
      <c r="L360" s="97"/>
      <c r="M360" t="s" s="96">
        <v>243</v>
      </c>
      <c r="N360" t="s" s="96">
        <v>244</v>
      </c>
      <c r="O360" t="s" s="96">
        <v>264</v>
      </c>
      <c r="P360" t="s" s="96">
        <v>1272</v>
      </c>
      <c r="Q360" t="s" s="98">
        <v>1192</v>
      </c>
    </row>
    <row r="361" ht="42" customHeight="1">
      <c r="A361" t="s" s="103">
        <v>1273</v>
      </c>
      <c r="B361" t="s" s="104">
        <v>238</v>
      </c>
      <c r="C361" t="s" s="104">
        <v>1189</v>
      </c>
      <c r="D361" t="s" s="104">
        <v>167</v>
      </c>
      <c r="E361" t="s" s="104">
        <v>167</v>
      </c>
      <c r="F361" t="s" s="104">
        <v>241</v>
      </c>
      <c r="G361" t="s" s="96">
        <v>1274</v>
      </c>
      <c r="H361" s="97"/>
      <c r="I361" s="97"/>
      <c r="J361" s="97"/>
      <c r="K361" s="97"/>
      <c r="L361" s="97"/>
      <c r="M361" t="s" s="96">
        <v>243</v>
      </c>
      <c r="N361" t="s" s="96">
        <v>244</v>
      </c>
      <c r="O361" t="s" s="96">
        <v>264</v>
      </c>
      <c r="P361" t="s" s="96">
        <v>1272</v>
      </c>
      <c r="Q361" t="s" s="98">
        <v>1192</v>
      </c>
    </row>
    <row r="362" ht="42" customHeight="1">
      <c r="A362" t="s" s="103">
        <v>1275</v>
      </c>
      <c r="B362" t="s" s="104">
        <v>238</v>
      </c>
      <c r="C362" t="s" s="104">
        <v>1189</v>
      </c>
      <c r="D362" t="s" s="104">
        <v>167</v>
      </c>
      <c r="E362" t="s" s="104">
        <v>167</v>
      </c>
      <c r="F362" t="s" s="104">
        <v>241</v>
      </c>
      <c r="G362" t="s" s="96">
        <v>1276</v>
      </c>
      <c r="H362" s="97"/>
      <c r="I362" s="97"/>
      <c r="J362" s="97"/>
      <c r="K362" s="97"/>
      <c r="L362" s="97"/>
      <c r="M362" t="s" s="96">
        <v>243</v>
      </c>
      <c r="N362" t="s" s="96">
        <v>244</v>
      </c>
      <c r="O362" t="s" s="96">
        <v>264</v>
      </c>
      <c r="P362" t="s" s="96">
        <v>1272</v>
      </c>
      <c r="Q362" t="s" s="98">
        <v>1192</v>
      </c>
    </row>
    <row r="363" ht="42" customHeight="1">
      <c r="A363" t="s" s="103">
        <v>1277</v>
      </c>
      <c r="B363" t="s" s="104">
        <v>238</v>
      </c>
      <c r="C363" t="s" s="104">
        <v>1189</v>
      </c>
      <c r="D363" t="s" s="104">
        <v>167</v>
      </c>
      <c r="E363" t="s" s="104">
        <v>167</v>
      </c>
      <c r="F363" t="s" s="104">
        <v>241</v>
      </c>
      <c r="G363" t="s" s="96">
        <v>1278</v>
      </c>
      <c r="H363" s="97"/>
      <c r="I363" s="97"/>
      <c r="J363" s="97"/>
      <c r="K363" s="97"/>
      <c r="L363" s="97"/>
      <c r="M363" t="s" s="96">
        <v>243</v>
      </c>
      <c r="N363" t="s" s="96">
        <v>244</v>
      </c>
      <c r="O363" t="s" s="96">
        <v>264</v>
      </c>
      <c r="P363" t="s" s="96">
        <v>1272</v>
      </c>
      <c r="Q363" t="s" s="98">
        <v>1192</v>
      </c>
    </row>
    <row r="364" ht="42" customHeight="1">
      <c r="A364" t="s" s="103">
        <v>1279</v>
      </c>
      <c r="B364" t="s" s="104">
        <v>238</v>
      </c>
      <c r="C364" t="s" s="104">
        <v>1189</v>
      </c>
      <c r="D364" t="s" s="104">
        <v>167</v>
      </c>
      <c r="E364" t="s" s="104">
        <v>167</v>
      </c>
      <c r="F364" t="s" s="104">
        <v>241</v>
      </c>
      <c r="G364" t="s" s="96">
        <v>1280</v>
      </c>
      <c r="H364" s="97"/>
      <c r="I364" s="97"/>
      <c r="J364" s="97"/>
      <c r="K364" s="97"/>
      <c r="L364" s="97"/>
      <c r="M364" t="s" s="96">
        <v>243</v>
      </c>
      <c r="N364" t="s" s="96">
        <v>244</v>
      </c>
      <c r="O364" t="s" s="96">
        <v>264</v>
      </c>
      <c r="P364" t="s" s="96">
        <v>1272</v>
      </c>
      <c r="Q364" t="s" s="98">
        <v>1192</v>
      </c>
    </row>
    <row r="365" ht="42" customHeight="1">
      <c r="A365" t="s" s="103">
        <v>1281</v>
      </c>
      <c r="B365" t="s" s="104">
        <v>238</v>
      </c>
      <c r="C365" t="s" s="104">
        <v>1189</v>
      </c>
      <c r="D365" t="s" s="104">
        <v>167</v>
      </c>
      <c r="E365" t="s" s="104">
        <v>167</v>
      </c>
      <c r="F365" t="s" s="104">
        <v>241</v>
      </c>
      <c r="G365" t="s" s="96">
        <v>1282</v>
      </c>
      <c r="H365" s="97"/>
      <c r="I365" s="97"/>
      <c r="J365" s="97"/>
      <c r="K365" s="97"/>
      <c r="L365" s="97"/>
      <c r="M365" t="s" s="96">
        <v>243</v>
      </c>
      <c r="N365" t="s" s="96">
        <v>244</v>
      </c>
      <c r="O365" t="s" s="96">
        <v>264</v>
      </c>
      <c r="P365" t="s" s="96">
        <v>1272</v>
      </c>
      <c r="Q365" t="s" s="98">
        <v>1192</v>
      </c>
    </row>
    <row r="366" ht="42" customHeight="1">
      <c r="A366" t="s" s="103">
        <v>1283</v>
      </c>
      <c r="B366" t="s" s="104">
        <v>238</v>
      </c>
      <c r="C366" t="s" s="104">
        <v>1189</v>
      </c>
      <c r="D366" t="s" s="104">
        <v>167</v>
      </c>
      <c r="E366" t="s" s="104">
        <v>167</v>
      </c>
      <c r="F366" t="s" s="104">
        <v>241</v>
      </c>
      <c r="G366" t="s" s="96">
        <v>1284</v>
      </c>
      <c r="H366" s="97"/>
      <c r="I366" s="97"/>
      <c r="J366" s="97"/>
      <c r="K366" s="97"/>
      <c r="L366" s="97"/>
      <c r="M366" t="s" s="96">
        <v>243</v>
      </c>
      <c r="N366" t="s" s="96">
        <v>244</v>
      </c>
      <c r="O366" t="s" s="96">
        <v>264</v>
      </c>
      <c r="P366" t="s" s="96">
        <v>1272</v>
      </c>
      <c r="Q366" t="s" s="98">
        <v>1192</v>
      </c>
    </row>
    <row r="367" ht="42" customHeight="1">
      <c r="A367" t="s" s="103">
        <v>1285</v>
      </c>
      <c r="B367" t="s" s="104">
        <v>238</v>
      </c>
      <c r="C367" t="s" s="104">
        <v>1189</v>
      </c>
      <c r="D367" t="s" s="104">
        <v>167</v>
      </c>
      <c r="E367" t="s" s="104">
        <v>167</v>
      </c>
      <c r="F367" t="s" s="104">
        <v>241</v>
      </c>
      <c r="G367" t="s" s="96">
        <v>1286</v>
      </c>
      <c r="H367" s="97"/>
      <c r="I367" s="97"/>
      <c r="J367" s="97"/>
      <c r="K367" s="97"/>
      <c r="L367" s="97"/>
      <c r="M367" t="s" s="96">
        <v>243</v>
      </c>
      <c r="N367" t="s" s="96">
        <v>244</v>
      </c>
      <c r="O367" t="s" s="96">
        <v>264</v>
      </c>
      <c r="P367" t="s" s="96">
        <v>1272</v>
      </c>
      <c r="Q367" t="s" s="98">
        <v>1192</v>
      </c>
    </row>
    <row r="368" ht="42" customHeight="1">
      <c r="A368" t="s" s="103">
        <v>1287</v>
      </c>
      <c r="B368" t="s" s="104">
        <v>238</v>
      </c>
      <c r="C368" t="s" s="104">
        <v>1189</v>
      </c>
      <c r="D368" t="s" s="104">
        <v>167</v>
      </c>
      <c r="E368" t="s" s="104">
        <v>167</v>
      </c>
      <c r="F368" t="s" s="104">
        <v>241</v>
      </c>
      <c r="G368" t="s" s="96">
        <v>1288</v>
      </c>
      <c r="H368" s="97"/>
      <c r="I368" s="97"/>
      <c r="J368" s="97"/>
      <c r="K368" s="97"/>
      <c r="L368" s="97"/>
      <c r="M368" t="s" s="96">
        <v>243</v>
      </c>
      <c r="N368" t="s" s="96">
        <v>244</v>
      </c>
      <c r="O368" t="s" s="96">
        <v>264</v>
      </c>
      <c r="P368" t="s" s="96">
        <v>1272</v>
      </c>
      <c r="Q368" t="s" s="98">
        <v>1192</v>
      </c>
    </row>
    <row r="369" ht="42" customHeight="1">
      <c r="A369" t="s" s="103">
        <v>1289</v>
      </c>
      <c r="B369" t="s" s="104">
        <v>238</v>
      </c>
      <c r="C369" t="s" s="104">
        <v>1189</v>
      </c>
      <c r="D369" t="s" s="104">
        <v>167</v>
      </c>
      <c r="E369" t="s" s="104">
        <v>167</v>
      </c>
      <c r="F369" t="s" s="104">
        <v>241</v>
      </c>
      <c r="G369" t="s" s="96">
        <v>1290</v>
      </c>
      <c r="H369" s="97"/>
      <c r="I369" s="97"/>
      <c r="J369" s="97"/>
      <c r="K369" s="97"/>
      <c r="L369" s="97"/>
      <c r="M369" t="s" s="96">
        <v>243</v>
      </c>
      <c r="N369" t="s" s="96">
        <v>244</v>
      </c>
      <c r="O369" t="s" s="96">
        <v>264</v>
      </c>
      <c r="P369" t="s" s="96">
        <v>1272</v>
      </c>
      <c r="Q369" t="s" s="98">
        <v>1192</v>
      </c>
    </row>
    <row r="370" ht="42" customHeight="1">
      <c r="A370" t="s" s="103">
        <v>1291</v>
      </c>
      <c r="B370" t="s" s="104">
        <v>238</v>
      </c>
      <c r="C370" t="s" s="104">
        <v>1189</v>
      </c>
      <c r="D370" t="s" s="104">
        <v>167</v>
      </c>
      <c r="E370" t="s" s="104">
        <v>167</v>
      </c>
      <c r="F370" t="s" s="104">
        <v>241</v>
      </c>
      <c r="G370" t="s" s="96">
        <v>1292</v>
      </c>
      <c r="H370" s="97"/>
      <c r="I370" s="97"/>
      <c r="J370" s="97"/>
      <c r="K370" s="97"/>
      <c r="L370" s="97"/>
      <c r="M370" t="s" s="96">
        <v>243</v>
      </c>
      <c r="N370" t="s" s="96">
        <v>244</v>
      </c>
      <c r="O370" t="s" s="96">
        <v>264</v>
      </c>
      <c r="P370" t="s" s="96">
        <v>1272</v>
      </c>
      <c r="Q370" t="s" s="98">
        <v>1192</v>
      </c>
    </row>
    <row r="371" ht="42" customHeight="1">
      <c r="A371" t="s" s="103">
        <v>1293</v>
      </c>
      <c r="B371" t="s" s="104">
        <v>238</v>
      </c>
      <c r="C371" t="s" s="104">
        <v>1189</v>
      </c>
      <c r="D371" t="s" s="104">
        <v>167</v>
      </c>
      <c r="E371" t="s" s="104">
        <v>167</v>
      </c>
      <c r="F371" t="s" s="104">
        <v>241</v>
      </c>
      <c r="G371" t="s" s="96">
        <v>1294</v>
      </c>
      <c r="H371" s="97"/>
      <c r="I371" s="97"/>
      <c r="J371" s="97"/>
      <c r="K371" s="97"/>
      <c r="L371" s="97"/>
      <c r="M371" t="s" s="96">
        <v>243</v>
      </c>
      <c r="N371" t="s" s="96">
        <v>244</v>
      </c>
      <c r="O371" t="s" s="96">
        <v>264</v>
      </c>
      <c r="P371" t="s" s="96">
        <v>1272</v>
      </c>
      <c r="Q371" t="s" s="98">
        <v>1192</v>
      </c>
    </row>
    <row r="372" ht="42" customHeight="1">
      <c r="A372" t="s" s="103">
        <v>1295</v>
      </c>
      <c r="B372" t="s" s="104">
        <v>238</v>
      </c>
      <c r="C372" t="s" s="104">
        <v>1189</v>
      </c>
      <c r="D372" t="s" s="104">
        <v>167</v>
      </c>
      <c r="E372" t="s" s="104">
        <v>167</v>
      </c>
      <c r="F372" t="s" s="104">
        <v>241</v>
      </c>
      <c r="G372" t="s" s="96">
        <v>1296</v>
      </c>
      <c r="H372" s="97"/>
      <c r="I372" s="97"/>
      <c r="J372" s="97"/>
      <c r="K372" s="97"/>
      <c r="L372" s="97"/>
      <c r="M372" t="s" s="96">
        <v>243</v>
      </c>
      <c r="N372" t="s" s="96">
        <v>244</v>
      </c>
      <c r="O372" t="s" s="96">
        <v>264</v>
      </c>
      <c r="P372" t="s" s="96">
        <v>1272</v>
      </c>
      <c r="Q372" t="s" s="98">
        <v>1192</v>
      </c>
    </row>
    <row r="373" ht="42" customHeight="1">
      <c r="A373" t="s" s="103">
        <v>1297</v>
      </c>
      <c r="B373" t="s" s="104">
        <v>238</v>
      </c>
      <c r="C373" t="s" s="104">
        <v>1189</v>
      </c>
      <c r="D373" t="s" s="104">
        <v>167</v>
      </c>
      <c r="E373" t="s" s="104">
        <v>167</v>
      </c>
      <c r="F373" t="s" s="104">
        <v>241</v>
      </c>
      <c r="G373" t="s" s="96">
        <v>1298</v>
      </c>
      <c r="H373" s="97"/>
      <c r="I373" s="97"/>
      <c r="J373" s="97"/>
      <c r="K373" s="97"/>
      <c r="L373" s="97"/>
      <c r="M373" t="s" s="96">
        <v>243</v>
      </c>
      <c r="N373" t="s" s="96">
        <v>244</v>
      </c>
      <c r="O373" t="s" s="96">
        <v>264</v>
      </c>
      <c r="P373" t="s" s="96">
        <v>1272</v>
      </c>
      <c r="Q373" t="s" s="98">
        <v>1192</v>
      </c>
    </row>
    <row r="374" ht="42" customHeight="1">
      <c r="A374" t="s" s="103">
        <v>1299</v>
      </c>
      <c r="B374" t="s" s="104">
        <v>238</v>
      </c>
      <c r="C374" t="s" s="104">
        <v>1189</v>
      </c>
      <c r="D374" t="s" s="104">
        <v>167</v>
      </c>
      <c r="E374" t="s" s="104">
        <v>167</v>
      </c>
      <c r="F374" t="s" s="104">
        <v>241</v>
      </c>
      <c r="G374" t="s" s="96">
        <v>1300</v>
      </c>
      <c r="H374" s="97"/>
      <c r="I374" s="97"/>
      <c r="J374" s="97"/>
      <c r="K374" s="97"/>
      <c r="L374" s="97"/>
      <c r="M374" t="s" s="96">
        <v>243</v>
      </c>
      <c r="N374" t="s" s="96">
        <v>244</v>
      </c>
      <c r="O374" t="s" s="96">
        <v>264</v>
      </c>
      <c r="P374" t="s" s="96">
        <v>1272</v>
      </c>
      <c r="Q374" t="s" s="98">
        <v>1192</v>
      </c>
    </row>
    <row r="375" ht="42" customHeight="1">
      <c r="A375" t="s" s="103">
        <v>1301</v>
      </c>
      <c r="B375" t="s" s="104">
        <v>238</v>
      </c>
      <c r="C375" t="s" s="104">
        <v>1189</v>
      </c>
      <c r="D375" t="s" s="104">
        <v>167</v>
      </c>
      <c r="E375" t="s" s="104">
        <v>167</v>
      </c>
      <c r="F375" t="s" s="104">
        <v>241</v>
      </c>
      <c r="G375" t="s" s="96">
        <v>1302</v>
      </c>
      <c r="H375" s="97"/>
      <c r="I375" s="97"/>
      <c r="J375" s="97"/>
      <c r="K375" s="97"/>
      <c r="L375" s="97"/>
      <c r="M375" t="s" s="96">
        <v>243</v>
      </c>
      <c r="N375" t="s" s="96">
        <v>244</v>
      </c>
      <c r="O375" t="s" s="96">
        <v>264</v>
      </c>
      <c r="P375" t="s" s="96">
        <v>1272</v>
      </c>
      <c r="Q375" t="s" s="98">
        <v>1192</v>
      </c>
    </row>
    <row r="376" ht="42" customHeight="1">
      <c r="A376" t="s" s="103">
        <v>1303</v>
      </c>
      <c r="B376" t="s" s="104">
        <v>238</v>
      </c>
      <c r="C376" t="s" s="104">
        <v>1189</v>
      </c>
      <c r="D376" t="s" s="104">
        <v>167</v>
      </c>
      <c r="E376" t="s" s="104">
        <v>167</v>
      </c>
      <c r="F376" t="s" s="104">
        <v>241</v>
      </c>
      <c r="G376" t="s" s="96">
        <v>1304</v>
      </c>
      <c r="H376" s="97"/>
      <c r="I376" s="97"/>
      <c r="J376" s="97"/>
      <c r="K376" s="97"/>
      <c r="L376" s="97"/>
      <c r="M376" t="s" s="96">
        <v>243</v>
      </c>
      <c r="N376" t="s" s="96">
        <v>244</v>
      </c>
      <c r="O376" t="s" s="96">
        <v>264</v>
      </c>
      <c r="P376" t="s" s="96">
        <v>1272</v>
      </c>
      <c r="Q376" t="s" s="98">
        <v>1192</v>
      </c>
    </row>
    <row r="377" ht="42" customHeight="1">
      <c r="A377" t="s" s="103">
        <v>1305</v>
      </c>
      <c r="B377" t="s" s="104">
        <v>238</v>
      </c>
      <c r="C377" t="s" s="104">
        <v>1189</v>
      </c>
      <c r="D377" t="s" s="104">
        <v>167</v>
      </c>
      <c r="E377" t="s" s="104">
        <v>167</v>
      </c>
      <c r="F377" t="s" s="104">
        <v>241</v>
      </c>
      <c r="G377" t="s" s="96">
        <v>1306</v>
      </c>
      <c r="H377" s="97"/>
      <c r="I377" s="97"/>
      <c r="J377" s="97"/>
      <c r="K377" s="97"/>
      <c r="L377" s="97"/>
      <c r="M377" t="s" s="96">
        <v>243</v>
      </c>
      <c r="N377" t="s" s="96">
        <v>244</v>
      </c>
      <c r="O377" t="s" s="96">
        <v>264</v>
      </c>
      <c r="P377" t="s" s="96">
        <v>1272</v>
      </c>
      <c r="Q377" t="s" s="98">
        <v>1192</v>
      </c>
    </row>
    <row r="378" ht="42" customHeight="1">
      <c r="A378" t="s" s="103">
        <v>1307</v>
      </c>
      <c r="B378" t="s" s="104">
        <v>238</v>
      </c>
      <c r="C378" t="s" s="104">
        <v>1189</v>
      </c>
      <c r="D378" t="s" s="104">
        <v>167</v>
      </c>
      <c r="E378" t="s" s="104">
        <v>167</v>
      </c>
      <c r="F378" t="s" s="104">
        <v>241</v>
      </c>
      <c r="G378" t="s" s="96">
        <v>1308</v>
      </c>
      <c r="H378" s="97"/>
      <c r="I378" s="97"/>
      <c r="J378" s="97"/>
      <c r="K378" s="97"/>
      <c r="L378" s="97"/>
      <c r="M378" t="s" s="96">
        <v>243</v>
      </c>
      <c r="N378" t="s" s="96">
        <v>244</v>
      </c>
      <c r="O378" t="s" s="96">
        <v>264</v>
      </c>
      <c r="P378" t="s" s="96">
        <v>1272</v>
      </c>
      <c r="Q378" t="s" s="98">
        <v>1192</v>
      </c>
    </row>
    <row r="379" ht="42" customHeight="1">
      <c r="A379" t="s" s="103">
        <v>1309</v>
      </c>
      <c r="B379" t="s" s="104">
        <v>238</v>
      </c>
      <c r="C379" t="s" s="104">
        <v>1189</v>
      </c>
      <c r="D379" t="s" s="104">
        <v>167</v>
      </c>
      <c r="E379" t="s" s="104">
        <v>167</v>
      </c>
      <c r="F379" t="s" s="104">
        <v>241</v>
      </c>
      <c r="G379" t="s" s="96">
        <v>1310</v>
      </c>
      <c r="H379" s="97"/>
      <c r="I379" s="97"/>
      <c r="J379" s="97"/>
      <c r="K379" s="97"/>
      <c r="L379" s="97"/>
      <c r="M379" t="s" s="96">
        <v>243</v>
      </c>
      <c r="N379" t="s" s="96">
        <v>244</v>
      </c>
      <c r="O379" t="s" s="96">
        <v>264</v>
      </c>
      <c r="P379" t="s" s="96">
        <v>1272</v>
      </c>
      <c r="Q379" t="s" s="98">
        <v>1192</v>
      </c>
    </row>
    <row r="380" ht="42" customHeight="1">
      <c r="A380" t="s" s="103">
        <v>1311</v>
      </c>
      <c r="B380" t="s" s="104">
        <v>238</v>
      </c>
      <c r="C380" t="s" s="104">
        <v>1189</v>
      </c>
      <c r="D380" t="s" s="104">
        <v>172</v>
      </c>
      <c r="E380" t="s" s="104">
        <v>172</v>
      </c>
      <c r="F380" t="s" s="104">
        <v>241</v>
      </c>
      <c r="G380" t="s" s="96">
        <v>1312</v>
      </c>
      <c r="H380" s="97"/>
      <c r="I380" s="97"/>
      <c r="J380" s="97"/>
      <c r="K380" s="97"/>
      <c r="L380" s="97"/>
      <c r="M380" t="s" s="96">
        <v>243</v>
      </c>
      <c r="N380" t="s" s="96">
        <v>244</v>
      </c>
      <c r="O380" t="s" s="96">
        <v>264</v>
      </c>
      <c r="P380" t="s" s="96">
        <v>1313</v>
      </c>
      <c r="Q380" t="s" s="98">
        <v>1192</v>
      </c>
    </row>
    <row r="381" ht="42" customHeight="1">
      <c r="A381" t="s" s="103">
        <v>1314</v>
      </c>
      <c r="B381" t="s" s="104">
        <v>238</v>
      </c>
      <c r="C381" t="s" s="104">
        <v>1189</v>
      </c>
      <c r="D381" t="s" s="104">
        <v>172</v>
      </c>
      <c r="E381" t="s" s="104">
        <v>172</v>
      </c>
      <c r="F381" t="s" s="104">
        <v>241</v>
      </c>
      <c r="G381" t="s" s="96">
        <v>1315</v>
      </c>
      <c r="H381" s="97"/>
      <c r="I381" s="97"/>
      <c r="J381" s="97"/>
      <c r="K381" s="97"/>
      <c r="L381" s="97"/>
      <c r="M381" t="s" s="96">
        <v>243</v>
      </c>
      <c r="N381" t="s" s="96">
        <v>244</v>
      </c>
      <c r="O381" t="s" s="96">
        <v>264</v>
      </c>
      <c r="P381" t="s" s="96">
        <v>1313</v>
      </c>
      <c r="Q381" t="s" s="98">
        <v>1192</v>
      </c>
    </row>
    <row r="382" ht="42" customHeight="1">
      <c r="A382" t="s" s="103">
        <v>1316</v>
      </c>
      <c r="B382" t="s" s="104">
        <v>238</v>
      </c>
      <c r="C382" t="s" s="104">
        <v>1189</v>
      </c>
      <c r="D382" t="s" s="104">
        <v>172</v>
      </c>
      <c r="E382" t="s" s="104">
        <v>172</v>
      </c>
      <c r="F382" t="s" s="104">
        <v>241</v>
      </c>
      <c r="G382" t="s" s="96">
        <v>1317</v>
      </c>
      <c r="H382" s="97"/>
      <c r="I382" s="97"/>
      <c r="J382" s="97"/>
      <c r="K382" s="97"/>
      <c r="L382" s="97"/>
      <c r="M382" t="s" s="96">
        <v>243</v>
      </c>
      <c r="N382" t="s" s="96">
        <v>244</v>
      </c>
      <c r="O382" t="s" s="96">
        <v>264</v>
      </c>
      <c r="P382" t="s" s="96">
        <v>1313</v>
      </c>
      <c r="Q382" t="s" s="98">
        <v>1192</v>
      </c>
    </row>
    <row r="383" ht="42" customHeight="1">
      <c r="A383" t="s" s="103">
        <v>1318</v>
      </c>
      <c r="B383" t="s" s="104">
        <v>238</v>
      </c>
      <c r="C383" t="s" s="104">
        <v>1189</v>
      </c>
      <c r="D383" t="s" s="104">
        <v>172</v>
      </c>
      <c r="E383" t="s" s="104">
        <v>172</v>
      </c>
      <c r="F383" t="s" s="104">
        <v>241</v>
      </c>
      <c r="G383" t="s" s="96">
        <v>1319</v>
      </c>
      <c r="H383" s="97"/>
      <c r="I383" s="97"/>
      <c r="J383" s="97"/>
      <c r="K383" s="97"/>
      <c r="L383" s="97"/>
      <c r="M383" t="s" s="96">
        <v>243</v>
      </c>
      <c r="N383" t="s" s="96">
        <v>244</v>
      </c>
      <c r="O383" t="s" s="96">
        <v>264</v>
      </c>
      <c r="P383" t="s" s="96">
        <v>1313</v>
      </c>
      <c r="Q383" t="s" s="98">
        <v>1192</v>
      </c>
    </row>
    <row r="384" ht="42" customHeight="1">
      <c r="A384" t="s" s="103">
        <v>1320</v>
      </c>
      <c r="B384" t="s" s="104">
        <v>238</v>
      </c>
      <c r="C384" t="s" s="104">
        <v>1189</v>
      </c>
      <c r="D384" t="s" s="104">
        <v>172</v>
      </c>
      <c r="E384" t="s" s="104">
        <v>172</v>
      </c>
      <c r="F384" t="s" s="104">
        <v>241</v>
      </c>
      <c r="G384" t="s" s="96">
        <v>1321</v>
      </c>
      <c r="H384" s="97"/>
      <c r="I384" s="97"/>
      <c r="J384" s="97"/>
      <c r="K384" s="97"/>
      <c r="L384" s="97"/>
      <c r="M384" t="s" s="96">
        <v>243</v>
      </c>
      <c r="N384" t="s" s="96">
        <v>244</v>
      </c>
      <c r="O384" t="s" s="96">
        <v>264</v>
      </c>
      <c r="P384" t="s" s="96">
        <v>1313</v>
      </c>
      <c r="Q384" t="s" s="98">
        <v>1192</v>
      </c>
    </row>
    <row r="385" ht="42" customHeight="1">
      <c r="A385" t="s" s="103">
        <v>1322</v>
      </c>
      <c r="B385" t="s" s="104">
        <v>238</v>
      </c>
      <c r="C385" t="s" s="104">
        <v>1189</v>
      </c>
      <c r="D385" t="s" s="104">
        <v>172</v>
      </c>
      <c r="E385" t="s" s="104">
        <v>172</v>
      </c>
      <c r="F385" t="s" s="104">
        <v>241</v>
      </c>
      <c r="G385" t="s" s="96">
        <v>1323</v>
      </c>
      <c r="H385" s="97"/>
      <c r="I385" s="97"/>
      <c r="J385" s="97"/>
      <c r="K385" s="97"/>
      <c r="L385" s="97"/>
      <c r="M385" t="s" s="96">
        <v>243</v>
      </c>
      <c r="N385" t="s" s="96">
        <v>244</v>
      </c>
      <c r="O385" t="s" s="96">
        <v>264</v>
      </c>
      <c r="P385" t="s" s="96">
        <v>1313</v>
      </c>
      <c r="Q385" t="s" s="98">
        <v>1192</v>
      </c>
    </row>
    <row r="386" ht="42" customHeight="1">
      <c r="A386" t="s" s="103">
        <v>1324</v>
      </c>
      <c r="B386" t="s" s="104">
        <v>238</v>
      </c>
      <c r="C386" t="s" s="104">
        <v>1189</v>
      </c>
      <c r="D386" t="s" s="104">
        <v>172</v>
      </c>
      <c r="E386" t="s" s="104">
        <v>172</v>
      </c>
      <c r="F386" t="s" s="104">
        <v>241</v>
      </c>
      <c r="G386" t="s" s="96">
        <v>1325</v>
      </c>
      <c r="H386" s="97"/>
      <c r="I386" s="97"/>
      <c r="J386" s="97"/>
      <c r="K386" s="97"/>
      <c r="L386" s="97"/>
      <c r="M386" t="s" s="96">
        <v>243</v>
      </c>
      <c r="N386" t="s" s="96">
        <v>244</v>
      </c>
      <c r="O386" t="s" s="96">
        <v>264</v>
      </c>
      <c r="P386" t="s" s="96">
        <v>1313</v>
      </c>
      <c r="Q386" t="s" s="98">
        <v>1192</v>
      </c>
    </row>
    <row r="387" ht="42" customHeight="1">
      <c r="A387" t="s" s="103">
        <v>1326</v>
      </c>
      <c r="B387" t="s" s="104">
        <v>238</v>
      </c>
      <c r="C387" t="s" s="104">
        <v>1189</v>
      </c>
      <c r="D387" t="s" s="104">
        <v>172</v>
      </c>
      <c r="E387" t="s" s="104">
        <v>172</v>
      </c>
      <c r="F387" t="s" s="104">
        <v>241</v>
      </c>
      <c r="G387" t="s" s="96">
        <v>1327</v>
      </c>
      <c r="H387" s="97"/>
      <c r="I387" s="97"/>
      <c r="J387" s="97"/>
      <c r="K387" s="97"/>
      <c r="L387" s="97"/>
      <c r="M387" t="s" s="96">
        <v>243</v>
      </c>
      <c r="N387" t="s" s="96">
        <v>244</v>
      </c>
      <c r="O387" t="s" s="96">
        <v>264</v>
      </c>
      <c r="P387" t="s" s="96">
        <v>1313</v>
      </c>
      <c r="Q387" t="s" s="98">
        <v>1192</v>
      </c>
    </row>
    <row r="388" ht="42" customHeight="1">
      <c r="A388" t="s" s="103">
        <v>1328</v>
      </c>
      <c r="B388" t="s" s="104">
        <v>238</v>
      </c>
      <c r="C388" t="s" s="104">
        <v>1189</v>
      </c>
      <c r="D388" t="s" s="104">
        <v>172</v>
      </c>
      <c r="E388" t="s" s="104">
        <v>172</v>
      </c>
      <c r="F388" t="s" s="104">
        <v>241</v>
      </c>
      <c r="G388" t="s" s="96">
        <v>1329</v>
      </c>
      <c r="H388" s="97"/>
      <c r="I388" s="97"/>
      <c r="J388" s="97"/>
      <c r="K388" s="97"/>
      <c r="L388" s="97"/>
      <c r="M388" t="s" s="96">
        <v>243</v>
      </c>
      <c r="N388" t="s" s="96">
        <v>244</v>
      </c>
      <c r="O388" t="s" s="96">
        <v>264</v>
      </c>
      <c r="P388" t="s" s="96">
        <v>1313</v>
      </c>
      <c r="Q388" t="s" s="98">
        <v>1192</v>
      </c>
    </row>
    <row r="389" ht="42" customHeight="1">
      <c r="A389" t="s" s="103">
        <v>1330</v>
      </c>
      <c r="B389" t="s" s="104">
        <v>238</v>
      </c>
      <c r="C389" t="s" s="104">
        <v>1189</v>
      </c>
      <c r="D389" t="s" s="104">
        <v>172</v>
      </c>
      <c r="E389" t="s" s="104">
        <v>172</v>
      </c>
      <c r="F389" t="s" s="104">
        <v>241</v>
      </c>
      <c r="G389" t="s" s="96">
        <v>1331</v>
      </c>
      <c r="H389" s="97"/>
      <c r="I389" s="97"/>
      <c r="J389" s="97"/>
      <c r="K389" s="97"/>
      <c r="L389" s="97"/>
      <c r="M389" t="s" s="96">
        <v>243</v>
      </c>
      <c r="N389" t="s" s="96">
        <v>244</v>
      </c>
      <c r="O389" t="s" s="96">
        <v>264</v>
      </c>
      <c r="P389" t="s" s="96">
        <v>1313</v>
      </c>
      <c r="Q389" t="s" s="98">
        <v>1192</v>
      </c>
    </row>
    <row r="390" ht="42" customHeight="1">
      <c r="A390" t="s" s="103">
        <v>1332</v>
      </c>
      <c r="B390" t="s" s="104">
        <v>238</v>
      </c>
      <c r="C390" t="s" s="104">
        <v>1189</v>
      </c>
      <c r="D390" t="s" s="104">
        <v>172</v>
      </c>
      <c r="E390" t="s" s="104">
        <v>172</v>
      </c>
      <c r="F390" t="s" s="104">
        <v>241</v>
      </c>
      <c r="G390" t="s" s="96">
        <v>1333</v>
      </c>
      <c r="H390" s="97"/>
      <c r="I390" s="97"/>
      <c r="J390" s="97"/>
      <c r="K390" s="97"/>
      <c r="L390" s="97"/>
      <c r="M390" t="s" s="96">
        <v>243</v>
      </c>
      <c r="N390" t="s" s="96">
        <v>244</v>
      </c>
      <c r="O390" t="s" s="96">
        <v>264</v>
      </c>
      <c r="P390" t="s" s="96">
        <v>1313</v>
      </c>
      <c r="Q390" t="s" s="98">
        <v>1192</v>
      </c>
    </row>
    <row r="391" ht="42" customHeight="1">
      <c r="A391" t="s" s="103">
        <v>1334</v>
      </c>
      <c r="B391" t="s" s="104">
        <v>238</v>
      </c>
      <c r="C391" t="s" s="104">
        <v>1189</v>
      </c>
      <c r="D391" t="s" s="104">
        <v>172</v>
      </c>
      <c r="E391" t="s" s="104">
        <v>172</v>
      </c>
      <c r="F391" t="s" s="104">
        <v>241</v>
      </c>
      <c r="G391" t="s" s="96">
        <v>1335</v>
      </c>
      <c r="H391" s="97"/>
      <c r="I391" s="97"/>
      <c r="J391" s="97"/>
      <c r="K391" s="97"/>
      <c r="L391" s="97"/>
      <c r="M391" t="s" s="96">
        <v>243</v>
      </c>
      <c r="N391" t="s" s="96">
        <v>244</v>
      </c>
      <c r="O391" t="s" s="96">
        <v>264</v>
      </c>
      <c r="P391" t="s" s="96">
        <v>1313</v>
      </c>
      <c r="Q391" t="s" s="98">
        <v>1192</v>
      </c>
    </row>
    <row r="392" ht="42" customHeight="1">
      <c r="A392" t="s" s="103">
        <v>1336</v>
      </c>
      <c r="B392" t="s" s="104">
        <v>238</v>
      </c>
      <c r="C392" t="s" s="104">
        <v>1189</v>
      </c>
      <c r="D392" t="s" s="104">
        <v>172</v>
      </c>
      <c r="E392" t="s" s="104">
        <v>172</v>
      </c>
      <c r="F392" t="s" s="104">
        <v>241</v>
      </c>
      <c r="G392" t="s" s="96">
        <v>1337</v>
      </c>
      <c r="H392" s="97"/>
      <c r="I392" s="97"/>
      <c r="J392" s="97"/>
      <c r="K392" s="97"/>
      <c r="L392" s="97"/>
      <c r="M392" t="s" s="96">
        <v>243</v>
      </c>
      <c r="N392" t="s" s="96">
        <v>244</v>
      </c>
      <c r="O392" t="s" s="96">
        <v>264</v>
      </c>
      <c r="P392" t="s" s="96">
        <v>1313</v>
      </c>
      <c r="Q392" t="s" s="98">
        <v>1192</v>
      </c>
    </row>
    <row r="393" ht="42" customHeight="1">
      <c r="A393" t="s" s="103">
        <v>1338</v>
      </c>
      <c r="B393" t="s" s="104">
        <v>238</v>
      </c>
      <c r="C393" t="s" s="104">
        <v>1189</v>
      </c>
      <c r="D393" t="s" s="104">
        <v>172</v>
      </c>
      <c r="E393" t="s" s="104">
        <v>172</v>
      </c>
      <c r="F393" t="s" s="104">
        <v>241</v>
      </c>
      <c r="G393" t="s" s="96">
        <v>1339</v>
      </c>
      <c r="H393" s="97"/>
      <c r="I393" s="97"/>
      <c r="J393" s="97"/>
      <c r="K393" s="97"/>
      <c r="L393" s="97"/>
      <c r="M393" t="s" s="96">
        <v>243</v>
      </c>
      <c r="N393" t="s" s="96">
        <v>244</v>
      </c>
      <c r="O393" t="s" s="96">
        <v>264</v>
      </c>
      <c r="P393" t="s" s="96">
        <v>1313</v>
      </c>
      <c r="Q393" t="s" s="98">
        <v>1192</v>
      </c>
    </row>
    <row r="394" ht="42" customHeight="1">
      <c r="A394" t="s" s="103">
        <v>1340</v>
      </c>
      <c r="B394" t="s" s="104">
        <v>238</v>
      </c>
      <c r="C394" t="s" s="104">
        <v>1189</v>
      </c>
      <c r="D394" t="s" s="104">
        <v>172</v>
      </c>
      <c r="E394" t="s" s="104">
        <v>172</v>
      </c>
      <c r="F394" t="s" s="104">
        <v>241</v>
      </c>
      <c r="G394" t="s" s="96">
        <v>1341</v>
      </c>
      <c r="H394" s="97"/>
      <c r="I394" s="97"/>
      <c r="J394" s="97"/>
      <c r="K394" s="97"/>
      <c r="L394" s="97"/>
      <c r="M394" t="s" s="96">
        <v>243</v>
      </c>
      <c r="N394" t="s" s="96">
        <v>244</v>
      </c>
      <c r="O394" t="s" s="96">
        <v>264</v>
      </c>
      <c r="P394" t="s" s="96">
        <v>1313</v>
      </c>
      <c r="Q394" t="s" s="98">
        <v>1192</v>
      </c>
    </row>
    <row r="395" ht="42" customHeight="1">
      <c r="A395" t="s" s="103">
        <v>1342</v>
      </c>
      <c r="B395" t="s" s="104">
        <v>238</v>
      </c>
      <c r="C395" t="s" s="104">
        <v>1189</v>
      </c>
      <c r="D395" t="s" s="104">
        <v>172</v>
      </c>
      <c r="E395" t="s" s="104">
        <v>172</v>
      </c>
      <c r="F395" t="s" s="104">
        <v>241</v>
      </c>
      <c r="G395" t="s" s="96">
        <v>1343</v>
      </c>
      <c r="H395" s="97"/>
      <c r="I395" s="97"/>
      <c r="J395" s="97"/>
      <c r="K395" s="97"/>
      <c r="L395" s="97"/>
      <c r="M395" t="s" s="96">
        <v>243</v>
      </c>
      <c r="N395" t="s" s="96">
        <v>244</v>
      </c>
      <c r="O395" t="s" s="96">
        <v>264</v>
      </c>
      <c r="P395" t="s" s="96">
        <v>1313</v>
      </c>
      <c r="Q395" t="s" s="98">
        <v>1192</v>
      </c>
    </row>
    <row r="396" ht="42" customHeight="1">
      <c r="A396" t="s" s="103">
        <v>1344</v>
      </c>
      <c r="B396" t="s" s="104">
        <v>238</v>
      </c>
      <c r="C396" t="s" s="104">
        <v>1189</v>
      </c>
      <c r="D396" t="s" s="104">
        <v>172</v>
      </c>
      <c r="E396" t="s" s="104">
        <v>172</v>
      </c>
      <c r="F396" t="s" s="104">
        <v>241</v>
      </c>
      <c r="G396" t="s" s="96">
        <v>1345</v>
      </c>
      <c r="H396" s="97"/>
      <c r="I396" s="97"/>
      <c r="J396" s="97"/>
      <c r="K396" s="97"/>
      <c r="L396" s="97"/>
      <c r="M396" t="s" s="96">
        <v>243</v>
      </c>
      <c r="N396" t="s" s="96">
        <v>244</v>
      </c>
      <c r="O396" t="s" s="96">
        <v>264</v>
      </c>
      <c r="P396" t="s" s="96">
        <v>1313</v>
      </c>
      <c r="Q396" t="s" s="98">
        <v>1192</v>
      </c>
    </row>
    <row r="397" ht="42" customHeight="1">
      <c r="A397" t="s" s="103">
        <v>1346</v>
      </c>
      <c r="B397" t="s" s="104">
        <v>238</v>
      </c>
      <c r="C397" t="s" s="104">
        <v>1189</v>
      </c>
      <c r="D397" t="s" s="104">
        <v>172</v>
      </c>
      <c r="E397" t="s" s="104">
        <v>172</v>
      </c>
      <c r="F397" t="s" s="104">
        <v>241</v>
      </c>
      <c r="G397" t="s" s="96">
        <v>1347</v>
      </c>
      <c r="H397" s="97"/>
      <c r="I397" s="97"/>
      <c r="J397" s="97"/>
      <c r="K397" s="97"/>
      <c r="L397" s="97"/>
      <c r="M397" t="s" s="96">
        <v>243</v>
      </c>
      <c r="N397" t="s" s="96">
        <v>244</v>
      </c>
      <c r="O397" t="s" s="96">
        <v>264</v>
      </c>
      <c r="P397" t="s" s="96">
        <v>1313</v>
      </c>
      <c r="Q397" t="s" s="98">
        <v>1192</v>
      </c>
    </row>
    <row r="398" ht="42" customHeight="1">
      <c r="A398" t="s" s="103">
        <v>1348</v>
      </c>
      <c r="B398" t="s" s="104">
        <v>238</v>
      </c>
      <c r="C398" t="s" s="104">
        <v>1189</v>
      </c>
      <c r="D398" t="s" s="104">
        <v>172</v>
      </c>
      <c r="E398" t="s" s="104">
        <v>172</v>
      </c>
      <c r="F398" t="s" s="104">
        <v>241</v>
      </c>
      <c r="G398" t="s" s="96">
        <v>1349</v>
      </c>
      <c r="H398" s="97"/>
      <c r="I398" s="97"/>
      <c r="J398" s="97"/>
      <c r="K398" s="97"/>
      <c r="L398" s="97"/>
      <c r="M398" t="s" s="96">
        <v>243</v>
      </c>
      <c r="N398" t="s" s="96">
        <v>244</v>
      </c>
      <c r="O398" t="s" s="96">
        <v>264</v>
      </c>
      <c r="P398" t="s" s="96">
        <v>1313</v>
      </c>
      <c r="Q398" t="s" s="98">
        <v>1192</v>
      </c>
    </row>
    <row r="399" ht="42" customHeight="1">
      <c r="A399" t="s" s="103">
        <v>1350</v>
      </c>
      <c r="B399" t="s" s="104">
        <v>238</v>
      </c>
      <c r="C399" t="s" s="104">
        <v>1189</v>
      </c>
      <c r="D399" t="s" s="104">
        <v>172</v>
      </c>
      <c r="E399" t="s" s="104">
        <v>172</v>
      </c>
      <c r="F399" t="s" s="104">
        <v>241</v>
      </c>
      <c r="G399" t="s" s="96">
        <v>1351</v>
      </c>
      <c r="H399" s="97"/>
      <c r="I399" s="97"/>
      <c r="J399" s="97"/>
      <c r="K399" s="97"/>
      <c r="L399" s="97"/>
      <c r="M399" t="s" s="96">
        <v>243</v>
      </c>
      <c r="N399" t="s" s="96">
        <v>244</v>
      </c>
      <c r="O399" t="s" s="96">
        <v>264</v>
      </c>
      <c r="P399" t="s" s="96">
        <v>1313</v>
      </c>
      <c r="Q399" t="s" s="98">
        <v>1192</v>
      </c>
    </row>
    <row r="400" ht="42" customHeight="1">
      <c r="A400" t="s" s="105">
        <v>1352</v>
      </c>
      <c r="B400" t="s" s="106">
        <v>238</v>
      </c>
      <c r="C400" t="s" s="106">
        <v>1353</v>
      </c>
      <c r="D400" t="s" s="106">
        <v>178</v>
      </c>
      <c r="E400" t="s" s="106">
        <v>178</v>
      </c>
      <c r="F400" t="s" s="106">
        <v>241</v>
      </c>
      <c r="G400" t="s" s="96">
        <v>1354</v>
      </c>
      <c r="H400" s="97"/>
      <c r="I400" s="97"/>
      <c r="J400" s="97"/>
      <c r="K400" s="97"/>
      <c r="L400" s="97"/>
      <c r="M400" t="s" s="96">
        <v>243</v>
      </c>
      <c r="N400" t="s" s="96">
        <v>244</v>
      </c>
      <c r="O400" t="s" s="96">
        <v>245</v>
      </c>
      <c r="P400" t="s" s="96">
        <v>1355</v>
      </c>
      <c r="Q400" t="s" s="98">
        <v>1356</v>
      </c>
    </row>
    <row r="401" ht="42" customHeight="1">
      <c r="A401" t="s" s="105">
        <v>1357</v>
      </c>
      <c r="B401" t="s" s="106">
        <v>238</v>
      </c>
      <c r="C401" t="s" s="106">
        <v>1353</v>
      </c>
      <c r="D401" t="s" s="106">
        <v>178</v>
      </c>
      <c r="E401" t="s" s="106">
        <v>178</v>
      </c>
      <c r="F401" t="s" s="106">
        <v>241</v>
      </c>
      <c r="G401" t="s" s="96">
        <v>1358</v>
      </c>
      <c r="H401" s="97"/>
      <c r="I401" s="97"/>
      <c r="J401" s="97"/>
      <c r="K401" s="97"/>
      <c r="L401" s="97"/>
      <c r="M401" t="s" s="96">
        <v>243</v>
      </c>
      <c r="N401" t="s" s="96">
        <v>244</v>
      </c>
      <c r="O401" t="s" s="96">
        <v>245</v>
      </c>
      <c r="P401" t="s" s="96">
        <v>1355</v>
      </c>
      <c r="Q401" t="s" s="98">
        <v>1356</v>
      </c>
    </row>
    <row r="402" ht="42" customHeight="1">
      <c r="A402" t="s" s="105">
        <v>1359</v>
      </c>
      <c r="B402" t="s" s="106">
        <v>238</v>
      </c>
      <c r="C402" t="s" s="106">
        <v>1353</v>
      </c>
      <c r="D402" t="s" s="106">
        <v>178</v>
      </c>
      <c r="E402" t="s" s="106">
        <v>178</v>
      </c>
      <c r="F402" t="s" s="106">
        <v>241</v>
      </c>
      <c r="G402" t="s" s="96">
        <v>1360</v>
      </c>
      <c r="H402" s="97"/>
      <c r="I402" s="97"/>
      <c r="J402" s="97"/>
      <c r="K402" s="97"/>
      <c r="L402" s="97"/>
      <c r="M402" t="s" s="96">
        <v>243</v>
      </c>
      <c r="N402" t="s" s="96">
        <v>244</v>
      </c>
      <c r="O402" t="s" s="96">
        <v>245</v>
      </c>
      <c r="P402" t="s" s="96">
        <v>1355</v>
      </c>
      <c r="Q402" t="s" s="98">
        <v>1356</v>
      </c>
    </row>
    <row r="403" ht="42" customHeight="1">
      <c r="A403" t="s" s="105">
        <v>1361</v>
      </c>
      <c r="B403" t="s" s="106">
        <v>238</v>
      </c>
      <c r="C403" t="s" s="106">
        <v>1353</v>
      </c>
      <c r="D403" t="s" s="106">
        <v>178</v>
      </c>
      <c r="E403" t="s" s="106">
        <v>178</v>
      </c>
      <c r="F403" t="s" s="106">
        <v>241</v>
      </c>
      <c r="G403" t="s" s="96">
        <v>1362</v>
      </c>
      <c r="H403" s="97"/>
      <c r="I403" s="97"/>
      <c r="J403" s="97"/>
      <c r="K403" s="97"/>
      <c r="L403" s="97"/>
      <c r="M403" t="s" s="96">
        <v>243</v>
      </c>
      <c r="N403" t="s" s="96">
        <v>244</v>
      </c>
      <c r="O403" t="s" s="96">
        <v>245</v>
      </c>
      <c r="P403" t="s" s="96">
        <v>1355</v>
      </c>
      <c r="Q403" t="s" s="98">
        <v>1356</v>
      </c>
    </row>
    <row r="404" ht="42" customHeight="1">
      <c r="A404" t="s" s="105">
        <v>1363</v>
      </c>
      <c r="B404" t="s" s="106">
        <v>238</v>
      </c>
      <c r="C404" t="s" s="106">
        <v>1353</v>
      </c>
      <c r="D404" t="s" s="106">
        <v>178</v>
      </c>
      <c r="E404" t="s" s="106">
        <v>178</v>
      </c>
      <c r="F404" t="s" s="106">
        <v>241</v>
      </c>
      <c r="G404" t="s" s="96">
        <v>1364</v>
      </c>
      <c r="H404" s="97"/>
      <c r="I404" s="97"/>
      <c r="J404" s="97"/>
      <c r="K404" s="97"/>
      <c r="L404" s="97"/>
      <c r="M404" t="s" s="96">
        <v>243</v>
      </c>
      <c r="N404" t="s" s="96">
        <v>244</v>
      </c>
      <c r="O404" t="s" s="96">
        <v>245</v>
      </c>
      <c r="P404" t="s" s="96">
        <v>1355</v>
      </c>
      <c r="Q404" t="s" s="98">
        <v>1356</v>
      </c>
    </row>
    <row r="405" ht="42" customHeight="1">
      <c r="A405" t="s" s="105">
        <v>1365</v>
      </c>
      <c r="B405" t="s" s="106">
        <v>238</v>
      </c>
      <c r="C405" t="s" s="106">
        <v>1353</v>
      </c>
      <c r="D405" t="s" s="106">
        <v>178</v>
      </c>
      <c r="E405" t="s" s="106">
        <v>178</v>
      </c>
      <c r="F405" t="s" s="106">
        <v>241</v>
      </c>
      <c r="G405" t="s" s="96">
        <v>1366</v>
      </c>
      <c r="H405" s="97"/>
      <c r="I405" s="97"/>
      <c r="J405" s="97"/>
      <c r="K405" s="97"/>
      <c r="L405" s="97"/>
      <c r="M405" t="s" s="96">
        <v>243</v>
      </c>
      <c r="N405" t="s" s="96">
        <v>244</v>
      </c>
      <c r="O405" t="s" s="96">
        <v>245</v>
      </c>
      <c r="P405" t="s" s="96">
        <v>1355</v>
      </c>
      <c r="Q405" t="s" s="98">
        <v>1356</v>
      </c>
    </row>
    <row r="406" ht="42" customHeight="1">
      <c r="A406" t="s" s="105">
        <v>1367</v>
      </c>
      <c r="B406" t="s" s="106">
        <v>238</v>
      </c>
      <c r="C406" t="s" s="106">
        <v>1353</v>
      </c>
      <c r="D406" t="s" s="106">
        <v>178</v>
      </c>
      <c r="E406" t="s" s="106">
        <v>178</v>
      </c>
      <c r="F406" t="s" s="106">
        <v>241</v>
      </c>
      <c r="G406" t="s" s="96">
        <v>1368</v>
      </c>
      <c r="H406" s="97"/>
      <c r="I406" s="97"/>
      <c r="J406" s="97"/>
      <c r="K406" s="97"/>
      <c r="L406" s="97"/>
      <c r="M406" t="s" s="96">
        <v>243</v>
      </c>
      <c r="N406" t="s" s="96">
        <v>244</v>
      </c>
      <c r="O406" t="s" s="96">
        <v>245</v>
      </c>
      <c r="P406" t="s" s="96">
        <v>1355</v>
      </c>
      <c r="Q406" t="s" s="98">
        <v>1356</v>
      </c>
    </row>
    <row r="407" ht="42" customHeight="1">
      <c r="A407" t="s" s="105">
        <v>1369</v>
      </c>
      <c r="B407" t="s" s="106">
        <v>238</v>
      </c>
      <c r="C407" t="s" s="106">
        <v>1353</v>
      </c>
      <c r="D407" t="s" s="106">
        <v>178</v>
      </c>
      <c r="E407" t="s" s="106">
        <v>178</v>
      </c>
      <c r="F407" t="s" s="106">
        <v>241</v>
      </c>
      <c r="G407" t="s" s="96">
        <v>1370</v>
      </c>
      <c r="H407" s="97"/>
      <c r="I407" s="97"/>
      <c r="J407" s="97"/>
      <c r="K407" s="97"/>
      <c r="L407" s="97"/>
      <c r="M407" t="s" s="96">
        <v>243</v>
      </c>
      <c r="N407" t="s" s="96">
        <v>244</v>
      </c>
      <c r="O407" t="s" s="96">
        <v>245</v>
      </c>
      <c r="P407" t="s" s="96">
        <v>1355</v>
      </c>
      <c r="Q407" t="s" s="98">
        <v>1356</v>
      </c>
    </row>
    <row r="408" ht="42" customHeight="1">
      <c r="A408" t="s" s="105">
        <v>1371</v>
      </c>
      <c r="B408" t="s" s="106">
        <v>238</v>
      </c>
      <c r="C408" t="s" s="106">
        <v>1353</v>
      </c>
      <c r="D408" t="s" s="106">
        <v>178</v>
      </c>
      <c r="E408" t="s" s="106">
        <v>178</v>
      </c>
      <c r="F408" t="s" s="106">
        <v>241</v>
      </c>
      <c r="G408" t="s" s="96">
        <v>1372</v>
      </c>
      <c r="H408" s="97"/>
      <c r="I408" s="97"/>
      <c r="J408" s="97"/>
      <c r="K408" s="97"/>
      <c r="L408" s="97"/>
      <c r="M408" t="s" s="96">
        <v>243</v>
      </c>
      <c r="N408" t="s" s="96">
        <v>244</v>
      </c>
      <c r="O408" t="s" s="96">
        <v>245</v>
      </c>
      <c r="P408" t="s" s="96">
        <v>1355</v>
      </c>
      <c r="Q408" t="s" s="98">
        <v>1356</v>
      </c>
    </row>
    <row r="409" ht="42" customHeight="1">
      <c r="A409" t="s" s="105">
        <v>1373</v>
      </c>
      <c r="B409" t="s" s="106">
        <v>238</v>
      </c>
      <c r="C409" t="s" s="106">
        <v>1353</v>
      </c>
      <c r="D409" t="s" s="106">
        <v>178</v>
      </c>
      <c r="E409" t="s" s="106">
        <v>178</v>
      </c>
      <c r="F409" t="s" s="106">
        <v>241</v>
      </c>
      <c r="G409" t="s" s="96">
        <v>1374</v>
      </c>
      <c r="H409" s="97"/>
      <c r="I409" s="97"/>
      <c r="J409" s="97"/>
      <c r="K409" s="97"/>
      <c r="L409" s="97"/>
      <c r="M409" t="s" s="96">
        <v>243</v>
      </c>
      <c r="N409" t="s" s="96">
        <v>244</v>
      </c>
      <c r="O409" t="s" s="96">
        <v>245</v>
      </c>
      <c r="P409" t="s" s="96">
        <v>1355</v>
      </c>
      <c r="Q409" t="s" s="98">
        <v>1356</v>
      </c>
    </row>
    <row r="410" ht="42" customHeight="1">
      <c r="A410" t="s" s="105">
        <v>1375</v>
      </c>
      <c r="B410" t="s" s="106">
        <v>238</v>
      </c>
      <c r="C410" t="s" s="106">
        <v>1353</v>
      </c>
      <c r="D410" t="s" s="106">
        <v>178</v>
      </c>
      <c r="E410" t="s" s="106">
        <v>178</v>
      </c>
      <c r="F410" t="s" s="106">
        <v>241</v>
      </c>
      <c r="G410" t="s" s="96">
        <v>1376</v>
      </c>
      <c r="H410" s="97"/>
      <c r="I410" s="97"/>
      <c r="J410" s="97"/>
      <c r="K410" s="97"/>
      <c r="L410" s="97"/>
      <c r="M410" t="s" s="96">
        <v>243</v>
      </c>
      <c r="N410" t="s" s="96">
        <v>244</v>
      </c>
      <c r="O410" t="s" s="96">
        <v>245</v>
      </c>
      <c r="P410" t="s" s="96">
        <v>1355</v>
      </c>
      <c r="Q410" t="s" s="98">
        <v>1356</v>
      </c>
    </row>
    <row r="411" ht="42" customHeight="1">
      <c r="A411" t="s" s="105">
        <v>1377</v>
      </c>
      <c r="B411" t="s" s="106">
        <v>238</v>
      </c>
      <c r="C411" t="s" s="106">
        <v>1353</v>
      </c>
      <c r="D411" t="s" s="106">
        <v>178</v>
      </c>
      <c r="E411" t="s" s="106">
        <v>178</v>
      </c>
      <c r="F411" t="s" s="106">
        <v>241</v>
      </c>
      <c r="G411" t="s" s="96">
        <v>1378</v>
      </c>
      <c r="H411" s="97"/>
      <c r="I411" s="97"/>
      <c r="J411" s="97"/>
      <c r="K411" s="97"/>
      <c r="L411" s="97"/>
      <c r="M411" t="s" s="96">
        <v>243</v>
      </c>
      <c r="N411" t="s" s="96">
        <v>244</v>
      </c>
      <c r="O411" t="s" s="96">
        <v>245</v>
      </c>
      <c r="P411" t="s" s="96">
        <v>1355</v>
      </c>
      <c r="Q411" t="s" s="98">
        <v>1356</v>
      </c>
    </row>
    <row r="412" ht="42" customHeight="1">
      <c r="A412" t="s" s="105">
        <v>1379</v>
      </c>
      <c r="B412" t="s" s="106">
        <v>238</v>
      </c>
      <c r="C412" t="s" s="106">
        <v>1353</v>
      </c>
      <c r="D412" t="s" s="106">
        <v>178</v>
      </c>
      <c r="E412" t="s" s="106">
        <v>178</v>
      </c>
      <c r="F412" t="s" s="106">
        <v>241</v>
      </c>
      <c r="G412" t="s" s="96">
        <v>1380</v>
      </c>
      <c r="H412" s="97"/>
      <c r="I412" s="97"/>
      <c r="J412" s="97"/>
      <c r="K412" s="97"/>
      <c r="L412" s="97"/>
      <c r="M412" t="s" s="96">
        <v>243</v>
      </c>
      <c r="N412" t="s" s="96">
        <v>244</v>
      </c>
      <c r="O412" t="s" s="96">
        <v>245</v>
      </c>
      <c r="P412" t="s" s="96">
        <v>1355</v>
      </c>
      <c r="Q412" t="s" s="98">
        <v>1356</v>
      </c>
    </row>
    <row r="413" ht="42" customHeight="1">
      <c r="A413" t="s" s="105">
        <v>1381</v>
      </c>
      <c r="B413" t="s" s="106">
        <v>238</v>
      </c>
      <c r="C413" t="s" s="106">
        <v>1353</v>
      </c>
      <c r="D413" t="s" s="106">
        <v>178</v>
      </c>
      <c r="E413" t="s" s="106">
        <v>178</v>
      </c>
      <c r="F413" t="s" s="106">
        <v>241</v>
      </c>
      <c r="G413" t="s" s="96">
        <v>1382</v>
      </c>
      <c r="H413" s="97"/>
      <c r="I413" s="97"/>
      <c r="J413" s="97"/>
      <c r="K413" s="97"/>
      <c r="L413" s="97"/>
      <c r="M413" t="s" s="96">
        <v>243</v>
      </c>
      <c r="N413" t="s" s="96">
        <v>244</v>
      </c>
      <c r="O413" t="s" s="96">
        <v>245</v>
      </c>
      <c r="P413" t="s" s="96">
        <v>1355</v>
      </c>
      <c r="Q413" t="s" s="98">
        <v>1356</v>
      </c>
    </row>
    <row r="414" ht="42" customHeight="1">
      <c r="A414" t="s" s="105">
        <v>1383</v>
      </c>
      <c r="B414" t="s" s="106">
        <v>238</v>
      </c>
      <c r="C414" t="s" s="106">
        <v>1353</v>
      </c>
      <c r="D414" t="s" s="106">
        <v>178</v>
      </c>
      <c r="E414" t="s" s="106">
        <v>178</v>
      </c>
      <c r="F414" t="s" s="106">
        <v>241</v>
      </c>
      <c r="G414" t="s" s="96">
        <v>1384</v>
      </c>
      <c r="H414" s="97"/>
      <c r="I414" s="97"/>
      <c r="J414" s="97"/>
      <c r="K414" s="97"/>
      <c r="L414" s="97"/>
      <c r="M414" t="s" s="96">
        <v>243</v>
      </c>
      <c r="N414" t="s" s="96">
        <v>244</v>
      </c>
      <c r="O414" t="s" s="96">
        <v>245</v>
      </c>
      <c r="P414" t="s" s="96">
        <v>1355</v>
      </c>
      <c r="Q414" t="s" s="98">
        <v>1356</v>
      </c>
    </row>
    <row r="415" ht="42" customHeight="1">
      <c r="A415" t="s" s="105">
        <v>1385</v>
      </c>
      <c r="B415" t="s" s="106">
        <v>238</v>
      </c>
      <c r="C415" t="s" s="106">
        <v>1353</v>
      </c>
      <c r="D415" t="s" s="106">
        <v>183</v>
      </c>
      <c r="E415" t="s" s="106">
        <v>183</v>
      </c>
      <c r="F415" t="s" s="106">
        <v>241</v>
      </c>
      <c r="G415" t="s" s="96">
        <v>1386</v>
      </c>
      <c r="H415" s="97"/>
      <c r="I415" s="97"/>
      <c r="J415" s="97"/>
      <c r="K415" s="97"/>
      <c r="L415" s="97"/>
      <c r="M415" t="s" s="96">
        <v>243</v>
      </c>
      <c r="N415" t="s" s="96">
        <v>244</v>
      </c>
      <c r="O415" t="s" s="96">
        <v>245</v>
      </c>
      <c r="P415" t="s" s="96">
        <v>1387</v>
      </c>
      <c r="Q415" t="s" s="98">
        <v>1356</v>
      </c>
    </row>
    <row r="416" ht="42" customHeight="1">
      <c r="A416" t="s" s="105">
        <v>1388</v>
      </c>
      <c r="B416" t="s" s="106">
        <v>238</v>
      </c>
      <c r="C416" t="s" s="106">
        <v>1353</v>
      </c>
      <c r="D416" t="s" s="106">
        <v>183</v>
      </c>
      <c r="E416" t="s" s="106">
        <v>183</v>
      </c>
      <c r="F416" t="s" s="106">
        <v>241</v>
      </c>
      <c r="G416" t="s" s="96">
        <v>1389</v>
      </c>
      <c r="H416" s="97"/>
      <c r="I416" s="97"/>
      <c r="J416" s="97"/>
      <c r="K416" s="97"/>
      <c r="L416" s="97"/>
      <c r="M416" t="s" s="96">
        <v>243</v>
      </c>
      <c r="N416" t="s" s="96">
        <v>244</v>
      </c>
      <c r="O416" t="s" s="96">
        <v>245</v>
      </c>
      <c r="P416" t="s" s="96">
        <v>1387</v>
      </c>
      <c r="Q416" t="s" s="98">
        <v>1356</v>
      </c>
    </row>
    <row r="417" ht="42" customHeight="1">
      <c r="A417" t="s" s="105">
        <v>1390</v>
      </c>
      <c r="B417" t="s" s="106">
        <v>238</v>
      </c>
      <c r="C417" t="s" s="106">
        <v>1353</v>
      </c>
      <c r="D417" t="s" s="106">
        <v>183</v>
      </c>
      <c r="E417" t="s" s="106">
        <v>183</v>
      </c>
      <c r="F417" t="s" s="106">
        <v>241</v>
      </c>
      <c r="G417" t="s" s="96">
        <v>1391</v>
      </c>
      <c r="H417" s="97"/>
      <c r="I417" s="97"/>
      <c r="J417" s="97"/>
      <c r="K417" s="97"/>
      <c r="L417" s="97"/>
      <c r="M417" t="s" s="96">
        <v>243</v>
      </c>
      <c r="N417" t="s" s="96">
        <v>244</v>
      </c>
      <c r="O417" t="s" s="96">
        <v>245</v>
      </c>
      <c r="P417" t="s" s="96">
        <v>1387</v>
      </c>
      <c r="Q417" t="s" s="98">
        <v>1356</v>
      </c>
    </row>
    <row r="418" ht="42" customHeight="1">
      <c r="A418" t="s" s="105">
        <v>1392</v>
      </c>
      <c r="B418" t="s" s="106">
        <v>238</v>
      </c>
      <c r="C418" t="s" s="106">
        <v>1353</v>
      </c>
      <c r="D418" t="s" s="106">
        <v>183</v>
      </c>
      <c r="E418" t="s" s="106">
        <v>183</v>
      </c>
      <c r="F418" t="s" s="106">
        <v>241</v>
      </c>
      <c r="G418" t="s" s="96">
        <v>1393</v>
      </c>
      <c r="H418" s="97"/>
      <c r="I418" s="97"/>
      <c r="J418" s="97"/>
      <c r="K418" s="97"/>
      <c r="L418" s="97"/>
      <c r="M418" t="s" s="96">
        <v>243</v>
      </c>
      <c r="N418" t="s" s="96">
        <v>244</v>
      </c>
      <c r="O418" t="s" s="96">
        <v>245</v>
      </c>
      <c r="P418" t="s" s="96">
        <v>1387</v>
      </c>
      <c r="Q418" t="s" s="98">
        <v>1356</v>
      </c>
    </row>
    <row r="419" ht="42" customHeight="1">
      <c r="A419" t="s" s="105">
        <v>1394</v>
      </c>
      <c r="B419" t="s" s="106">
        <v>238</v>
      </c>
      <c r="C419" t="s" s="106">
        <v>1353</v>
      </c>
      <c r="D419" t="s" s="106">
        <v>183</v>
      </c>
      <c r="E419" t="s" s="106">
        <v>183</v>
      </c>
      <c r="F419" t="s" s="106">
        <v>241</v>
      </c>
      <c r="G419" t="s" s="96">
        <v>1395</v>
      </c>
      <c r="H419" s="97"/>
      <c r="I419" s="97"/>
      <c r="J419" s="97"/>
      <c r="K419" s="97"/>
      <c r="L419" s="97"/>
      <c r="M419" t="s" s="96">
        <v>243</v>
      </c>
      <c r="N419" t="s" s="96">
        <v>244</v>
      </c>
      <c r="O419" t="s" s="96">
        <v>245</v>
      </c>
      <c r="P419" t="s" s="96">
        <v>1387</v>
      </c>
      <c r="Q419" t="s" s="98">
        <v>1356</v>
      </c>
    </row>
    <row r="420" ht="42" customHeight="1">
      <c r="A420" t="s" s="105">
        <v>1396</v>
      </c>
      <c r="B420" t="s" s="106">
        <v>238</v>
      </c>
      <c r="C420" t="s" s="106">
        <v>1353</v>
      </c>
      <c r="D420" t="s" s="106">
        <v>183</v>
      </c>
      <c r="E420" t="s" s="106">
        <v>183</v>
      </c>
      <c r="F420" t="s" s="106">
        <v>241</v>
      </c>
      <c r="G420" t="s" s="96">
        <v>1397</v>
      </c>
      <c r="H420" s="97"/>
      <c r="I420" s="97"/>
      <c r="J420" s="97"/>
      <c r="K420" s="97"/>
      <c r="L420" s="97"/>
      <c r="M420" t="s" s="96">
        <v>243</v>
      </c>
      <c r="N420" t="s" s="96">
        <v>244</v>
      </c>
      <c r="O420" t="s" s="96">
        <v>245</v>
      </c>
      <c r="P420" t="s" s="96">
        <v>1387</v>
      </c>
      <c r="Q420" t="s" s="98">
        <v>1356</v>
      </c>
    </row>
    <row r="421" ht="42" customHeight="1">
      <c r="A421" t="s" s="105">
        <v>1398</v>
      </c>
      <c r="B421" t="s" s="106">
        <v>238</v>
      </c>
      <c r="C421" t="s" s="106">
        <v>1353</v>
      </c>
      <c r="D421" t="s" s="106">
        <v>183</v>
      </c>
      <c r="E421" t="s" s="106">
        <v>183</v>
      </c>
      <c r="F421" t="s" s="106">
        <v>241</v>
      </c>
      <c r="G421" t="s" s="96">
        <v>1399</v>
      </c>
      <c r="H421" s="97"/>
      <c r="I421" s="97"/>
      <c r="J421" s="97"/>
      <c r="K421" s="97"/>
      <c r="L421" s="97"/>
      <c r="M421" t="s" s="96">
        <v>243</v>
      </c>
      <c r="N421" t="s" s="96">
        <v>244</v>
      </c>
      <c r="O421" t="s" s="96">
        <v>245</v>
      </c>
      <c r="P421" t="s" s="96">
        <v>1387</v>
      </c>
      <c r="Q421" t="s" s="98">
        <v>1356</v>
      </c>
    </row>
    <row r="422" ht="42" customHeight="1">
      <c r="A422" t="s" s="105">
        <v>1400</v>
      </c>
      <c r="B422" t="s" s="106">
        <v>238</v>
      </c>
      <c r="C422" t="s" s="106">
        <v>1353</v>
      </c>
      <c r="D422" t="s" s="106">
        <v>183</v>
      </c>
      <c r="E422" t="s" s="106">
        <v>183</v>
      </c>
      <c r="F422" t="s" s="106">
        <v>241</v>
      </c>
      <c r="G422" t="s" s="96">
        <v>1401</v>
      </c>
      <c r="H422" s="97"/>
      <c r="I422" s="97"/>
      <c r="J422" s="97"/>
      <c r="K422" s="97"/>
      <c r="L422" s="97"/>
      <c r="M422" t="s" s="96">
        <v>243</v>
      </c>
      <c r="N422" t="s" s="96">
        <v>244</v>
      </c>
      <c r="O422" t="s" s="96">
        <v>245</v>
      </c>
      <c r="P422" t="s" s="96">
        <v>1387</v>
      </c>
      <c r="Q422" t="s" s="98">
        <v>1356</v>
      </c>
    </row>
    <row r="423" ht="42" customHeight="1">
      <c r="A423" t="s" s="105">
        <v>1402</v>
      </c>
      <c r="B423" t="s" s="106">
        <v>238</v>
      </c>
      <c r="C423" t="s" s="106">
        <v>1353</v>
      </c>
      <c r="D423" t="s" s="106">
        <v>183</v>
      </c>
      <c r="E423" t="s" s="106">
        <v>183</v>
      </c>
      <c r="F423" t="s" s="106">
        <v>241</v>
      </c>
      <c r="G423" t="s" s="96">
        <v>1403</v>
      </c>
      <c r="H423" s="97"/>
      <c r="I423" s="97"/>
      <c r="J423" s="97"/>
      <c r="K423" s="97"/>
      <c r="L423" s="97"/>
      <c r="M423" t="s" s="96">
        <v>243</v>
      </c>
      <c r="N423" t="s" s="96">
        <v>244</v>
      </c>
      <c r="O423" t="s" s="96">
        <v>245</v>
      </c>
      <c r="P423" t="s" s="96">
        <v>1387</v>
      </c>
      <c r="Q423" t="s" s="98">
        <v>1356</v>
      </c>
    </row>
    <row r="424" ht="42" customHeight="1">
      <c r="A424" t="s" s="105">
        <v>1404</v>
      </c>
      <c r="B424" t="s" s="106">
        <v>238</v>
      </c>
      <c r="C424" t="s" s="106">
        <v>1353</v>
      </c>
      <c r="D424" t="s" s="106">
        <v>183</v>
      </c>
      <c r="E424" t="s" s="106">
        <v>183</v>
      </c>
      <c r="F424" t="s" s="106">
        <v>241</v>
      </c>
      <c r="G424" t="s" s="96">
        <v>1405</v>
      </c>
      <c r="H424" s="97"/>
      <c r="I424" s="97"/>
      <c r="J424" s="97"/>
      <c r="K424" s="97"/>
      <c r="L424" s="97"/>
      <c r="M424" t="s" s="96">
        <v>243</v>
      </c>
      <c r="N424" t="s" s="96">
        <v>244</v>
      </c>
      <c r="O424" t="s" s="96">
        <v>245</v>
      </c>
      <c r="P424" t="s" s="96">
        <v>1387</v>
      </c>
      <c r="Q424" t="s" s="98">
        <v>1356</v>
      </c>
    </row>
    <row r="425" ht="42" customHeight="1">
      <c r="A425" t="s" s="105">
        <v>1406</v>
      </c>
      <c r="B425" t="s" s="106">
        <v>238</v>
      </c>
      <c r="C425" t="s" s="106">
        <v>1353</v>
      </c>
      <c r="D425" t="s" s="106">
        <v>183</v>
      </c>
      <c r="E425" t="s" s="106">
        <v>183</v>
      </c>
      <c r="F425" t="s" s="106">
        <v>241</v>
      </c>
      <c r="G425" t="s" s="96">
        <v>1407</v>
      </c>
      <c r="H425" s="97"/>
      <c r="I425" s="97"/>
      <c r="J425" s="97"/>
      <c r="K425" s="97"/>
      <c r="L425" s="97"/>
      <c r="M425" t="s" s="96">
        <v>243</v>
      </c>
      <c r="N425" t="s" s="96">
        <v>244</v>
      </c>
      <c r="O425" t="s" s="96">
        <v>245</v>
      </c>
      <c r="P425" t="s" s="96">
        <v>1387</v>
      </c>
      <c r="Q425" t="s" s="98">
        <v>1356</v>
      </c>
    </row>
    <row r="426" ht="42" customHeight="1">
      <c r="A426" t="s" s="105">
        <v>1408</v>
      </c>
      <c r="B426" t="s" s="106">
        <v>238</v>
      </c>
      <c r="C426" t="s" s="106">
        <v>1353</v>
      </c>
      <c r="D426" t="s" s="106">
        <v>183</v>
      </c>
      <c r="E426" t="s" s="106">
        <v>183</v>
      </c>
      <c r="F426" t="s" s="106">
        <v>241</v>
      </c>
      <c r="G426" t="s" s="96">
        <v>1409</v>
      </c>
      <c r="H426" s="97"/>
      <c r="I426" s="97"/>
      <c r="J426" s="97"/>
      <c r="K426" s="97"/>
      <c r="L426" s="97"/>
      <c r="M426" t="s" s="96">
        <v>243</v>
      </c>
      <c r="N426" t="s" s="96">
        <v>244</v>
      </c>
      <c r="O426" t="s" s="96">
        <v>245</v>
      </c>
      <c r="P426" t="s" s="96">
        <v>1387</v>
      </c>
      <c r="Q426" t="s" s="98">
        <v>1356</v>
      </c>
    </row>
    <row r="427" ht="42" customHeight="1">
      <c r="A427" t="s" s="105">
        <v>1410</v>
      </c>
      <c r="B427" t="s" s="106">
        <v>238</v>
      </c>
      <c r="C427" t="s" s="106">
        <v>1353</v>
      </c>
      <c r="D427" t="s" s="106">
        <v>183</v>
      </c>
      <c r="E427" t="s" s="106">
        <v>183</v>
      </c>
      <c r="F427" t="s" s="106">
        <v>241</v>
      </c>
      <c r="G427" t="s" s="96">
        <v>1411</v>
      </c>
      <c r="H427" s="97"/>
      <c r="I427" s="97"/>
      <c r="J427" s="97"/>
      <c r="K427" s="97"/>
      <c r="L427" s="97"/>
      <c r="M427" t="s" s="96">
        <v>243</v>
      </c>
      <c r="N427" t="s" s="96">
        <v>244</v>
      </c>
      <c r="O427" t="s" s="96">
        <v>245</v>
      </c>
      <c r="P427" t="s" s="96">
        <v>1387</v>
      </c>
      <c r="Q427" t="s" s="98">
        <v>1356</v>
      </c>
    </row>
    <row r="428" ht="42" customHeight="1">
      <c r="A428" t="s" s="105">
        <v>1412</v>
      </c>
      <c r="B428" t="s" s="106">
        <v>238</v>
      </c>
      <c r="C428" t="s" s="106">
        <v>1353</v>
      </c>
      <c r="D428" t="s" s="106">
        <v>183</v>
      </c>
      <c r="E428" t="s" s="106">
        <v>183</v>
      </c>
      <c r="F428" t="s" s="106">
        <v>241</v>
      </c>
      <c r="G428" t="s" s="96">
        <v>1413</v>
      </c>
      <c r="H428" s="97"/>
      <c r="I428" s="97"/>
      <c r="J428" s="97"/>
      <c r="K428" s="97"/>
      <c r="L428" s="97"/>
      <c r="M428" t="s" s="96">
        <v>243</v>
      </c>
      <c r="N428" t="s" s="96">
        <v>244</v>
      </c>
      <c r="O428" t="s" s="96">
        <v>245</v>
      </c>
      <c r="P428" t="s" s="96">
        <v>1387</v>
      </c>
      <c r="Q428" t="s" s="98">
        <v>1356</v>
      </c>
    </row>
    <row r="429" ht="42" customHeight="1">
      <c r="A429" t="s" s="105">
        <v>1414</v>
      </c>
      <c r="B429" t="s" s="106">
        <v>238</v>
      </c>
      <c r="C429" t="s" s="106">
        <v>1353</v>
      </c>
      <c r="D429" t="s" s="106">
        <v>183</v>
      </c>
      <c r="E429" t="s" s="106">
        <v>183</v>
      </c>
      <c r="F429" t="s" s="106">
        <v>241</v>
      </c>
      <c r="G429" t="s" s="96">
        <v>1415</v>
      </c>
      <c r="H429" s="97"/>
      <c r="I429" s="97"/>
      <c r="J429" s="97"/>
      <c r="K429" s="97"/>
      <c r="L429" s="97"/>
      <c r="M429" t="s" s="96">
        <v>243</v>
      </c>
      <c r="N429" t="s" s="96">
        <v>244</v>
      </c>
      <c r="O429" t="s" s="96">
        <v>245</v>
      </c>
      <c r="P429" t="s" s="96">
        <v>1387</v>
      </c>
      <c r="Q429" t="s" s="98">
        <v>1356</v>
      </c>
    </row>
    <row r="430" ht="42" customHeight="1">
      <c r="A430" t="s" s="105">
        <v>1416</v>
      </c>
      <c r="B430" t="s" s="106">
        <v>238</v>
      </c>
      <c r="C430" t="s" s="106">
        <v>1353</v>
      </c>
      <c r="D430" t="s" s="106">
        <v>188</v>
      </c>
      <c r="E430" t="s" s="106">
        <v>188</v>
      </c>
      <c r="F430" t="s" s="106">
        <v>241</v>
      </c>
      <c r="G430" t="s" s="96">
        <v>1417</v>
      </c>
      <c r="H430" s="97"/>
      <c r="I430" s="97"/>
      <c r="J430" s="97"/>
      <c r="K430" s="97"/>
      <c r="L430" s="97"/>
      <c r="M430" t="s" s="96">
        <v>243</v>
      </c>
      <c r="N430" t="s" s="96">
        <v>244</v>
      </c>
      <c r="O430" t="s" s="96">
        <v>245</v>
      </c>
      <c r="P430" t="s" s="96">
        <v>1418</v>
      </c>
      <c r="Q430" t="s" s="98">
        <v>1356</v>
      </c>
    </row>
    <row r="431" ht="42" customHeight="1">
      <c r="A431" t="s" s="105">
        <v>1419</v>
      </c>
      <c r="B431" t="s" s="106">
        <v>238</v>
      </c>
      <c r="C431" t="s" s="106">
        <v>1353</v>
      </c>
      <c r="D431" t="s" s="106">
        <v>188</v>
      </c>
      <c r="E431" t="s" s="106">
        <v>188</v>
      </c>
      <c r="F431" t="s" s="106">
        <v>241</v>
      </c>
      <c r="G431" t="s" s="96">
        <v>1420</v>
      </c>
      <c r="H431" s="97"/>
      <c r="I431" s="97"/>
      <c r="J431" s="97"/>
      <c r="K431" s="97"/>
      <c r="L431" s="97"/>
      <c r="M431" t="s" s="96">
        <v>243</v>
      </c>
      <c r="N431" t="s" s="96">
        <v>244</v>
      </c>
      <c r="O431" t="s" s="96">
        <v>245</v>
      </c>
      <c r="P431" t="s" s="96">
        <v>1418</v>
      </c>
      <c r="Q431" t="s" s="98">
        <v>1356</v>
      </c>
    </row>
    <row r="432" ht="42" customHeight="1">
      <c r="A432" t="s" s="105">
        <v>1421</v>
      </c>
      <c r="B432" t="s" s="106">
        <v>238</v>
      </c>
      <c r="C432" t="s" s="106">
        <v>1353</v>
      </c>
      <c r="D432" t="s" s="106">
        <v>188</v>
      </c>
      <c r="E432" t="s" s="106">
        <v>188</v>
      </c>
      <c r="F432" t="s" s="106">
        <v>241</v>
      </c>
      <c r="G432" t="s" s="96">
        <v>1422</v>
      </c>
      <c r="H432" s="97"/>
      <c r="I432" s="97"/>
      <c r="J432" s="97"/>
      <c r="K432" s="97"/>
      <c r="L432" s="97"/>
      <c r="M432" t="s" s="96">
        <v>243</v>
      </c>
      <c r="N432" t="s" s="96">
        <v>244</v>
      </c>
      <c r="O432" t="s" s="96">
        <v>245</v>
      </c>
      <c r="P432" t="s" s="96">
        <v>1418</v>
      </c>
      <c r="Q432" t="s" s="98">
        <v>1356</v>
      </c>
    </row>
    <row r="433" ht="42" customHeight="1">
      <c r="A433" t="s" s="105">
        <v>1423</v>
      </c>
      <c r="B433" t="s" s="106">
        <v>238</v>
      </c>
      <c r="C433" t="s" s="106">
        <v>1353</v>
      </c>
      <c r="D433" t="s" s="106">
        <v>188</v>
      </c>
      <c r="E433" t="s" s="106">
        <v>188</v>
      </c>
      <c r="F433" t="s" s="106">
        <v>241</v>
      </c>
      <c r="G433" t="s" s="96">
        <v>1424</v>
      </c>
      <c r="H433" s="97"/>
      <c r="I433" s="97"/>
      <c r="J433" s="97"/>
      <c r="K433" s="97"/>
      <c r="L433" s="97"/>
      <c r="M433" t="s" s="96">
        <v>243</v>
      </c>
      <c r="N433" t="s" s="96">
        <v>244</v>
      </c>
      <c r="O433" t="s" s="96">
        <v>245</v>
      </c>
      <c r="P433" t="s" s="96">
        <v>1418</v>
      </c>
      <c r="Q433" t="s" s="98">
        <v>1356</v>
      </c>
    </row>
    <row r="434" ht="42" customHeight="1">
      <c r="A434" t="s" s="105">
        <v>1425</v>
      </c>
      <c r="B434" t="s" s="106">
        <v>238</v>
      </c>
      <c r="C434" t="s" s="106">
        <v>1353</v>
      </c>
      <c r="D434" t="s" s="106">
        <v>188</v>
      </c>
      <c r="E434" t="s" s="106">
        <v>188</v>
      </c>
      <c r="F434" t="s" s="106">
        <v>241</v>
      </c>
      <c r="G434" t="s" s="96">
        <v>1426</v>
      </c>
      <c r="H434" s="97"/>
      <c r="I434" s="97"/>
      <c r="J434" s="97"/>
      <c r="K434" s="97"/>
      <c r="L434" s="97"/>
      <c r="M434" t="s" s="96">
        <v>243</v>
      </c>
      <c r="N434" t="s" s="96">
        <v>244</v>
      </c>
      <c r="O434" t="s" s="96">
        <v>245</v>
      </c>
      <c r="P434" t="s" s="96">
        <v>1418</v>
      </c>
      <c r="Q434" t="s" s="98">
        <v>1356</v>
      </c>
    </row>
    <row r="435" ht="42" customHeight="1">
      <c r="A435" t="s" s="105">
        <v>1427</v>
      </c>
      <c r="B435" t="s" s="106">
        <v>238</v>
      </c>
      <c r="C435" t="s" s="106">
        <v>1353</v>
      </c>
      <c r="D435" t="s" s="106">
        <v>188</v>
      </c>
      <c r="E435" t="s" s="106">
        <v>188</v>
      </c>
      <c r="F435" t="s" s="106">
        <v>241</v>
      </c>
      <c r="G435" t="s" s="96">
        <v>1428</v>
      </c>
      <c r="H435" s="97"/>
      <c r="I435" s="97"/>
      <c r="J435" s="97"/>
      <c r="K435" s="97"/>
      <c r="L435" s="97"/>
      <c r="M435" t="s" s="96">
        <v>243</v>
      </c>
      <c r="N435" t="s" s="96">
        <v>244</v>
      </c>
      <c r="O435" t="s" s="96">
        <v>245</v>
      </c>
      <c r="P435" t="s" s="96">
        <v>1418</v>
      </c>
      <c r="Q435" t="s" s="98">
        <v>1356</v>
      </c>
    </row>
    <row r="436" ht="42" customHeight="1">
      <c r="A436" t="s" s="105">
        <v>1429</v>
      </c>
      <c r="B436" t="s" s="106">
        <v>238</v>
      </c>
      <c r="C436" t="s" s="106">
        <v>1353</v>
      </c>
      <c r="D436" t="s" s="106">
        <v>188</v>
      </c>
      <c r="E436" t="s" s="106">
        <v>188</v>
      </c>
      <c r="F436" t="s" s="106">
        <v>241</v>
      </c>
      <c r="G436" t="s" s="96">
        <v>1430</v>
      </c>
      <c r="H436" s="97"/>
      <c r="I436" s="97"/>
      <c r="J436" s="97"/>
      <c r="K436" s="97"/>
      <c r="L436" s="97"/>
      <c r="M436" t="s" s="96">
        <v>243</v>
      </c>
      <c r="N436" t="s" s="96">
        <v>244</v>
      </c>
      <c r="O436" t="s" s="96">
        <v>245</v>
      </c>
      <c r="P436" t="s" s="96">
        <v>1418</v>
      </c>
      <c r="Q436" t="s" s="98">
        <v>1356</v>
      </c>
    </row>
    <row r="437" ht="42" customHeight="1">
      <c r="A437" t="s" s="105">
        <v>1431</v>
      </c>
      <c r="B437" t="s" s="106">
        <v>238</v>
      </c>
      <c r="C437" t="s" s="106">
        <v>1353</v>
      </c>
      <c r="D437" t="s" s="106">
        <v>188</v>
      </c>
      <c r="E437" t="s" s="106">
        <v>188</v>
      </c>
      <c r="F437" t="s" s="106">
        <v>241</v>
      </c>
      <c r="G437" t="s" s="96">
        <v>1432</v>
      </c>
      <c r="H437" s="97"/>
      <c r="I437" s="97"/>
      <c r="J437" s="97"/>
      <c r="K437" s="97"/>
      <c r="L437" s="97"/>
      <c r="M437" t="s" s="96">
        <v>243</v>
      </c>
      <c r="N437" t="s" s="96">
        <v>244</v>
      </c>
      <c r="O437" t="s" s="96">
        <v>245</v>
      </c>
      <c r="P437" t="s" s="96">
        <v>1418</v>
      </c>
      <c r="Q437" t="s" s="98">
        <v>1356</v>
      </c>
    </row>
    <row r="438" ht="42" customHeight="1">
      <c r="A438" t="s" s="105">
        <v>1433</v>
      </c>
      <c r="B438" t="s" s="106">
        <v>238</v>
      </c>
      <c r="C438" t="s" s="106">
        <v>1353</v>
      </c>
      <c r="D438" t="s" s="106">
        <v>188</v>
      </c>
      <c r="E438" t="s" s="106">
        <v>188</v>
      </c>
      <c r="F438" t="s" s="106">
        <v>241</v>
      </c>
      <c r="G438" t="s" s="96">
        <v>1434</v>
      </c>
      <c r="H438" s="97"/>
      <c r="I438" s="97"/>
      <c r="J438" s="97"/>
      <c r="K438" s="97"/>
      <c r="L438" s="97"/>
      <c r="M438" t="s" s="96">
        <v>243</v>
      </c>
      <c r="N438" t="s" s="96">
        <v>244</v>
      </c>
      <c r="O438" t="s" s="96">
        <v>245</v>
      </c>
      <c r="P438" t="s" s="96">
        <v>1418</v>
      </c>
      <c r="Q438" t="s" s="98">
        <v>1356</v>
      </c>
    </row>
    <row r="439" ht="42" customHeight="1">
      <c r="A439" t="s" s="105">
        <v>1435</v>
      </c>
      <c r="B439" t="s" s="106">
        <v>238</v>
      </c>
      <c r="C439" t="s" s="106">
        <v>1353</v>
      </c>
      <c r="D439" t="s" s="106">
        <v>188</v>
      </c>
      <c r="E439" t="s" s="106">
        <v>188</v>
      </c>
      <c r="F439" t="s" s="106">
        <v>241</v>
      </c>
      <c r="G439" t="s" s="96">
        <v>1436</v>
      </c>
      <c r="H439" s="97"/>
      <c r="I439" s="97"/>
      <c r="J439" s="97"/>
      <c r="K439" s="97"/>
      <c r="L439" s="97"/>
      <c r="M439" t="s" s="96">
        <v>243</v>
      </c>
      <c r="N439" t="s" s="96">
        <v>244</v>
      </c>
      <c r="O439" t="s" s="96">
        <v>245</v>
      </c>
      <c r="P439" t="s" s="96">
        <v>1418</v>
      </c>
      <c r="Q439" t="s" s="98">
        <v>1356</v>
      </c>
    </row>
    <row r="440" ht="42" customHeight="1">
      <c r="A440" t="s" s="105">
        <v>1437</v>
      </c>
      <c r="B440" t="s" s="106">
        <v>238</v>
      </c>
      <c r="C440" t="s" s="106">
        <v>1353</v>
      </c>
      <c r="D440" t="s" s="106">
        <v>188</v>
      </c>
      <c r="E440" t="s" s="106">
        <v>188</v>
      </c>
      <c r="F440" t="s" s="106">
        <v>241</v>
      </c>
      <c r="G440" t="s" s="96">
        <v>1438</v>
      </c>
      <c r="H440" s="97"/>
      <c r="I440" s="97"/>
      <c r="J440" s="97"/>
      <c r="K440" s="97"/>
      <c r="L440" s="97"/>
      <c r="M440" t="s" s="96">
        <v>243</v>
      </c>
      <c r="N440" t="s" s="96">
        <v>244</v>
      </c>
      <c r="O440" t="s" s="96">
        <v>245</v>
      </c>
      <c r="P440" t="s" s="96">
        <v>1418</v>
      </c>
      <c r="Q440" t="s" s="98">
        <v>1356</v>
      </c>
    </row>
    <row r="441" ht="42" customHeight="1">
      <c r="A441" t="s" s="105">
        <v>1439</v>
      </c>
      <c r="B441" t="s" s="106">
        <v>238</v>
      </c>
      <c r="C441" t="s" s="106">
        <v>1353</v>
      </c>
      <c r="D441" t="s" s="106">
        <v>188</v>
      </c>
      <c r="E441" t="s" s="106">
        <v>188</v>
      </c>
      <c r="F441" t="s" s="106">
        <v>241</v>
      </c>
      <c r="G441" t="s" s="96">
        <v>1440</v>
      </c>
      <c r="H441" s="97"/>
      <c r="I441" s="97"/>
      <c r="J441" s="97"/>
      <c r="K441" s="97"/>
      <c r="L441" s="97"/>
      <c r="M441" t="s" s="96">
        <v>243</v>
      </c>
      <c r="N441" t="s" s="96">
        <v>244</v>
      </c>
      <c r="O441" t="s" s="96">
        <v>245</v>
      </c>
      <c r="P441" t="s" s="96">
        <v>1418</v>
      </c>
      <c r="Q441" t="s" s="98">
        <v>1356</v>
      </c>
    </row>
    <row r="442" ht="42" customHeight="1">
      <c r="A442" t="s" s="105">
        <v>1441</v>
      </c>
      <c r="B442" t="s" s="106">
        <v>238</v>
      </c>
      <c r="C442" t="s" s="106">
        <v>1353</v>
      </c>
      <c r="D442" t="s" s="106">
        <v>188</v>
      </c>
      <c r="E442" t="s" s="106">
        <v>188</v>
      </c>
      <c r="F442" t="s" s="106">
        <v>241</v>
      </c>
      <c r="G442" t="s" s="96">
        <v>1442</v>
      </c>
      <c r="H442" s="97"/>
      <c r="I442" s="97"/>
      <c r="J442" s="97"/>
      <c r="K442" s="97"/>
      <c r="L442" s="97"/>
      <c r="M442" t="s" s="96">
        <v>243</v>
      </c>
      <c r="N442" t="s" s="96">
        <v>244</v>
      </c>
      <c r="O442" t="s" s="96">
        <v>245</v>
      </c>
      <c r="P442" t="s" s="96">
        <v>1418</v>
      </c>
      <c r="Q442" t="s" s="98">
        <v>1356</v>
      </c>
    </row>
    <row r="443" ht="42" customHeight="1">
      <c r="A443" t="s" s="105">
        <v>1443</v>
      </c>
      <c r="B443" t="s" s="106">
        <v>238</v>
      </c>
      <c r="C443" t="s" s="106">
        <v>1353</v>
      </c>
      <c r="D443" t="s" s="106">
        <v>188</v>
      </c>
      <c r="E443" t="s" s="106">
        <v>188</v>
      </c>
      <c r="F443" t="s" s="106">
        <v>241</v>
      </c>
      <c r="G443" t="s" s="96">
        <v>1444</v>
      </c>
      <c r="H443" s="97"/>
      <c r="I443" s="97"/>
      <c r="J443" s="97"/>
      <c r="K443" s="97"/>
      <c r="L443" s="97"/>
      <c r="M443" t="s" s="96">
        <v>243</v>
      </c>
      <c r="N443" t="s" s="96">
        <v>244</v>
      </c>
      <c r="O443" t="s" s="96">
        <v>245</v>
      </c>
      <c r="P443" t="s" s="96">
        <v>1418</v>
      </c>
      <c r="Q443" t="s" s="98">
        <v>1356</v>
      </c>
    </row>
    <row r="444" ht="42" customHeight="1">
      <c r="A444" t="s" s="105">
        <v>1445</v>
      </c>
      <c r="B444" t="s" s="106">
        <v>238</v>
      </c>
      <c r="C444" t="s" s="106">
        <v>1353</v>
      </c>
      <c r="D444" t="s" s="106">
        <v>188</v>
      </c>
      <c r="E444" t="s" s="106">
        <v>188</v>
      </c>
      <c r="F444" t="s" s="106">
        <v>241</v>
      </c>
      <c r="G444" t="s" s="96">
        <v>1446</v>
      </c>
      <c r="H444" s="97"/>
      <c r="I444" s="97"/>
      <c r="J444" s="97"/>
      <c r="K444" s="97"/>
      <c r="L444" s="97"/>
      <c r="M444" t="s" s="96">
        <v>243</v>
      </c>
      <c r="N444" t="s" s="96">
        <v>244</v>
      </c>
      <c r="O444" t="s" s="96">
        <v>245</v>
      </c>
      <c r="P444" t="s" s="96">
        <v>1418</v>
      </c>
      <c r="Q444" t="s" s="98">
        <v>1356</v>
      </c>
    </row>
    <row r="445" ht="42" customHeight="1">
      <c r="A445" t="s" s="105">
        <v>1447</v>
      </c>
      <c r="B445" t="s" s="106">
        <v>238</v>
      </c>
      <c r="C445" t="s" s="106">
        <v>1353</v>
      </c>
      <c r="D445" t="s" s="106">
        <v>193</v>
      </c>
      <c r="E445" t="s" s="106">
        <v>193</v>
      </c>
      <c r="F445" t="s" s="106">
        <v>241</v>
      </c>
      <c r="G445" t="s" s="96">
        <v>1448</v>
      </c>
      <c r="H445" s="97"/>
      <c r="I445" s="97"/>
      <c r="J445" s="97"/>
      <c r="K445" s="97"/>
      <c r="L445" s="97"/>
      <c r="M445" t="s" s="96">
        <v>243</v>
      </c>
      <c r="N445" t="s" s="96">
        <v>244</v>
      </c>
      <c r="O445" t="s" s="96">
        <v>245</v>
      </c>
      <c r="P445" t="s" s="96">
        <v>1449</v>
      </c>
      <c r="Q445" t="s" s="98">
        <v>1356</v>
      </c>
    </row>
    <row r="446" ht="42" customHeight="1">
      <c r="A446" t="s" s="105">
        <v>1450</v>
      </c>
      <c r="B446" t="s" s="106">
        <v>238</v>
      </c>
      <c r="C446" t="s" s="106">
        <v>1353</v>
      </c>
      <c r="D446" t="s" s="106">
        <v>193</v>
      </c>
      <c r="E446" t="s" s="106">
        <v>193</v>
      </c>
      <c r="F446" t="s" s="106">
        <v>241</v>
      </c>
      <c r="G446" t="s" s="96">
        <v>1451</v>
      </c>
      <c r="H446" s="97"/>
      <c r="I446" s="97"/>
      <c r="J446" s="97"/>
      <c r="K446" s="97"/>
      <c r="L446" s="97"/>
      <c r="M446" t="s" s="96">
        <v>243</v>
      </c>
      <c r="N446" t="s" s="96">
        <v>244</v>
      </c>
      <c r="O446" t="s" s="96">
        <v>245</v>
      </c>
      <c r="P446" t="s" s="96">
        <v>1449</v>
      </c>
      <c r="Q446" t="s" s="98">
        <v>1356</v>
      </c>
    </row>
    <row r="447" ht="42" customHeight="1">
      <c r="A447" t="s" s="105">
        <v>1452</v>
      </c>
      <c r="B447" t="s" s="106">
        <v>238</v>
      </c>
      <c r="C447" t="s" s="106">
        <v>1353</v>
      </c>
      <c r="D447" t="s" s="106">
        <v>193</v>
      </c>
      <c r="E447" t="s" s="106">
        <v>193</v>
      </c>
      <c r="F447" t="s" s="106">
        <v>241</v>
      </c>
      <c r="G447" t="s" s="96">
        <v>1453</v>
      </c>
      <c r="H447" s="97"/>
      <c r="I447" s="97"/>
      <c r="J447" s="97"/>
      <c r="K447" s="97"/>
      <c r="L447" s="97"/>
      <c r="M447" t="s" s="96">
        <v>243</v>
      </c>
      <c r="N447" t="s" s="96">
        <v>244</v>
      </c>
      <c r="O447" t="s" s="96">
        <v>245</v>
      </c>
      <c r="P447" t="s" s="96">
        <v>1449</v>
      </c>
      <c r="Q447" t="s" s="98">
        <v>1356</v>
      </c>
    </row>
    <row r="448" ht="42" customHeight="1">
      <c r="A448" t="s" s="105">
        <v>1454</v>
      </c>
      <c r="B448" t="s" s="106">
        <v>238</v>
      </c>
      <c r="C448" t="s" s="106">
        <v>1353</v>
      </c>
      <c r="D448" t="s" s="106">
        <v>193</v>
      </c>
      <c r="E448" t="s" s="106">
        <v>193</v>
      </c>
      <c r="F448" t="s" s="106">
        <v>241</v>
      </c>
      <c r="G448" t="s" s="96">
        <v>1455</v>
      </c>
      <c r="H448" s="97"/>
      <c r="I448" s="97"/>
      <c r="J448" s="97"/>
      <c r="K448" s="97"/>
      <c r="L448" s="97"/>
      <c r="M448" t="s" s="96">
        <v>243</v>
      </c>
      <c r="N448" t="s" s="96">
        <v>244</v>
      </c>
      <c r="O448" t="s" s="96">
        <v>245</v>
      </c>
      <c r="P448" t="s" s="96">
        <v>1449</v>
      </c>
      <c r="Q448" t="s" s="98">
        <v>1356</v>
      </c>
    </row>
    <row r="449" ht="42" customHeight="1">
      <c r="A449" t="s" s="105">
        <v>1456</v>
      </c>
      <c r="B449" t="s" s="106">
        <v>238</v>
      </c>
      <c r="C449" t="s" s="106">
        <v>1353</v>
      </c>
      <c r="D449" t="s" s="106">
        <v>193</v>
      </c>
      <c r="E449" t="s" s="106">
        <v>193</v>
      </c>
      <c r="F449" t="s" s="106">
        <v>241</v>
      </c>
      <c r="G449" t="s" s="96">
        <v>1457</v>
      </c>
      <c r="H449" s="97"/>
      <c r="I449" s="97"/>
      <c r="J449" s="97"/>
      <c r="K449" s="97"/>
      <c r="L449" s="97"/>
      <c r="M449" t="s" s="96">
        <v>243</v>
      </c>
      <c r="N449" t="s" s="96">
        <v>244</v>
      </c>
      <c r="O449" t="s" s="96">
        <v>245</v>
      </c>
      <c r="P449" t="s" s="96">
        <v>1449</v>
      </c>
      <c r="Q449" t="s" s="98">
        <v>1356</v>
      </c>
    </row>
    <row r="450" ht="42" customHeight="1">
      <c r="A450" t="s" s="105">
        <v>1458</v>
      </c>
      <c r="B450" t="s" s="106">
        <v>238</v>
      </c>
      <c r="C450" t="s" s="106">
        <v>1353</v>
      </c>
      <c r="D450" t="s" s="106">
        <v>193</v>
      </c>
      <c r="E450" t="s" s="106">
        <v>193</v>
      </c>
      <c r="F450" t="s" s="106">
        <v>241</v>
      </c>
      <c r="G450" t="s" s="96">
        <v>1459</v>
      </c>
      <c r="H450" s="97"/>
      <c r="I450" s="97"/>
      <c r="J450" s="97"/>
      <c r="K450" s="97"/>
      <c r="L450" s="97"/>
      <c r="M450" t="s" s="96">
        <v>243</v>
      </c>
      <c r="N450" t="s" s="96">
        <v>244</v>
      </c>
      <c r="O450" t="s" s="96">
        <v>245</v>
      </c>
      <c r="P450" t="s" s="96">
        <v>1449</v>
      </c>
      <c r="Q450" t="s" s="98">
        <v>1356</v>
      </c>
    </row>
    <row r="451" ht="42" customHeight="1">
      <c r="A451" t="s" s="105">
        <v>1460</v>
      </c>
      <c r="B451" t="s" s="106">
        <v>238</v>
      </c>
      <c r="C451" t="s" s="106">
        <v>1353</v>
      </c>
      <c r="D451" t="s" s="106">
        <v>193</v>
      </c>
      <c r="E451" t="s" s="106">
        <v>193</v>
      </c>
      <c r="F451" t="s" s="106">
        <v>241</v>
      </c>
      <c r="G451" t="s" s="96">
        <v>1461</v>
      </c>
      <c r="H451" s="97"/>
      <c r="I451" s="97"/>
      <c r="J451" s="97"/>
      <c r="K451" s="97"/>
      <c r="L451" s="97"/>
      <c r="M451" t="s" s="96">
        <v>243</v>
      </c>
      <c r="N451" t="s" s="96">
        <v>244</v>
      </c>
      <c r="O451" t="s" s="96">
        <v>245</v>
      </c>
      <c r="P451" t="s" s="96">
        <v>1449</v>
      </c>
      <c r="Q451" t="s" s="98">
        <v>1356</v>
      </c>
    </row>
    <row r="452" ht="42" customHeight="1">
      <c r="A452" t="s" s="105">
        <v>1462</v>
      </c>
      <c r="B452" t="s" s="106">
        <v>238</v>
      </c>
      <c r="C452" t="s" s="106">
        <v>1353</v>
      </c>
      <c r="D452" t="s" s="106">
        <v>193</v>
      </c>
      <c r="E452" t="s" s="106">
        <v>193</v>
      </c>
      <c r="F452" t="s" s="106">
        <v>241</v>
      </c>
      <c r="G452" t="s" s="96">
        <v>1463</v>
      </c>
      <c r="H452" s="97"/>
      <c r="I452" s="97"/>
      <c r="J452" s="97"/>
      <c r="K452" s="97"/>
      <c r="L452" s="97"/>
      <c r="M452" t="s" s="96">
        <v>243</v>
      </c>
      <c r="N452" t="s" s="96">
        <v>244</v>
      </c>
      <c r="O452" t="s" s="96">
        <v>245</v>
      </c>
      <c r="P452" t="s" s="96">
        <v>1449</v>
      </c>
      <c r="Q452" t="s" s="98">
        <v>1356</v>
      </c>
    </row>
    <row r="453" ht="42" customHeight="1">
      <c r="A453" t="s" s="105">
        <v>1464</v>
      </c>
      <c r="B453" t="s" s="106">
        <v>238</v>
      </c>
      <c r="C453" t="s" s="106">
        <v>1353</v>
      </c>
      <c r="D453" t="s" s="106">
        <v>193</v>
      </c>
      <c r="E453" t="s" s="106">
        <v>193</v>
      </c>
      <c r="F453" t="s" s="106">
        <v>241</v>
      </c>
      <c r="G453" t="s" s="96">
        <v>1465</v>
      </c>
      <c r="H453" s="97"/>
      <c r="I453" s="97"/>
      <c r="J453" s="97"/>
      <c r="K453" s="97"/>
      <c r="L453" s="97"/>
      <c r="M453" t="s" s="96">
        <v>243</v>
      </c>
      <c r="N453" t="s" s="96">
        <v>244</v>
      </c>
      <c r="O453" t="s" s="96">
        <v>245</v>
      </c>
      <c r="P453" t="s" s="96">
        <v>1449</v>
      </c>
      <c r="Q453" t="s" s="98">
        <v>1356</v>
      </c>
    </row>
    <row r="454" ht="42" customHeight="1">
      <c r="A454" t="s" s="105">
        <v>1466</v>
      </c>
      <c r="B454" t="s" s="106">
        <v>238</v>
      </c>
      <c r="C454" t="s" s="106">
        <v>1353</v>
      </c>
      <c r="D454" t="s" s="106">
        <v>193</v>
      </c>
      <c r="E454" t="s" s="106">
        <v>193</v>
      </c>
      <c r="F454" t="s" s="106">
        <v>241</v>
      </c>
      <c r="G454" t="s" s="96">
        <v>1467</v>
      </c>
      <c r="H454" s="97"/>
      <c r="I454" s="97"/>
      <c r="J454" s="97"/>
      <c r="K454" s="97"/>
      <c r="L454" s="97"/>
      <c r="M454" t="s" s="96">
        <v>243</v>
      </c>
      <c r="N454" t="s" s="96">
        <v>244</v>
      </c>
      <c r="O454" t="s" s="96">
        <v>245</v>
      </c>
      <c r="P454" t="s" s="96">
        <v>1449</v>
      </c>
      <c r="Q454" t="s" s="98">
        <v>1356</v>
      </c>
    </row>
    <row r="455" ht="42" customHeight="1">
      <c r="A455" t="s" s="105">
        <v>1468</v>
      </c>
      <c r="B455" t="s" s="106">
        <v>238</v>
      </c>
      <c r="C455" t="s" s="106">
        <v>1353</v>
      </c>
      <c r="D455" t="s" s="106">
        <v>193</v>
      </c>
      <c r="E455" t="s" s="106">
        <v>193</v>
      </c>
      <c r="F455" t="s" s="106">
        <v>241</v>
      </c>
      <c r="G455" t="s" s="96">
        <v>1469</v>
      </c>
      <c r="H455" s="97"/>
      <c r="I455" s="97"/>
      <c r="J455" s="97"/>
      <c r="K455" s="97"/>
      <c r="L455" s="97"/>
      <c r="M455" t="s" s="96">
        <v>243</v>
      </c>
      <c r="N455" t="s" s="96">
        <v>244</v>
      </c>
      <c r="O455" t="s" s="96">
        <v>245</v>
      </c>
      <c r="P455" t="s" s="96">
        <v>1449</v>
      </c>
      <c r="Q455" t="s" s="98">
        <v>1356</v>
      </c>
    </row>
    <row r="456" ht="42" customHeight="1">
      <c r="A456" t="s" s="105">
        <v>1470</v>
      </c>
      <c r="B456" t="s" s="106">
        <v>238</v>
      </c>
      <c r="C456" t="s" s="106">
        <v>1353</v>
      </c>
      <c r="D456" t="s" s="106">
        <v>193</v>
      </c>
      <c r="E456" t="s" s="106">
        <v>193</v>
      </c>
      <c r="F456" t="s" s="106">
        <v>241</v>
      </c>
      <c r="G456" t="s" s="96">
        <v>1471</v>
      </c>
      <c r="H456" s="97"/>
      <c r="I456" s="97"/>
      <c r="J456" s="97"/>
      <c r="K456" s="97"/>
      <c r="L456" s="97"/>
      <c r="M456" t="s" s="96">
        <v>243</v>
      </c>
      <c r="N456" t="s" s="96">
        <v>244</v>
      </c>
      <c r="O456" t="s" s="96">
        <v>245</v>
      </c>
      <c r="P456" t="s" s="96">
        <v>1449</v>
      </c>
      <c r="Q456" t="s" s="98">
        <v>1356</v>
      </c>
    </row>
    <row r="457" ht="42" customHeight="1">
      <c r="A457" t="s" s="105">
        <v>1472</v>
      </c>
      <c r="B457" t="s" s="106">
        <v>238</v>
      </c>
      <c r="C457" t="s" s="106">
        <v>1353</v>
      </c>
      <c r="D457" t="s" s="106">
        <v>193</v>
      </c>
      <c r="E457" t="s" s="106">
        <v>193</v>
      </c>
      <c r="F457" t="s" s="106">
        <v>241</v>
      </c>
      <c r="G457" t="s" s="96">
        <v>1473</v>
      </c>
      <c r="H457" s="97"/>
      <c r="I457" s="97"/>
      <c r="J457" s="97"/>
      <c r="K457" s="97"/>
      <c r="L457" s="97"/>
      <c r="M457" t="s" s="96">
        <v>243</v>
      </c>
      <c r="N457" t="s" s="96">
        <v>244</v>
      </c>
      <c r="O457" t="s" s="96">
        <v>245</v>
      </c>
      <c r="P457" t="s" s="96">
        <v>1449</v>
      </c>
      <c r="Q457" t="s" s="98">
        <v>1356</v>
      </c>
    </row>
    <row r="458" ht="42" customHeight="1">
      <c r="A458" t="s" s="105">
        <v>1474</v>
      </c>
      <c r="B458" t="s" s="106">
        <v>238</v>
      </c>
      <c r="C458" t="s" s="106">
        <v>1353</v>
      </c>
      <c r="D458" t="s" s="106">
        <v>193</v>
      </c>
      <c r="E458" t="s" s="106">
        <v>193</v>
      </c>
      <c r="F458" t="s" s="106">
        <v>241</v>
      </c>
      <c r="G458" t="s" s="96">
        <v>1475</v>
      </c>
      <c r="H458" s="97"/>
      <c r="I458" s="97"/>
      <c r="J458" s="97"/>
      <c r="K458" s="97"/>
      <c r="L458" s="97"/>
      <c r="M458" t="s" s="96">
        <v>243</v>
      </c>
      <c r="N458" t="s" s="96">
        <v>244</v>
      </c>
      <c r="O458" t="s" s="96">
        <v>245</v>
      </c>
      <c r="P458" t="s" s="96">
        <v>1449</v>
      </c>
      <c r="Q458" t="s" s="98">
        <v>1356</v>
      </c>
    </row>
    <row r="459" ht="42" customHeight="1">
      <c r="A459" t="s" s="105">
        <v>1476</v>
      </c>
      <c r="B459" t="s" s="106">
        <v>238</v>
      </c>
      <c r="C459" t="s" s="106">
        <v>1353</v>
      </c>
      <c r="D459" t="s" s="106">
        <v>193</v>
      </c>
      <c r="E459" t="s" s="106">
        <v>193</v>
      </c>
      <c r="F459" t="s" s="106">
        <v>241</v>
      </c>
      <c r="G459" t="s" s="96">
        <v>1477</v>
      </c>
      <c r="H459" s="97"/>
      <c r="I459" s="97"/>
      <c r="J459" s="97"/>
      <c r="K459" s="97"/>
      <c r="L459" s="97"/>
      <c r="M459" t="s" s="96">
        <v>243</v>
      </c>
      <c r="N459" t="s" s="96">
        <v>244</v>
      </c>
      <c r="O459" t="s" s="96">
        <v>245</v>
      </c>
      <c r="P459" t="s" s="96">
        <v>1449</v>
      </c>
      <c r="Q459" t="s" s="98">
        <v>1356</v>
      </c>
    </row>
    <row r="460" ht="42" customHeight="1">
      <c r="A460" t="s" s="107">
        <v>1478</v>
      </c>
      <c r="B460" t="s" s="108">
        <v>238</v>
      </c>
      <c r="C460" t="s" s="108">
        <v>1479</v>
      </c>
      <c r="D460" t="s" s="108">
        <v>199</v>
      </c>
      <c r="E460" t="s" s="108">
        <v>199</v>
      </c>
      <c r="F460" t="s" s="108">
        <v>241</v>
      </c>
      <c r="G460" t="s" s="96">
        <v>1480</v>
      </c>
      <c r="H460" s="97"/>
      <c r="I460" s="97"/>
      <c r="J460" s="97"/>
      <c r="K460" s="97"/>
      <c r="L460" s="97"/>
      <c r="M460" t="s" s="96">
        <v>243</v>
      </c>
      <c r="N460" t="s" s="96">
        <v>244</v>
      </c>
      <c r="O460" t="s" s="96">
        <v>245</v>
      </c>
      <c r="P460" t="s" s="96">
        <v>199</v>
      </c>
      <c r="Q460" t="s" s="98">
        <v>1481</v>
      </c>
    </row>
    <row r="461" ht="42" customHeight="1">
      <c r="A461" t="s" s="107">
        <v>1482</v>
      </c>
      <c r="B461" t="s" s="108">
        <v>238</v>
      </c>
      <c r="C461" t="s" s="108">
        <v>1479</v>
      </c>
      <c r="D461" t="s" s="108">
        <v>199</v>
      </c>
      <c r="E461" t="s" s="108">
        <v>199</v>
      </c>
      <c r="F461" t="s" s="108">
        <v>241</v>
      </c>
      <c r="G461" t="s" s="96">
        <v>1483</v>
      </c>
      <c r="H461" s="97"/>
      <c r="I461" s="97"/>
      <c r="J461" s="97"/>
      <c r="K461" s="97"/>
      <c r="L461" s="97"/>
      <c r="M461" t="s" s="96">
        <v>243</v>
      </c>
      <c r="N461" t="s" s="96">
        <v>244</v>
      </c>
      <c r="O461" t="s" s="96">
        <v>245</v>
      </c>
      <c r="P461" t="s" s="96">
        <v>199</v>
      </c>
      <c r="Q461" t="s" s="98">
        <v>1481</v>
      </c>
    </row>
    <row r="462" ht="42" customHeight="1">
      <c r="A462" t="s" s="107">
        <v>1484</v>
      </c>
      <c r="B462" t="s" s="108">
        <v>238</v>
      </c>
      <c r="C462" t="s" s="108">
        <v>1479</v>
      </c>
      <c r="D462" t="s" s="108">
        <v>199</v>
      </c>
      <c r="E462" t="s" s="108">
        <v>199</v>
      </c>
      <c r="F462" t="s" s="108">
        <v>241</v>
      </c>
      <c r="G462" t="s" s="96">
        <v>1485</v>
      </c>
      <c r="H462" s="97"/>
      <c r="I462" s="97"/>
      <c r="J462" s="97"/>
      <c r="K462" s="97"/>
      <c r="L462" s="97"/>
      <c r="M462" t="s" s="96">
        <v>243</v>
      </c>
      <c r="N462" t="s" s="96">
        <v>244</v>
      </c>
      <c r="O462" t="s" s="96">
        <v>245</v>
      </c>
      <c r="P462" t="s" s="96">
        <v>199</v>
      </c>
      <c r="Q462" t="s" s="98">
        <v>1481</v>
      </c>
    </row>
    <row r="463" ht="42" customHeight="1">
      <c r="A463" t="s" s="107">
        <v>1486</v>
      </c>
      <c r="B463" t="s" s="108">
        <v>238</v>
      </c>
      <c r="C463" t="s" s="108">
        <v>1479</v>
      </c>
      <c r="D463" t="s" s="108">
        <v>199</v>
      </c>
      <c r="E463" t="s" s="108">
        <v>199</v>
      </c>
      <c r="F463" t="s" s="108">
        <v>241</v>
      </c>
      <c r="G463" t="s" s="96">
        <v>1487</v>
      </c>
      <c r="H463" s="97"/>
      <c r="I463" s="97"/>
      <c r="J463" s="97"/>
      <c r="K463" s="97"/>
      <c r="L463" s="97"/>
      <c r="M463" t="s" s="96">
        <v>243</v>
      </c>
      <c r="N463" t="s" s="96">
        <v>244</v>
      </c>
      <c r="O463" t="s" s="96">
        <v>245</v>
      </c>
      <c r="P463" t="s" s="96">
        <v>199</v>
      </c>
      <c r="Q463" t="s" s="98">
        <v>1481</v>
      </c>
    </row>
    <row r="464" ht="42" customHeight="1">
      <c r="A464" t="s" s="107">
        <v>1488</v>
      </c>
      <c r="B464" t="s" s="108">
        <v>238</v>
      </c>
      <c r="C464" t="s" s="108">
        <v>1479</v>
      </c>
      <c r="D464" t="s" s="108">
        <v>199</v>
      </c>
      <c r="E464" t="s" s="108">
        <v>199</v>
      </c>
      <c r="F464" t="s" s="108">
        <v>241</v>
      </c>
      <c r="G464" t="s" s="96">
        <v>1489</v>
      </c>
      <c r="H464" s="97"/>
      <c r="I464" s="97"/>
      <c r="J464" s="97"/>
      <c r="K464" s="97"/>
      <c r="L464" s="97"/>
      <c r="M464" t="s" s="96">
        <v>243</v>
      </c>
      <c r="N464" t="s" s="96">
        <v>244</v>
      </c>
      <c r="O464" t="s" s="96">
        <v>245</v>
      </c>
      <c r="P464" t="s" s="96">
        <v>199</v>
      </c>
      <c r="Q464" t="s" s="98">
        <v>1481</v>
      </c>
    </row>
    <row r="465" ht="42" customHeight="1">
      <c r="A465" t="s" s="107">
        <v>1490</v>
      </c>
      <c r="B465" t="s" s="108">
        <v>238</v>
      </c>
      <c r="C465" t="s" s="108">
        <v>1479</v>
      </c>
      <c r="D465" t="s" s="108">
        <v>199</v>
      </c>
      <c r="E465" t="s" s="108">
        <v>199</v>
      </c>
      <c r="F465" t="s" s="108">
        <v>241</v>
      </c>
      <c r="G465" t="s" s="96">
        <v>1491</v>
      </c>
      <c r="H465" s="97"/>
      <c r="I465" s="97"/>
      <c r="J465" s="97"/>
      <c r="K465" s="97"/>
      <c r="L465" s="97"/>
      <c r="M465" t="s" s="96">
        <v>243</v>
      </c>
      <c r="N465" t="s" s="96">
        <v>244</v>
      </c>
      <c r="O465" t="s" s="96">
        <v>245</v>
      </c>
      <c r="P465" t="s" s="96">
        <v>199</v>
      </c>
      <c r="Q465" t="s" s="98">
        <v>1481</v>
      </c>
    </row>
    <row r="466" ht="42" customHeight="1">
      <c r="A466" t="s" s="107">
        <v>1492</v>
      </c>
      <c r="B466" t="s" s="108">
        <v>238</v>
      </c>
      <c r="C466" t="s" s="108">
        <v>1479</v>
      </c>
      <c r="D466" t="s" s="108">
        <v>199</v>
      </c>
      <c r="E466" t="s" s="108">
        <v>199</v>
      </c>
      <c r="F466" t="s" s="108">
        <v>241</v>
      </c>
      <c r="G466" t="s" s="96">
        <v>1493</v>
      </c>
      <c r="H466" s="97"/>
      <c r="I466" s="97"/>
      <c r="J466" s="97"/>
      <c r="K466" s="97"/>
      <c r="L466" s="97"/>
      <c r="M466" t="s" s="96">
        <v>243</v>
      </c>
      <c r="N466" t="s" s="96">
        <v>244</v>
      </c>
      <c r="O466" t="s" s="96">
        <v>245</v>
      </c>
      <c r="P466" t="s" s="96">
        <v>199</v>
      </c>
      <c r="Q466" t="s" s="98">
        <v>1481</v>
      </c>
    </row>
    <row r="467" ht="42" customHeight="1">
      <c r="A467" t="s" s="107">
        <v>1494</v>
      </c>
      <c r="B467" t="s" s="108">
        <v>238</v>
      </c>
      <c r="C467" t="s" s="108">
        <v>1479</v>
      </c>
      <c r="D467" t="s" s="108">
        <v>199</v>
      </c>
      <c r="E467" t="s" s="108">
        <v>199</v>
      </c>
      <c r="F467" t="s" s="108">
        <v>241</v>
      </c>
      <c r="G467" t="s" s="96">
        <v>1495</v>
      </c>
      <c r="H467" s="97"/>
      <c r="I467" s="97"/>
      <c r="J467" s="97"/>
      <c r="K467" s="97"/>
      <c r="L467" s="97"/>
      <c r="M467" t="s" s="96">
        <v>243</v>
      </c>
      <c r="N467" t="s" s="96">
        <v>244</v>
      </c>
      <c r="O467" t="s" s="96">
        <v>245</v>
      </c>
      <c r="P467" t="s" s="96">
        <v>199</v>
      </c>
      <c r="Q467" t="s" s="98">
        <v>1481</v>
      </c>
    </row>
    <row r="468" ht="42" customHeight="1">
      <c r="A468" t="s" s="107">
        <v>1496</v>
      </c>
      <c r="B468" t="s" s="108">
        <v>238</v>
      </c>
      <c r="C468" t="s" s="108">
        <v>1479</v>
      </c>
      <c r="D468" t="s" s="108">
        <v>199</v>
      </c>
      <c r="E468" t="s" s="108">
        <v>199</v>
      </c>
      <c r="F468" t="s" s="108">
        <v>241</v>
      </c>
      <c r="G468" t="s" s="96">
        <v>1497</v>
      </c>
      <c r="H468" s="97"/>
      <c r="I468" s="97"/>
      <c r="J468" s="97"/>
      <c r="K468" s="97"/>
      <c r="L468" s="97"/>
      <c r="M468" t="s" s="96">
        <v>243</v>
      </c>
      <c r="N468" t="s" s="96">
        <v>244</v>
      </c>
      <c r="O468" t="s" s="96">
        <v>245</v>
      </c>
      <c r="P468" t="s" s="96">
        <v>199</v>
      </c>
      <c r="Q468" t="s" s="98">
        <v>1481</v>
      </c>
    </row>
    <row r="469" ht="42" customHeight="1">
      <c r="A469" t="s" s="107">
        <v>1498</v>
      </c>
      <c r="B469" t="s" s="108">
        <v>238</v>
      </c>
      <c r="C469" t="s" s="108">
        <v>1479</v>
      </c>
      <c r="D469" t="s" s="108">
        <v>199</v>
      </c>
      <c r="E469" t="s" s="108">
        <v>199</v>
      </c>
      <c r="F469" t="s" s="108">
        <v>241</v>
      </c>
      <c r="G469" t="s" s="96">
        <v>1499</v>
      </c>
      <c r="H469" s="97"/>
      <c r="I469" s="97"/>
      <c r="J469" s="97"/>
      <c r="K469" s="97"/>
      <c r="L469" s="97"/>
      <c r="M469" t="s" s="96">
        <v>243</v>
      </c>
      <c r="N469" t="s" s="96">
        <v>244</v>
      </c>
      <c r="O469" t="s" s="96">
        <v>245</v>
      </c>
      <c r="P469" t="s" s="96">
        <v>199</v>
      </c>
      <c r="Q469" t="s" s="98">
        <v>1481</v>
      </c>
    </row>
    <row r="470" ht="42" customHeight="1">
      <c r="A470" t="s" s="107">
        <v>1500</v>
      </c>
      <c r="B470" t="s" s="108">
        <v>238</v>
      </c>
      <c r="C470" t="s" s="108">
        <v>1479</v>
      </c>
      <c r="D470" t="s" s="108">
        <v>199</v>
      </c>
      <c r="E470" t="s" s="108">
        <v>199</v>
      </c>
      <c r="F470" t="s" s="108">
        <v>241</v>
      </c>
      <c r="G470" t="s" s="96">
        <v>1501</v>
      </c>
      <c r="H470" s="97"/>
      <c r="I470" s="97"/>
      <c r="J470" s="97"/>
      <c r="K470" s="97"/>
      <c r="L470" s="97"/>
      <c r="M470" t="s" s="96">
        <v>243</v>
      </c>
      <c r="N470" t="s" s="96">
        <v>244</v>
      </c>
      <c r="O470" t="s" s="96">
        <v>245</v>
      </c>
      <c r="P470" t="s" s="96">
        <v>199</v>
      </c>
      <c r="Q470" t="s" s="98">
        <v>1481</v>
      </c>
    </row>
    <row r="471" ht="42" customHeight="1">
      <c r="A471" t="s" s="107">
        <v>1502</v>
      </c>
      <c r="B471" t="s" s="108">
        <v>238</v>
      </c>
      <c r="C471" t="s" s="108">
        <v>1479</v>
      </c>
      <c r="D471" t="s" s="108">
        <v>199</v>
      </c>
      <c r="E471" t="s" s="108">
        <v>199</v>
      </c>
      <c r="F471" t="s" s="108">
        <v>241</v>
      </c>
      <c r="G471" t="s" s="96">
        <v>1503</v>
      </c>
      <c r="H471" s="97"/>
      <c r="I471" s="97"/>
      <c r="J471" s="97"/>
      <c r="K471" s="97"/>
      <c r="L471" s="97"/>
      <c r="M471" t="s" s="96">
        <v>243</v>
      </c>
      <c r="N471" t="s" s="96">
        <v>244</v>
      </c>
      <c r="O471" t="s" s="96">
        <v>245</v>
      </c>
      <c r="P471" t="s" s="96">
        <v>199</v>
      </c>
      <c r="Q471" t="s" s="98">
        <v>1481</v>
      </c>
    </row>
    <row r="472" ht="42" customHeight="1">
      <c r="A472" t="s" s="107">
        <v>1504</v>
      </c>
      <c r="B472" t="s" s="108">
        <v>238</v>
      </c>
      <c r="C472" t="s" s="108">
        <v>1479</v>
      </c>
      <c r="D472" t="s" s="108">
        <v>199</v>
      </c>
      <c r="E472" t="s" s="108">
        <v>199</v>
      </c>
      <c r="F472" t="s" s="108">
        <v>241</v>
      </c>
      <c r="G472" t="s" s="96">
        <v>1505</v>
      </c>
      <c r="H472" s="97"/>
      <c r="I472" s="97"/>
      <c r="J472" s="97"/>
      <c r="K472" s="97"/>
      <c r="L472" s="97"/>
      <c r="M472" t="s" s="96">
        <v>243</v>
      </c>
      <c r="N472" t="s" s="96">
        <v>244</v>
      </c>
      <c r="O472" t="s" s="96">
        <v>245</v>
      </c>
      <c r="P472" t="s" s="96">
        <v>199</v>
      </c>
      <c r="Q472" t="s" s="98">
        <v>1481</v>
      </c>
    </row>
    <row r="473" ht="42" customHeight="1">
      <c r="A473" t="s" s="107">
        <v>1506</v>
      </c>
      <c r="B473" t="s" s="108">
        <v>238</v>
      </c>
      <c r="C473" t="s" s="108">
        <v>1479</v>
      </c>
      <c r="D473" t="s" s="108">
        <v>199</v>
      </c>
      <c r="E473" t="s" s="108">
        <v>199</v>
      </c>
      <c r="F473" t="s" s="108">
        <v>241</v>
      </c>
      <c r="G473" t="s" s="96">
        <v>1507</v>
      </c>
      <c r="H473" s="97"/>
      <c r="I473" s="97"/>
      <c r="J473" s="97"/>
      <c r="K473" s="97"/>
      <c r="L473" s="97"/>
      <c r="M473" t="s" s="96">
        <v>243</v>
      </c>
      <c r="N473" t="s" s="96">
        <v>244</v>
      </c>
      <c r="O473" t="s" s="96">
        <v>245</v>
      </c>
      <c r="P473" t="s" s="96">
        <v>199</v>
      </c>
      <c r="Q473" t="s" s="98">
        <v>1481</v>
      </c>
    </row>
    <row r="474" ht="42" customHeight="1">
      <c r="A474" t="s" s="107">
        <v>1508</v>
      </c>
      <c r="B474" t="s" s="108">
        <v>238</v>
      </c>
      <c r="C474" t="s" s="108">
        <v>1479</v>
      </c>
      <c r="D474" t="s" s="108">
        <v>199</v>
      </c>
      <c r="E474" t="s" s="108">
        <v>199</v>
      </c>
      <c r="F474" t="s" s="108">
        <v>241</v>
      </c>
      <c r="G474" t="s" s="96">
        <v>1509</v>
      </c>
      <c r="H474" s="97"/>
      <c r="I474" s="97"/>
      <c r="J474" s="97"/>
      <c r="K474" s="97"/>
      <c r="L474" s="97"/>
      <c r="M474" t="s" s="96">
        <v>243</v>
      </c>
      <c r="N474" t="s" s="96">
        <v>244</v>
      </c>
      <c r="O474" t="s" s="96">
        <v>245</v>
      </c>
      <c r="P474" t="s" s="96">
        <v>199</v>
      </c>
      <c r="Q474" t="s" s="98">
        <v>1481</v>
      </c>
    </row>
    <row r="475" ht="42" customHeight="1">
      <c r="A475" t="s" s="107">
        <v>1510</v>
      </c>
      <c r="B475" t="s" s="108">
        <v>238</v>
      </c>
      <c r="C475" t="s" s="108">
        <v>1479</v>
      </c>
      <c r="D475" t="s" s="108">
        <v>199</v>
      </c>
      <c r="E475" t="s" s="108">
        <v>199</v>
      </c>
      <c r="F475" t="s" s="108">
        <v>241</v>
      </c>
      <c r="G475" t="s" s="96">
        <v>1511</v>
      </c>
      <c r="H475" s="97"/>
      <c r="I475" s="97"/>
      <c r="J475" s="97"/>
      <c r="K475" s="97"/>
      <c r="L475" s="97"/>
      <c r="M475" t="s" s="96">
        <v>243</v>
      </c>
      <c r="N475" t="s" s="96">
        <v>244</v>
      </c>
      <c r="O475" t="s" s="96">
        <v>245</v>
      </c>
      <c r="P475" t="s" s="96">
        <v>199</v>
      </c>
      <c r="Q475" t="s" s="98">
        <v>1481</v>
      </c>
    </row>
    <row r="476" ht="42" customHeight="1">
      <c r="A476" t="s" s="107">
        <v>1512</v>
      </c>
      <c r="B476" t="s" s="108">
        <v>238</v>
      </c>
      <c r="C476" t="s" s="108">
        <v>1479</v>
      </c>
      <c r="D476" t="s" s="108">
        <v>199</v>
      </c>
      <c r="E476" t="s" s="108">
        <v>199</v>
      </c>
      <c r="F476" t="s" s="108">
        <v>241</v>
      </c>
      <c r="G476" t="s" s="96">
        <v>1513</v>
      </c>
      <c r="H476" s="97"/>
      <c r="I476" s="97"/>
      <c r="J476" s="97"/>
      <c r="K476" s="97"/>
      <c r="L476" s="97"/>
      <c r="M476" t="s" s="96">
        <v>243</v>
      </c>
      <c r="N476" t="s" s="96">
        <v>244</v>
      </c>
      <c r="O476" t="s" s="96">
        <v>245</v>
      </c>
      <c r="P476" t="s" s="96">
        <v>199</v>
      </c>
      <c r="Q476" t="s" s="98">
        <v>1481</v>
      </c>
    </row>
    <row r="477" ht="42" customHeight="1">
      <c r="A477" t="s" s="107">
        <v>1514</v>
      </c>
      <c r="B477" t="s" s="108">
        <v>238</v>
      </c>
      <c r="C477" t="s" s="108">
        <v>1479</v>
      </c>
      <c r="D477" t="s" s="108">
        <v>199</v>
      </c>
      <c r="E477" t="s" s="108">
        <v>199</v>
      </c>
      <c r="F477" t="s" s="108">
        <v>241</v>
      </c>
      <c r="G477" t="s" s="96">
        <v>1515</v>
      </c>
      <c r="H477" s="97"/>
      <c r="I477" s="97"/>
      <c r="J477" s="97"/>
      <c r="K477" s="97"/>
      <c r="L477" s="97"/>
      <c r="M477" t="s" s="96">
        <v>243</v>
      </c>
      <c r="N477" t="s" s="96">
        <v>244</v>
      </c>
      <c r="O477" t="s" s="96">
        <v>245</v>
      </c>
      <c r="P477" t="s" s="96">
        <v>199</v>
      </c>
      <c r="Q477" t="s" s="98">
        <v>1481</v>
      </c>
    </row>
    <row r="478" ht="42" customHeight="1">
      <c r="A478" t="s" s="107">
        <v>1516</v>
      </c>
      <c r="B478" t="s" s="108">
        <v>238</v>
      </c>
      <c r="C478" t="s" s="108">
        <v>1479</v>
      </c>
      <c r="D478" t="s" s="108">
        <v>199</v>
      </c>
      <c r="E478" t="s" s="108">
        <v>199</v>
      </c>
      <c r="F478" t="s" s="108">
        <v>241</v>
      </c>
      <c r="G478" t="s" s="96">
        <v>1517</v>
      </c>
      <c r="H478" s="97"/>
      <c r="I478" s="97"/>
      <c r="J478" s="97"/>
      <c r="K478" s="97"/>
      <c r="L478" s="97"/>
      <c r="M478" t="s" s="96">
        <v>243</v>
      </c>
      <c r="N478" t="s" s="96">
        <v>244</v>
      </c>
      <c r="O478" t="s" s="96">
        <v>245</v>
      </c>
      <c r="P478" t="s" s="96">
        <v>199</v>
      </c>
      <c r="Q478" t="s" s="98">
        <v>1481</v>
      </c>
    </row>
    <row r="479" ht="42" customHeight="1">
      <c r="A479" t="s" s="107">
        <v>1518</v>
      </c>
      <c r="B479" t="s" s="108">
        <v>238</v>
      </c>
      <c r="C479" t="s" s="108">
        <v>1479</v>
      </c>
      <c r="D479" t="s" s="108">
        <v>199</v>
      </c>
      <c r="E479" t="s" s="108">
        <v>199</v>
      </c>
      <c r="F479" t="s" s="108">
        <v>241</v>
      </c>
      <c r="G479" t="s" s="96">
        <v>1519</v>
      </c>
      <c r="H479" s="97"/>
      <c r="I479" s="97"/>
      <c r="J479" s="97"/>
      <c r="K479" s="97"/>
      <c r="L479" s="97"/>
      <c r="M479" t="s" s="96">
        <v>243</v>
      </c>
      <c r="N479" t="s" s="96">
        <v>244</v>
      </c>
      <c r="O479" t="s" s="96">
        <v>245</v>
      </c>
      <c r="P479" t="s" s="96">
        <v>199</v>
      </c>
      <c r="Q479" t="s" s="98">
        <v>1481</v>
      </c>
    </row>
    <row r="480" ht="42" customHeight="1">
      <c r="A480" t="s" s="107">
        <v>1520</v>
      </c>
      <c r="B480" t="s" s="108">
        <v>238</v>
      </c>
      <c r="C480" t="s" s="108">
        <v>1479</v>
      </c>
      <c r="D480" t="s" s="108">
        <v>204</v>
      </c>
      <c r="E480" t="s" s="108">
        <v>204</v>
      </c>
      <c r="F480" t="s" s="108">
        <v>241</v>
      </c>
      <c r="G480" t="s" s="96">
        <v>1521</v>
      </c>
      <c r="H480" s="97"/>
      <c r="I480" s="97"/>
      <c r="J480" s="97"/>
      <c r="K480" s="97"/>
      <c r="L480" s="97"/>
      <c r="M480" t="s" s="96">
        <v>243</v>
      </c>
      <c r="N480" t="s" s="96">
        <v>244</v>
      </c>
      <c r="O480" t="s" s="96">
        <v>245</v>
      </c>
      <c r="P480" t="s" s="96">
        <v>204</v>
      </c>
      <c r="Q480" t="s" s="98">
        <v>1481</v>
      </c>
    </row>
    <row r="481" ht="42" customHeight="1">
      <c r="A481" t="s" s="107">
        <v>1522</v>
      </c>
      <c r="B481" t="s" s="108">
        <v>238</v>
      </c>
      <c r="C481" t="s" s="108">
        <v>1479</v>
      </c>
      <c r="D481" t="s" s="108">
        <v>204</v>
      </c>
      <c r="E481" t="s" s="108">
        <v>204</v>
      </c>
      <c r="F481" t="s" s="108">
        <v>241</v>
      </c>
      <c r="G481" t="s" s="96">
        <v>1523</v>
      </c>
      <c r="H481" s="97"/>
      <c r="I481" s="97"/>
      <c r="J481" s="97"/>
      <c r="K481" s="97"/>
      <c r="L481" s="97"/>
      <c r="M481" t="s" s="96">
        <v>243</v>
      </c>
      <c r="N481" t="s" s="96">
        <v>244</v>
      </c>
      <c r="O481" t="s" s="96">
        <v>245</v>
      </c>
      <c r="P481" t="s" s="96">
        <v>204</v>
      </c>
      <c r="Q481" t="s" s="98">
        <v>1481</v>
      </c>
    </row>
    <row r="482" ht="42" customHeight="1">
      <c r="A482" t="s" s="107">
        <v>1524</v>
      </c>
      <c r="B482" t="s" s="108">
        <v>238</v>
      </c>
      <c r="C482" t="s" s="108">
        <v>1479</v>
      </c>
      <c r="D482" t="s" s="108">
        <v>204</v>
      </c>
      <c r="E482" t="s" s="108">
        <v>204</v>
      </c>
      <c r="F482" t="s" s="108">
        <v>241</v>
      </c>
      <c r="G482" t="s" s="96">
        <v>1525</v>
      </c>
      <c r="H482" s="97"/>
      <c r="I482" s="97"/>
      <c r="J482" s="97"/>
      <c r="K482" s="97"/>
      <c r="L482" s="97"/>
      <c r="M482" t="s" s="96">
        <v>243</v>
      </c>
      <c r="N482" t="s" s="96">
        <v>244</v>
      </c>
      <c r="O482" t="s" s="96">
        <v>245</v>
      </c>
      <c r="P482" t="s" s="96">
        <v>204</v>
      </c>
      <c r="Q482" t="s" s="98">
        <v>1481</v>
      </c>
    </row>
    <row r="483" ht="42" customHeight="1">
      <c r="A483" t="s" s="107">
        <v>1526</v>
      </c>
      <c r="B483" t="s" s="108">
        <v>238</v>
      </c>
      <c r="C483" t="s" s="108">
        <v>1479</v>
      </c>
      <c r="D483" t="s" s="108">
        <v>204</v>
      </c>
      <c r="E483" t="s" s="108">
        <v>204</v>
      </c>
      <c r="F483" t="s" s="108">
        <v>241</v>
      </c>
      <c r="G483" t="s" s="96">
        <v>1527</v>
      </c>
      <c r="H483" s="97"/>
      <c r="I483" s="97"/>
      <c r="J483" s="97"/>
      <c r="K483" s="97"/>
      <c r="L483" s="97"/>
      <c r="M483" t="s" s="96">
        <v>243</v>
      </c>
      <c r="N483" t="s" s="96">
        <v>244</v>
      </c>
      <c r="O483" t="s" s="96">
        <v>245</v>
      </c>
      <c r="P483" t="s" s="96">
        <v>204</v>
      </c>
      <c r="Q483" t="s" s="98">
        <v>1481</v>
      </c>
    </row>
    <row r="484" ht="42" customHeight="1">
      <c r="A484" t="s" s="107">
        <v>1528</v>
      </c>
      <c r="B484" t="s" s="108">
        <v>238</v>
      </c>
      <c r="C484" t="s" s="108">
        <v>1479</v>
      </c>
      <c r="D484" t="s" s="108">
        <v>204</v>
      </c>
      <c r="E484" t="s" s="108">
        <v>204</v>
      </c>
      <c r="F484" t="s" s="108">
        <v>241</v>
      </c>
      <c r="G484" t="s" s="96">
        <v>1529</v>
      </c>
      <c r="H484" s="97"/>
      <c r="I484" s="97"/>
      <c r="J484" s="97"/>
      <c r="K484" s="97"/>
      <c r="L484" s="97"/>
      <c r="M484" t="s" s="96">
        <v>243</v>
      </c>
      <c r="N484" t="s" s="96">
        <v>244</v>
      </c>
      <c r="O484" t="s" s="96">
        <v>245</v>
      </c>
      <c r="P484" t="s" s="96">
        <v>204</v>
      </c>
      <c r="Q484" t="s" s="98">
        <v>1481</v>
      </c>
    </row>
    <row r="485" ht="42" customHeight="1">
      <c r="A485" t="s" s="107">
        <v>1530</v>
      </c>
      <c r="B485" t="s" s="108">
        <v>238</v>
      </c>
      <c r="C485" t="s" s="108">
        <v>1479</v>
      </c>
      <c r="D485" t="s" s="108">
        <v>204</v>
      </c>
      <c r="E485" t="s" s="108">
        <v>204</v>
      </c>
      <c r="F485" t="s" s="108">
        <v>241</v>
      </c>
      <c r="G485" t="s" s="96">
        <v>1531</v>
      </c>
      <c r="H485" s="97"/>
      <c r="I485" s="97"/>
      <c r="J485" s="97"/>
      <c r="K485" s="97"/>
      <c r="L485" s="97"/>
      <c r="M485" t="s" s="96">
        <v>243</v>
      </c>
      <c r="N485" t="s" s="96">
        <v>244</v>
      </c>
      <c r="O485" t="s" s="96">
        <v>245</v>
      </c>
      <c r="P485" t="s" s="96">
        <v>204</v>
      </c>
      <c r="Q485" t="s" s="98">
        <v>1481</v>
      </c>
    </row>
    <row r="486" ht="42" customHeight="1">
      <c r="A486" t="s" s="107">
        <v>1532</v>
      </c>
      <c r="B486" t="s" s="108">
        <v>238</v>
      </c>
      <c r="C486" t="s" s="108">
        <v>1479</v>
      </c>
      <c r="D486" t="s" s="108">
        <v>204</v>
      </c>
      <c r="E486" t="s" s="108">
        <v>204</v>
      </c>
      <c r="F486" t="s" s="108">
        <v>241</v>
      </c>
      <c r="G486" t="s" s="96">
        <v>1533</v>
      </c>
      <c r="H486" s="97"/>
      <c r="I486" s="97"/>
      <c r="J486" s="97"/>
      <c r="K486" s="97"/>
      <c r="L486" s="97"/>
      <c r="M486" t="s" s="96">
        <v>243</v>
      </c>
      <c r="N486" t="s" s="96">
        <v>244</v>
      </c>
      <c r="O486" t="s" s="96">
        <v>245</v>
      </c>
      <c r="P486" t="s" s="96">
        <v>204</v>
      </c>
      <c r="Q486" t="s" s="98">
        <v>1481</v>
      </c>
    </row>
    <row r="487" ht="42" customHeight="1">
      <c r="A487" t="s" s="107">
        <v>1534</v>
      </c>
      <c r="B487" t="s" s="108">
        <v>238</v>
      </c>
      <c r="C487" t="s" s="108">
        <v>1479</v>
      </c>
      <c r="D487" t="s" s="108">
        <v>204</v>
      </c>
      <c r="E487" t="s" s="108">
        <v>204</v>
      </c>
      <c r="F487" t="s" s="108">
        <v>241</v>
      </c>
      <c r="G487" t="s" s="96">
        <v>1535</v>
      </c>
      <c r="H487" s="97"/>
      <c r="I487" s="97"/>
      <c r="J487" s="97"/>
      <c r="K487" s="97"/>
      <c r="L487" s="97"/>
      <c r="M487" t="s" s="96">
        <v>243</v>
      </c>
      <c r="N487" t="s" s="96">
        <v>244</v>
      </c>
      <c r="O487" t="s" s="96">
        <v>245</v>
      </c>
      <c r="P487" t="s" s="96">
        <v>204</v>
      </c>
      <c r="Q487" t="s" s="98">
        <v>1481</v>
      </c>
    </row>
    <row r="488" ht="42" customHeight="1">
      <c r="A488" t="s" s="107">
        <v>1536</v>
      </c>
      <c r="B488" t="s" s="108">
        <v>238</v>
      </c>
      <c r="C488" t="s" s="108">
        <v>1479</v>
      </c>
      <c r="D488" t="s" s="108">
        <v>204</v>
      </c>
      <c r="E488" t="s" s="108">
        <v>204</v>
      </c>
      <c r="F488" t="s" s="108">
        <v>241</v>
      </c>
      <c r="G488" t="s" s="96">
        <v>1537</v>
      </c>
      <c r="H488" s="97"/>
      <c r="I488" s="97"/>
      <c r="J488" s="97"/>
      <c r="K488" s="97"/>
      <c r="L488" s="97"/>
      <c r="M488" t="s" s="96">
        <v>243</v>
      </c>
      <c r="N488" t="s" s="96">
        <v>244</v>
      </c>
      <c r="O488" t="s" s="96">
        <v>245</v>
      </c>
      <c r="P488" t="s" s="96">
        <v>204</v>
      </c>
      <c r="Q488" t="s" s="98">
        <v>1481</v>
      </c>
    </row>
    <row r="489" ht="42" customHeight="1">
      <c r="A489" t="s" s="107">
        <v>1538</v>
      </c>
      <c r="B489" t="s" s="108">
        <v>238</v>
      </c>
      <c r="C489" t="s" s="108">
        <v>1479</v>
      </c>
      <c r="D489" t="s" s="108">
        <v>204</v>
      </c>
      <c r="E489" t="s" s="108">
        <v>204</v>
      </c>
      <c r="F489" t="s" s="108">
        <v>241</v>
      </c>
      <c r="G489" t="s" s="96">
        <v>1539</v>
      </c>
      <c r="H489" s="97"/>
      <c r="I489" s="97"/>
      <c r="J489" s="97"/>
      <c r="K489" s="97"/>
      <c r="L489" s="97"/>
      <c r="M489" t="s" s="96">
        <v>243</v>
      </c>
      <c r="N489" t="s" s="96">
        <v>244</v>
      </c>
      <c r="O489" t="s" s="96">
        <v>245</v>
      </c>
      <c r="P489" t="s" s="96">
        <v>204</v>
      </c>
      <c r="Q489" t="s" s="98">
        <v>1481</v>
      </c>
    </row>
    <row r="490" ht="42" customHeight="1">
      <c r="A490" t="s" s="107">
        <v>1540</v>
      </c>
      <c r="B490" t="s" s="108">
        <v>238</v>
      </c>
      <c r="C490" t="s" s="108">
        <v>1479</v>
      </c>
      <c r="D490" t="s" s="108">
        <v>204</v>
      </c>
      <c r="E490" t="s" s="108">
        <v>204</v>
      </c>
      <c r="F490" t="s" s="108">
        <v>241</v>
      </c>
      <c r="G490" t="s" s="96">
        <v>1541</v>
      </c>
      <c r="H490" s="97"/>
      <c r="I490" s="97"/>
      <c r="J490" s="97"/>
      <c r="K490" s="97"/>
      <c r="L490" s="97"/>
      <c r="M490" t="s" s="96">
        <v>243</v>
      </c>
      <c r="N490" t="s" s="96">
        <v>244</v>
      </c>
      <c r="O490" t="s" s="96">
        <v>245</v>
      </c>
      <c r="P490" t="s" s="96">
        <v>204</v>
      </c>
      <c r="Q490" t="s" s="98">
        <v>1481</v>
      </c>
    </row>
    <row r="491" ht="42" customHeight="1">
      <c r="A491" t="s" s="107">
        <v>1542</v>
      </c>
      <c r="B491" t="s" s="108">
        <v>238</v>
      </c>
      <c r="C491" t="s" s="108">
        <v>1479</v>
      </c>
      <c r="D491" t="s" s="108">
        <v>204</v>
      </c>
      <c r="E491" t="s" s="108">
        <v>204</v>
      </c>
      <c r="F491" t="s" s="108">
        <v>241</v>
      </c>
      <c r="G491" t="s" s="96">
        <v>1543</v>
      </c>
      <c r="H491" s="97"/>
      <c r="I491" s="97"/>
      <c r="J491" s="97"/>
      <c r="K491" s="97"/>
      <c r="L491" s="97"/>
      <c r="M491" t="s" s="96">
        <v>243</v>
      </c>
      <c r="N491" t="s" s="96">
        <v>244</v>
      </c>
      <c r="O491" t="s" s="96">
        <v>245</v>
      </c>
      <c r="P491" t="s" s="96">
        <v>204</v>
      </c>
      <c r="Q491" t="s" s="98">
        <v>1481</v>
      </c>
    </row>
    <row r="492" ht="42" customHeight="1">
      <c r="A492" t="s" s="107">
        <v>1544</v>
      </c>
      <c r="B492" t="s" s="108">
        <v>238</v>
      </c>
      <c r="C492" t="s" s="108">
        <v>1479</v>
      </c>
      <c r="D492" t="s" s="108">
        <v>204</v>
      </c>
      <c r="E492" t="s" s="108">
        <v>204</v>
      </c>
      <c r="F492" t="s" s="108">
        <v>241</v>
      </c>
      <c r="G492" t="s" s="96">
        <v>1545</v>
      </c>
      <c r="H492" s="97"/>
      <c r="I492" s="97"/>
      <c r="J492" s="97"/>
      <c r="K492" s="97"/>
      <c r="L492" s="97"/>
      <c r="M492" t="s" s="96">
        <v>243</v>
      </c>
      <c r="N492" t="s" s="96">
        <v>244</v>
      </c>
      <c r="O492" t="s" s="96">
        <v>245</v>
      </c>
      <c r="P492" t="s" s="96">
        <v>204</v>
      </c>
      <c r="Q492" t="s" s="98">
        <v>1481</v>
      </c>
    </row>
    <row r="493" ht="42" customHeight="1">
      <c r="A493" t="s" s="107">
        <v>1546</v>
      </c>
      <c r="B493" t="s" s="108">
        <v>238</v>
      </c>
      <c r="C493" t="s" s="108">
        <v>1479</v>
      </c>
      <c r="D493" t="s" s="108">
        <v>204</v>
      </c>
      <c r="E493" t="s" s="108">
        <v>204</v>
      </c>
      <c r="F493" t="s" s="108">
        <v>241</v>
      </c>
      <c r="G493" t="s" s="96">
        <v>1547</v>
      </c>
      <c r="H493" s="97"/>
      <c r="I493" s="97"/>
      <c r="J493" s="97"/>
      <c r="K493" s="97"/>
      <c r="L493" s="97"/>
      <c r="M493" t="s" s="96">
        <v>243</v>
      </c>
      <c r="N493" t="s" s="96">
        <v>244</v>
      </c>
      <c r="O493" t="s" s="96">
        <v>245</v>
      </c>
      <c r="P493" t="s" s="96">
        <v>204</v>
      </c>
      <c r="Q493" t="s" s="98">
        <v>1481</v>
      </c>
    </row>
    <row r="494" ht="42" customHeight="1">
      <c r="A494" t="s" s="107">
        <v>1548</v>
      </c>
      <c r="B494" t="s" s="108">
        <v>238</v>
      </c>
      <c r="C494" t="s" s="108">
        <v>1479</v>
      </c>
      <c r="D494" t="s" s="108">
        <v>204</v>
      </c>
      <c r="E494" t="s" s="108">
        <v>204</v>
      </c>
      <c r="F494" t="s" s="108">
        <v>241</v>
      </c>
      <c r="G494" t="s" s="96">
        <v>1549</v>
      </c>
      <c r="H494" s="97"/>
      <c r="I494" s="97"/>
      <c r="J494" s="97"/>
      <c r="K494" s="97"/>
      <c r="L494" s="97"/>
      <c r="M494" t="s" s="96">
        <v>243</v>
      </c>
      <c r="N494" t="s" s="96">
        <v>244</v>
      </c>
      <c r="O494" t="s" s="96">
        <v>245</v>
      </c>
      <c r="P494" t="s" s="96">
        <v>204</v>
      </c>
      <c r="Q494" t="s" s="98">
        <v>1481</v>
      </c>
    </row>
    <row r="495" ht="42" customHeight="1">
      <c r="A495" t="s" s="107">
        <v>1550</v>
      </c>
      <c r="B495" t="s" s="108">
        <v>238</v>
      </c>
      <c r="C495" t="s" s="108">
        <v>1479</v>
      </c>
      <c r="D495" t="s" s="108">
        <v>204</v>
      </c>
      <c r="E495" t="s" s="108">
        <v>204</v>
      </c>
      <c r="F495" t="s" s="108">
        <v>241</v>
      </c>
      <c r="G495" t="s" s="96">
        <v>1551</v>
      </c>
      <c r="H495" s="97"/>
      <c r="I495" s="97"/>
      <c r="J495" s="97"/>
      <c r="K495" s="97"/>
      <c r="L495" s="97"/>
      <c r="M495" t="s" s="96">
        <v>243</v>
      </c>
      <c r="N495" t="s" s="96">
        <v>244</v>
      </c>
      <c r="O495" t="s" s="96">
        <v>245</v>
      </c>
      <c r="P495" t="s" s="96">
        <v>204</v>
      </c>
      <c r="Q495" t="s" s="98">
        <v>1481</v>
      </c>
    </row>
    <row r="496" ht="42" customHeight="1">
      <c r="A496" t="s" s="107">
        <v>1552</v>
      </c>
      <c r="B496" t="s" s="108">
        <v>238</v>
      </c>
      <c r="C496" t="s" s="108">
        <v>1479</v>
      </c>
      <c r="D496" t="s" s="108">
        <v>204</v>
      </c>
      <c r="E496" t="s" s="108">
        <v>204</v>
      </c>
      <c r="F496" t="s" s="108">
        <v>241</v>
      </c>
      <c r="G496" t="s" s="96">
        <v>1553</v>
      </c>
      <c r="H496" s="97"/>
      <c r="I496" s="97"/>
      <c r="J496" s="97"/>
      <c r="K496" s="97"/>
      <c r="L496" s="97"/>
      <c r="M496" t="s" s="96">
        <v>243</v>
      </c>
      <c r="N496" t="s" s="96">
        <v>244</v>
      </c>
      <c r="O496" t="s" s="96">
        <v>245</v>
      </c>
      <c r="P496" t="s" s="96">
        <v>204</v>
      </c>
      <c r="Q496" t="s" s="98">
        <v>1481</v>
      </c>
    </row>
    <row r="497" ht="42" customHeight="1">
      <c r="A497" t="s" s="107">
        <v>1554</v>
      </c>
      <c r="B497" t="s" s="108">
        <v>238</v>
      </c>
      <c r="C497" t="s" s="108">
        <v>1479</v>
      </c>
      <c r="D497" t="s" s="108">
        <v>204</v>
      </c>
      <c r="E497" t="s" s="108">
        <v>204</v>
      </c>
      <c r="F497" t="s" s="108">
        <v>241</v>
      </c>
      <c r="G497" t="s" s="96">
        <v>1555</v>
      </c>
      <c r="H497" s="97"/>
      <c r="I497" s="97"/>
      <c r="J497" s="97"/>
      <c r="K497" s="97"/>
      <c r="L497" s="97"/>
      <c r="M497" t="s" s="96">
        <v>243</v>
      </c>
      <c r="N497" t="s" s="96">
        <v>244</v>
      </c>
      <c r="O497" t="s" s="96">
        <v>245</v>
      </c>
      <c r="P497" t="s" s="96">
        <v>204</v>
      </c>
      <c r="Q497" t="s" s="98">
        <v>1481</v>
      </c>
    </row>
    <row r="498" ht="42" customHeight="1">
      <c r="A498" t="s" s="107">
        <v>1556</v>
      </c>
      <c r="B498" t="s" s="108">
        <v>238</v>
      </c>
      <c r="C498" t="s" s="108">
        <v>1479</v>
      </c>
      <c r="D498" t="s" s="108">
        <v>204</v>
      </c>
      <c r="E498" t="s" s="108">
        <v>204</v>
      </c>
      <c r="F498" t="s" s="108">
        <v>241</v>
      </c>
      <c r="G498" t="s" s="96">
        <v>1557</v>
      </c>
      <c r="H498" s="97"/>
      <c r="I498" s="97"/>
      <c r="J498" s="97"/>
      <c r="K498" s="97"/>
      <c r="L498" s="97"/>
      <c r="M498" t="s" s="96">
        <v>243</v>
      </c>
      <c r="N498" t="s" s="96">
        <v>244</v>
      </c>
      <c r="O498" t="s" s="96">
        <v>245</v>
      </c>
      <c r="P498" t="s" s="96">
        <v>204</v>
      </c>
      <c r="Q498" t="s" s="98">
        <v>1481</v>
      </c>
    </row>
    <row r="499" ht="42" customHeight="1">
      <c r="A499" t="s" s="107">
        <v>1558</v>
      </c>
      <c r="B499" t="s" s="108">
        <v>238</v>
      </c>
      <c r="C499" t="s" s="108">
        <v>1479</v>
      </c>
      <c r="D499" t="s" s="108">
        <v>204</v>
      </c>
      <c r="E499" t="s" s="108">
        <v>204</v>
      </c>
      <c r="F499" t="s" s="108">
        <v>241</v>
      </c>
      <c r="G499" t="s" s="96">
        <v>1559</v>
      </c>
      <c r="H499" s="97"/>
      <c r="I499" s="97"/>
      <c r="J499" s="97"/>
      <c r="K499" s="97"/>
      <c r="L499" s="97"/>
      <c r="M499" t="s" s="96">
        <v>243</v>
      </c>
      <c r="N499" t="s" s="96">
        <v>244</v>
      </c>
      <c r="O499" t="s" s="96">
        <v>245</v>
      </c>
      <c r="P499" t="s" s="96">
        <v>204</v>
      </c>
      <c r="Q499" t="s" s="98">
        <v>1481</v>
      </c>
    </row>
    <row r="500" ht="42" customHeight="1">
      <c r="A500" t="s" s="107">
        <v>1560</v>
      </c>
      <c r="B500" t="s" s="108">
        <v>238</v>
      </c>
      <c r="C500" t="s" s="108">
        <v>1479</v>
      </c>
      <c r="D500" t="s" s="108">
        <v>209</v>
      </c>
      <c r="E500" t="s" s="108">
        <v>209</v>
      </c>
      <c r="F500" t="s" s="108">
        <v>241</v>
      </c>
      <c r="G500" t="s" s="96">
        <v>1561</v>
      </c>
      <c r="H500" s="97"/>
      <c r="I500" s="97"/>
      <c r="J500" s="97"/>
      <c r="K500" s="97"/>
      <c r="L500" s="97"/>
      <c r="M500" t="s" s="96">
        <v>243</v>
      </c>
      <c r="N500" t="s" s="96">
        <v>244</v>
      </c>
      <c r="O500" t="s" s="96">
        <v>245</v>
      </c>
      <c r="P500" t="s" s="96">
        <v>209</v>
      </c>
      <c r="Q500" t="s" s="98">
        <v>1481</v>
      </c>
    </row>
    <row r="501" ht="42" customHeight="1">
      <c r="A501" t="s" s="107">
        <v>1562</v>
      </c>
      <c r="B501" t="s" s="108">
        <v>238</v>
      </c>
      <c r="C501" t="s" s="108">
        <v>1479</v>
      </c>
      <c r="D501" t="s" s="108">
        <v>209</v>
      </c>
      <c r="E501" t="s" s="108">
        <v>209</v>
      </c>
      <c r="F501" t="s" s="108">
        <v>241</v>
      </c>
      <c r="G501" t="s" s="96">
        <v>1563</v>
      </c>
      <c r="H501" s="97"/>
      <c r="I501" s="97"/>
      <c r="J501" s="97"/>
      <c r="K501" s="97"/>
      <c r="L501" s="97"/>
      <c r="M501" t="s" s="96">
        <v>243</v>
      </c>
      <c r="N501" t="s" s="96">
        <v>244</v>
      </c>
      <c r="O501" t="s" s="96">
        <v>245</v>
      </c>
      <c r="P501" t="s" s="96">
        <v>209</v>
      </c>
      <c r="Q501" t="s" s="98">
        <v>1481</v>
      </c>
    </row>
    <row r="502" ht="42" customHeight="1">
      <c r="A502" t="s" s="107">
        <v>1564</v>
      </c>
      <c r="B502" t="s" s="108">
        <v>238</v>
      </c>
      <c r="C502" t="s" s="108">
        <v>1479</v>
      </c>
      <c r="D502" t="s" s="108">
        <v>209</v>
      </c>
      <c r="E502" t="s" s="108">
        <v>209</v>
      </c>
      <c r="F502" t="s" s="108">
        <v>241</v>
      </c>
      <c r="G502" t="s" s="96">
        <v>1565</v>
      </c>
      <c r="H502" s="97"/>
      <c r="I502" s="97"/>
      <c r="J502" s="97"/>
      <c r="K502" s="97"/>
      <c r="L502" s="97"/>
      <c r="M502" t="s" s="96">
        <v>243</v>
      </c>
      <c r="N502" t="s" s="96">
        <v>244</v>
      </c>
      <c r="O502" t="s" s="96">
        <v>245</v>
      </c>
      <c r="P502" t="s" s="96">
        <v>209</v>
      </c>
      <c r="Q502" t="s" s="98">
        <v>1481</v>
      </c>
    </row>
    <row r="503" ht="42" customHeight="1">
      <c r="A503" t="s" s="107">
        <v>1566</v>
      </c>
      <c r="B503" t="s" s="108">
        <v>238</v>
      </c>
      <c r="C503" t="s" s="108">
        <v>1479</v>
      </c>
      <c r="D503" t="s" s="108">
        <v>209</v>
      </c>
      <c r="E503" t="s" s="108">
        <v>209</v>
      </c>
      <c r="F503" t="s" s="108">
        <v>241</v>
      </c>
      <c r="G503" t="s" s="96">
        <v>1567</v>
      </c>
      <c r="H503" s="97"/>
      <c r="I503" s="97"/>
      <c r="J503" s="97"/>
      <c r="K503" s="97"/>
      <c r="L503" s="97"/>
      <c r="M503" t="s" s="96">
        <v>243</v>
      </c>
      <c r="N503" t="s" s="96">
        <v>244</v>
      </c>
      <c r="O503" t="s" s="96">
        <v>245</v>
      </c>
      <c r="P503" t="s" s="96">
        <v>209</v>
      </c>
      <c r="Q503" t="s" s="98">
        <v>1481</v>
      </c>
    </row>
    <row r="504" ht="42" customHeight="1">
      <c r="A504" t="s" s="107">
        <v>1568</v>
      </c>
      <c r="B504" t="s" s="108">
        <v>238</v>
      </c>
      <c r="C504" t="s" s="108">
        <v>1479</v>
      </c>
      <c r="D504" t="s" s="108">
        <v>209</v>
      </c>
      <c r="E504" t="s" s="108">
        <v>209</v>
      </c>
      <c r="F504" t="s" s="108">
        <v>241</v>
      </c>
      <c r="G504" t="s" s="96">
        <v>1569</v>
      </c>
      <c r="H504" s="97"/>
      <c r="I504" s="97"/>
      <c r="J504" s="97"/>
      <c r="K504" s="97"/>
      <c r="L504" s="97"/>
      <c r="M504" t="s" s="96">
        <v>243</v>
      </c>
      <c r="N504" t="s" s="96">
        <v>244</v>
      </c>
      <c r="O504" t="s" s="96">
        <v>245</v>
      </c>
      <c r="P504" t="s" s="96">
        <v>209</v>
      </c>
      <c r="Q504" t="s" s="98">
        <v>1481</v>
      </c>
    </row>
    <row r="505" ht="42" customHeight="1">
      <c r="A505" t="s" s="107">
        <v>1570</v>
      </c>
      <c r="B505" t="s" s="108">
        <v>238</v>
      </c>
      <c r="C505" t="s" s="108">
        <v>1479</v>
      </c>
      <c r="D505" t="s" s="108">
        <v>209</v>
      </c>
      <c r="E505" t="s" s="108">
        <v>209</v>
      </c>
      <c r="F505" t="s" s="108">
        <v>241</v>
      </c>
      <c r="G505" t="s" s="96">
        <v>1571</v>
      </c>
      <c r="H505" s="97"/>
      <c r="I505" s="97"/>
      <c r="J505" s="97"/>
      <c r="K505" s="97"/>
      <c r="L505" s="97"/>
      <c r="M505" t="s" s="96">
        <v>243</v>
      </c>
      <c r="N505" t="s" s="96">
        <v>244</v>
      </c>
      <c r="O505" t="s" s="96">
        <v>245</v>
      </c>
      <c r="P505" t="s" s="96">
        <v>209</v>
      </c>
      <c r="Q505" t="s" s="98">
        <v>1481</v>
      </c>
    </row>
    <row r="506" ht="42" customHeight="1">
      <c r="A506" t="s" s="107">
        <v>1572</v>
      </c>
      <c r="B506" t="s" s="108">
        <v>238</v>
      </c>
      <c r="C506" t="s" s="108">
        <v>1479</v>
      </c>
      <c r="D506" t="s" s="108">
        <v>209</v>
      </c>
      <c r="E506" t="s" s="108">
        <v>209</v>
      </c>
      <c r="F506" t="s" s="108">
        <v>241</v>
      </c>
      <c r="G506" t="s" s="96">
        <v>1573</v>
      </c>
      <c r="H506" s="97"/>
      <c r="I506" s="97"/>
      <c r="J506" s="97"/>
      <c r="K506" s="97"/>
      <c r="L506" s="97"/>
      <c r="M506" t="s" s="96">
        <v>243</v>
      </c>
      <c r="N506" t="s" s="96">
        <v>244</v>
      </c>
      <c r="O506" t="s" s="96">
        <v>245</v>
      </c>
      <c r="P506" t="s" s="96">
        <v>209</v>
      </c>
      <c r="Q506" t="s" s="98">
        <v>1481</v>
      </c>
    </row>
    <row r="507" ht="42" customHeight="1">
      <c r="A507" t="s" s="107">
        <v>1574</v>
      </c>
      <c r="B507" t="s" s="108">
        <v>238</v>
      </c>
      <c r="C507" t="s" s="108">
        <v>1479</v>
      </c>
      <c r="D507" t="s" s="108">
        <v>209</v>
      </c>
      <c r="E507" t="s" s="108">
        <v>209</v>
      </c>
      <c r="F507" t="s" s="108">
        <v>241</v>
      </c>
      <c r="G507" t="s" s="96">
        <v>1575</v>
      </c>
      <c r="H507" s="97"/>
      <c r="I507" s="97"/>
      <c r="J507" s="97"/>
      <c r="K507" s="97"/>
      <c r="L507" s="97"/>
      <c r="M507" t="s" s="96">
        <v>243</v>
      </c>
      <c r="N507" t="s" s="96">
        <v>244</v>
      </c>
      <c r="O507" t="s" s="96">
        <v>245</v>
      </c>
      <c r="P507" t="s" s="96">
        <v>209</v>
      </c>
      <c r="Q507" t="s" s="98">
        <v>1481</v>
      </c>
    </row>
    <row r="508" ht="42" customHeight="1">
      <c r="A508" t="s" s="107">
        <v>1576</v>
      </c>
      <c r="B508" t="s" s="108">
        <v>238</v>
      </c>
      <c r="C508" t="s" s="108">
        <v>1479</v>
      </c>
      <c r="D508" t="s" s="108">
        <v>209</v>
      </c>
      <c r="E508" t="s" s="108">
        <v>209</v>
      </c>
      <c r="F508" t="s" s="108">
        <v>241</v>
      </c>
      <c r="G508" t="s" s="96">
        <v>1577</v>
      </c>
      <c r="H508" s="97"/>
      <c r="I508" s="97"/>
      <c r="J508" s="97"/>
      <c r="K508" s="97"/>
      <c r="L508" s="97"/>
      <c r="M508" t="s" s="96">
        <v>243</v>
      </c>
      <c r="N508" t="s" s="96">
        <v>244</v>
      </c>
      <c r="O508" t="s" s="96">
        <v>245</v>
      </c>
      <c r="P508" t="s" s="96">
        <v>209</v>
      </c>
      <c r="Q508" t="s" s="98">
        <v>1481</v>
      </c>
    </row>
    <row r="509" ht="42" customHeight="1">
      <c r="A509" t="s" s="107">
        <v>1578</v>
      </c>
      <c r="B509" t="s" s="108">
        <v>238</v>
      </c>
      <c r="C509" t="s" s="108">
        <v>1479</v>
      </c>
      <c r="D509" t="s" s="108">
        <v>209</v>
      </c>
      <c r="E509" t="s" s="108">
        <v>209</v>
      </c>
      <c r="F509" t="s" s="108">
        <v>241</v>
      </c>
      <c r="G509" t="s" s="96">
        <v>1579</v>
      </c>
      <c r="H509" s="97"/>
      <c r="I509" s="97"/>
      <c r="J509" s="97"/>
      <c r="K509" s="97"/>
      <c r="L509" s="97"/>
      <c r="M509" t="s" s="96">
        <v>243</v>
      </c>
      <c r="N509" t="s" s="96">
        <v>244</v>
      </c>
      <c r="O509" t="s" s="96">
        <v>245</v>
      </c>
      <c r="P509" t="s" s="96">
        <v>209</v>
      </c>
      <c r="Q509" t="s" s="98">
        <v>1481</v>
      </c>
    </row>
    <row r="510" ht="42" customHeight="1">
      <c r="A510" t="s" s="107">
        <v>1580</v>
      </c>
      <c r="B510" t="s" s="108">
        <v>238</v>
      </c>
      <c r="C510" t="s" s="108">
        <v>1479</v>
      </c>
      <c r="D510" t="s" s="108">
        <v>209</v>
      </c>
      <c r="E510" t="s" s="108">
        <v>209</v>
      </c>
      <c r="F510" t="s" s="108">
        <v>241</v>
      </c>
      <c r="G510" t="s" s="96">
        <v>1581</v>
      </c>
      <c r="H510" s="97"/>
      <c r="I510" s="97"/>
      <c r="J510" s="97"/>
      <c r="K510" s="97"/>
      <c r="L510" s="97"/>
      <c r="M510" t="s" s="96">
        <v>243</v>
      </c>
      <c r="N510" t="s" s="96">
        <v>244</v>
      </c>
      <c r="O510" t="s" s="96">
        <v>245</v>
      </c>
      <c r="P510" t="s" s="96">
        <v>209</v>
      </c>
      <c r="Q510" t="s" s="98">
        <v>1481</v>
      </c>
    </row>
    <row r="511" ht="42" customHeight="1">
      <c r="A511" t="s" s="107">
        <v>1582</v>
      </c>
      <c r="B511" t="s" s="108">
        <v>238</v>
      </c>
      <c r="C511" t="s" s="108">
        <v>1479</v>
      </c>
      <c r="D511" t="s" s="108">
        <v>209</v>
      </c>
      <c r="E511" t="s" s="108">
        <v>209</v>
      </c>
      <c r="F511" t="s" s="108">
        <v>241</v>
      </c>
      <c r="G511" t="s" s="96">
        <v>1583</v>
      </c>
      <c r="H511" s="97"/>
      <c r="I511" s="97"/>
      <c r="J511" s="97"/>
      <c r="K511" s="97"/>
      <c r="L511" s="97"/>
      <c r="M511" t="s" s="96">
        <v>243</v>
      </c>
      <c r="N511" t="s" s="96">
        <v>244</v>
      </c>
      <c r="O511" t="s" s="96">
        <v>245</v>
      </c>
      <c r="P511" t="s" s="96">
        <v>209</v>
      </c>
      <c r="Q511" t="s" s="98">
        <v>1481</v>
      </c>
    </row>
    <row r="512" ht="42" customHeight="1">
      <c r="A512" t="s" s="107">
        <v>1584</v>
      </c>
      <c r="B512" t="s" s="108">
        <v>238</v>
      </c>
      <c r="C512" t="s" s="108">
        <v>1479</v>
      </c>
      <c r="D512" t="s" s="108">
        <v>209</v>
      </c>
      <c r="E512" t="s" s="108">
        <v>209</v>
      </c>
      <c r="F512" t="s" s="108">
        <v>241</v>
      </c>
      <c r="G512" t="s" s="96">
        <v>1585</v>
      </c>
      <c r="H512" s="97"/>
      <c r="I512" s="97"/>
      <c r="J512" s="97"/>
      <c r="K512" s="97"/>
      <c r="L512" s="97"/>
      <c r="M512" t="s" s="96">
        <v>243</v>
      </c>
      <c r="N512" t="s" s="96">
        <v>244</v>
      </c>
      <c r="O512" t="s" s="96">
        <v>245</v>
      </c>
      <c r="P512" t="s" s="96">
        <v>209</v>
      </c>
      <c r="Q512" t="s" s="98">
        <v>1481</v>
      </c>
    </row>
    <row r="513" ht="42" customHeight="1">
      <c r="A513" t="s" s="107">
        <v>1586</v>
      </c>
      <c r="B513" t="s" s="108">
        <v>238</v>
      </c>
      <c r="C513" t="s" s="108">
        <v>1479</v>
      </c>
      <c r="D513" t="s" s="108">
        <v>209</v>
      </c>
      <c r="E513" t="s" s="108">
        <v>209</v>
      </c>
      <c r="F513" t="s" s="108">
        <v>241</v>
      </c>
      <c r="G513" t="s" s="96">
        <v>1587</v>
      </c>
      <c r="H513" s="97"/>
      <c r="I513" s="97"/>
      <c r="J513" s="97"/>
      <c r="K513" s="97"/>
      <c r="L513" s="97"/>
      <c r="M513" t="s" s="96">
        <v>243</v>
      </c>
      <c r="N513" t="s" s="96">
        <v>244</v>
      </c>
      <c r="O513" t="s" s="96">
        <v>245</v>
      </c>
      <c r="P513" t="s" s="96">
        <v>209</v>
      </c>
      <c r="Q513" t="s" s="98">
        <v>1481</v>
      </c>
    </row>
    <row r="514" ht="42" customHeight="1">
      <c r="A514" t="s" s="107">
        <v>1588</v>
      </c>
      <c r="B514" t="s" s="108">
        <v>238</v>
      </c>
      <c r="C514" t="s" s="108">
        <v>1479</v>
      </c>
      <c r="D514" t="s" s="108">
        <v>209</v>
      </c>
      <c r="E514" t="s" s="108">
        <v>209</v>
      </c>
      <c r="F514" t="s" s="108">
        <v>241</v>
      </c>
      <c r="G514" t="s" s="96">
        <v>1589</v>
      </c>
      <c r="H514" s="97"/>
      <c r="I514" s="97"/>
      <c r="J514" s="97"/>
      <c r="K514" s="97"/>
      <c r="L514" s="97"/>
      <c r="M514" t="s" s="96">
        <v>243</v>
      </c>
      <c r="N514" t="s" s="96">
        <v>244</v>
      </c>
      <c r="O514" t="s" s="96">
        <v>245</v>
      </c>
      <c r="P514" t="s" s="96">
        <v>209</v>
      </c>
      <c r="Q514" t="s" s="98">
        <v>1481</v>
      </c>
    </row>
    <row r="515" ht="42" customHeight="1">
      <c r="A515" t="s" s="107">
        <v>1590</v>
      </c>
      <c r="B515" t="s" s="108">
        <v>238</v>
      </c>
      <c r="C515" t="s" s="108">
        <v>1479</v>
      </c>
      <c r="D515" t="s" s="108">
        <v>209</v>
      </c>
      <c r="E515" t="s" s="108">
        <v>209</v>
      </c>
      <c r="F515" t="s" s="108">
        <v>241</v>
      </c>
      <c r="G515" t="s" s="96">
        <v>1591</v>
      </c>
      <c r="H515" s="97"/>
      <c r="I515" s="97"/>
      <c r="J515" s="97"/>
      <c r="K515" s="97"/>
      <c r="L515" s="97"/>
      <c r="M515" t="s" s="96">
        <v>243</v>
      </c>
      <c r="N515" t="s" s="96">
        <v>244</v>
      </c>
      <c r="O515" t="s" s="96">
        <v>245</v>
      </c>
      <c r="P515" t="s" s="96">
        <v>209</v>
      </c>
      <c r="Q515" t="s" s="98">
        <v>1481</v>
      </c>
    </row>
    <row r="516" ht="42" customHeight="1">
      <c r="A516" t="s" s="107">
        <v>1592</v>
      </c>
      <c r="B516" t="s" s="108">
        <v>238</v>
      </c>
      <c r="C516" t="s" s="108">
        <v>1479</v>
      </c>
      <c r="D516" t="s" s="108">
        <v>209</v>
      </c>
      <c r="E516" t="s" s="108">
        <v>209</v>
      </c>
      <c r="F516" t="s" s="108">
        <v>241</v>
      </c>
      <c r="G516" t="s" s="96">
        <v>1593</v>
      </c>
      <c r="H516" s="97"/>
      <c r="I516" s="97"/>
      <c r="J516" s="97"/>
      <c r="K516" s="97"/>
      <c r="L516" s="97"/>
      <c r="M516" t="s" s="96">
        <v>243</v>
      </c>
      <c r="N516" t="s" s="96">
        <v>244</v>
      </c>
      <c r="O516" t="s" s="96">
        <v>245</v>
      </c>
      <c r="P516" t="s" s="96">
        <v>209</v>
      </c>
      <c r="Q516" t="s" s="98">
        <v>1481</v>
      </c>
    </row>
    <row r="517" ht="42" customHeight="1">
      <c r="A517" t="s" s="107">
        <v>1594</v>
      </c>
      <c r="B517" t="s" s="108">
        <v>238</v>
      </c>
      <c r="C517" t="s" s="108">
        <v>1479</v>
      </c>
      <c r="D517" t="s" s="108">
        <v>209</v>
      </c>
      <c r="E517" t="s" s="108">
        <v>209</v>
      </c>
      <c r="F517" t="s" s="108">
        <v>241</v>
      </c>
      <c r="G517" t="s" s="96">
        <v>1595</v>
      </c>
      <c r="H517" s="97"/>
      <c r="I517" s="97"/>
      <c r="J517" s="97"/>
      <c r="K517" s="97"/>
      <c r="L517" s="97"/>
      <c r="M517" t="s" s="96">
        <v>243</v>
      </c>
      <c r="N517" t="s" s="96">
        <v>244</v>
      </c>
      <c r="O517" t="s" s="96">
        <v>245</v>
      </c>
      <c r="P517" t="s" s="96">
        <v>209</v>
      </c>
      <c r="Q517" t="s" s="98">
        <v>1481</v>
      </c>
    </row>
    <row r="518" ht="42" customHeight="1">
      <c r="A518" t="s" s="107">
        <v>1596</v>
      </c>
      <c r="B518" t="s" s="108">
        <v>238</v>
      </c>
      <c r="C518" t="s" s="108">
        <v>1479</v>
      </c>
      <c r="D518" t="s" s="108">
        <v>209</v>
      </c>
      <c r="E518" t="s" s="108">
        <v>209</v>
      </c>
      <c r="F518" t="s" s="108">
        <v>241</v>
      </c>
      <c r="G518" t="s" s="96">
        <v>1597</v>
      </c>
      <c r="H518" s="97"/>
      <c r="I518" s="97"/>
      <c r="J518" s="97"/>
      <c r="K518" s="97"/>
      <c r="L518" s="97"/>
      <c r="M518" t="s" s="96">
        <v>243</v>
      </c>
      <c r="N518" t="s" s="96">
        <v>244</v>
      </c>
      <c r="O518" t="s" s="96">
        <v>245</v>
      </c>
      <c r="P518" t="s" s="96">
        <v>209</v>
      </c>
      <c r="Q518" t="s" s="98">
        <v>1481</v>
      </c>
    </row>
    <row r="519" ht="42" customHeight="1">
      <c r="A519" t="s" s="107">
        <v>1598</v>
      </c>
      <c r="B519" t="s" s="108">
        <v>238</v>
      </c>
      <c r="C519" t="s" s="108">
        <v>1479</v>
      </c>
      <c r="D519" t="s" s="108">
        <v>209</v>
      </c>
      <c r="E519" t="s" s="108">
        <v>209</v>
      </c>
      <c r="F519" t="s" s="108">
        <v>241</v>
      </c>
      <c r="G519" t="s" s="96">
        <v>1599</v>
      </c>
      <c r="H519" s="97"/>
      <c r="I519" s="97"/>
      <c r="J519" s="97"/>
      <c r="K519" s="97"/>
      <c r="L519" s="97"/>
      <c r="M519" t="s" s="96">
        <v>243</v>
      </c>
      <c r="N519" t="s" s="96">
        <v>244</v>
      </c>
      <c r="O519" t="s" s="96">
        <v>245</v>
      </c>
      <c r="P519" t="s" s="96">
        <v>209</v>
      </c>
      <c r="Q519" t="s" s="98">
        <v>1481</v>
      </c>
    </row>
    <row r="520" ht="42" customHeight="1">
      <c r="A520" t="s" s="109">
        <v>1600</v>
      </c>
      <c r="B520" t="s" s="110">
        <v>238</v>
      </c>
      <c r="C520" t="s" s="110">
        <v>1601</v>
      </c>
      <c r="D520" t="s" s="110">
        <v>214</v>
      </c>
      <c r="E520" t="s" s="110">
        <v>214</v>
      </c>
      <c r="F520" t="s" s="110">
        <v>241</v>
      </c>
      <c r="G520" t="s" s="96">
        <v>1602</v>
      </c>
      <c r="H520" s="97"/>
      <c r="I520" s="97"/>
      <c r="J520" s="97"/>
      <c r="K520" s="97"/>
      <c r="L520" s="97"/>
      <c r="M520" t="s" s="96">
        <v>243</v>
      </c>
      <c r="N520" t="s" s="96">
        <v>244</v>
      </c>
      <c r="O520" t="s" s="96">
        <v>245</v>
      </c>
      <c r="P520" t="s" s="96">
        <v>214</v>
      </c>
      <c r="Q520" t="s" s="98">
        <v>1603</v>
      </c>
    </row>
    <row r="521" ht="42" customHeight="1">
      <c r="A521" t="s" s="109">
        <v>1604</v>
      </c>
      <c r="B521" t="s" s="110">
        <v>238</v>
      </c>
      <c r="C521" t="s" s="110">
        <v>1601</v>
      </c>
      <c r="D521" t="s" s="110">
        <v>214</v>
      </c>
      <c r="E521" t="s" s="110">
        <v>214</v>
      </c>
      <c r="F521" t="s" s="110">
        <v>241</v>
      </c>
      <c r="G521" t="s" s="96">
        <v>1605</v>
      </c>
      <c r="H521" s="97"/>
      <c r="I521" s="97"/>
      <c r="J521" s="97"/>
      <c r="K521" s="97"/>
      <c r="L521" s="97"/>
      <c r="M521" t="s" s="96">
        <v>243</v>
      </c>
      <c r="N521" t="s" s="96">
        <v>244</v>
      </c>
      <c r="O521" t="s" s="96">
        <v>245</v>
      </c>
      <c r="P521" t="s" s="96">
        <v>214</v>
      </c>
      <c r="Q521" t="s" s="98">
        <v>1603</v>
      </c>
    </row>
    <row r="522" ht="42" customHeight="1">
      <c r="A522" t="s" s="109">
        <v>1606</v>
      </c>
      <c r="B522" t="s" s="110">
        <v>238</v>
      </c>
      <c r="C522" t="s" s="110">
        <v>1601</v>
      </c>
      <c r="D522" t="s" s="110">
        <v>214</v>
      </c>
      <c r="E522" t="s" s="110">
        <v>214</v>
      </c>
      <c r="F522" t="s" s="110">
        <v>241</v>
      </c>
      <c r="G522" t="s" s="96">
        <v>1607</v>
      </c>
      <c r="H522" s="97"/>
      <c r="I522" s="97"/>
      <c r="J522" s="97"/>
      <c r="K522" s="97"/>
      <c r="L522" s="97"/>
      <c r="M522" t="s" s="96">
        <v>243</v>
      </c>
      <c r="N522" t="s" s="96">
        <v>478</v>
      </c>
      <c r="O522" t="s" s="96">
        <v>245</v>
      </c>
      <c r="P522" t="s" s="96">
        <v>214</v>
      </c>
      <c r="Q522" t="s" s="98">
        <v>1603</v>
      </c>
    </row>
    <row r="523" ht="42" customHeight="1">
      <c r="A523" t="s" s="109">
        <v>1608</v>
      </c>
      <c r="B523" t="s" s="110">
        <v>238</v>
      </c>
      <c r="C523" t="s" s="110">
        <v>1601</v>
      </c>
      <c r="D523" t="s" s="110">
        <v>214</v>
      </c>
      <c r="E523" t="s" s="110">
        <v>214</v>
      </c>
      <c r="F523" t="s" s="110">
        <v>241</v>
      </c>
      <c r="G523" t="s" s="96">
        <v>1609</v>
      </c>
      <c r="H523" s="97"/>
      <c r="I523" s="97"/>
      <c r="J523" s="97"/>
      <c r="K523" s="97"/>
      <c r="L523" s="97"/>
      <c r="M523" t="s" s="96">
        <v>243</v>
      </c>
      <c r="N523" t="s" s="96">
        <v>478</v>
      </c>
      <c r="O523" t="s" s="96">
        <v>245</v>
      </c>
      <c r="P523" t="s" s="96">
        <v>214</v>
      </c>
      <c r="Q523" t="s" s="98">
        <v>1603</v>
      </c>
    </row>
    <row r="524" ht="42" customHeight="1">
      <c r="A524" t="s" s="109">
        <v>1610</v>
      </c>
      <c r="B524" t="s" s="110">
        <v>238</v>
      </c>
      <c r="C524" t="s" s="110">
        <v>1601</v>
      </c>
      <c r="D524" t="s" s="110">
        <v>214</v>
      </c>
      <c r="E524" t="s" s="110">
        <v>214</v>
      </c>
      <c r="F524" t="s" s="110">
        <v>241</v>
      </c>
      <c r="G524" t="s" s="96">
        <v>1611</v>
      </c>
      <c r="H524" s="97"/>
      <c r="I524" s="97"/>
      <c r="J524" s="97"/>
      <c r="K524" s="97"/>
      <c r="L524" s="97"/>
      <c r="M524" t="s" s="96">
        <v>243</v>
      </c>
      <c r="N524" t="s" s="96">
        <v>244</v>
      </c>
      <c r="O524" t="s" s="96">
        <v>245</v>
      </c>
      <c r="P524" t="s" s="96">
        <v>214</v>
      </c>
      <c r="Q524" t="s" s="98">
        <v>1603</v>
      </c>
    </row>
    <row r="525" ht="42" customHeight="1">
      <c r="A525" t="s" s="109">
        <v>1612</v>
      </c>
      <c r="B525" t="s" s="110">
        <v>238</v>
      </c>
      <c r="C525" t="s" s="110">
        <v>1601</v>
      </c>
      <c r="D525" t="s" s="110">
        <v>214</v>
      </c>
      <c r="E525" t="s" s="110">
        <v>214</v>
      </c>
      <c r="F525" t="s" s="110">
        <v>241</v>
      </c>
      <c r="G525" t="s" s="96">
        <v>1613</v>
      </c>
      <c r="H525" s="97"/>
      <c r="I525" s="97"/>
      <c r="J525" s="97"/>
      <c r="K525" s="97"/>
      <c r="L525" s="97"/>
      <c r="M525" t="s" s="96">
        <v>243</v>
      </c>
      <c r="N525" t="s" s="96">
        <v>478</v>
      </c>
      <c r="O525" t="s" s="96">
        <v>245</v>
      </c>
      <c r="P525" t="s" s="96">
        <v>214</v>
      </c>
      <c r="Q525" t="s" s="98">
        <v>1603</v>
      </c>
    </row>
    <row r="526" ht="42" customHeight="1">
      <c r="A526" t="s" s="109">
        <v>1614</v>
      </c>
      <c r="B526" t="s" s="110">
        <v>238</v>
      </c>
      <c r="C526" t="s" s="110">
        <v>1601</v>
      </c>
      <c r="D526" t="s" s="110">
        <v>214</v>
      </c>
      <c r="E526" t="s" s="110">
        <v>214</v>
      </c>
      <c r="F526" t="s" s="110">
        <v>241</v>
      </c>
      <c r="G526" t="s" s="96">
        <v>1615</v>
      </c>
      <c r="H526" s="97"/>
      <c r="I526" s="97"/>
      <c r="J526" s="97"/>
      <c r="K526" s="97"/>
      <c r="L526" s="97"/>
      <c r="M526" t="s" s="96">
        <v>243</v>
      </c>
      <c r="N526" t="s" s="96">
        <v>244</v>
      </c>
      <c r="O526" t="s" s="96">
        <v>245</v>
      </c>
      <c r="P526" t="s" s="96">
        <v>214</v>
      </c>
      <c r="Q526" t="s" s="98">
        <v>1603</v>
      </c>
    </row>
    <row r="527" ht="42" customHeight="1">
      <c r="A527" t="s" s="109">
        <v>1616</v>
      </c>
      <c r="B527" t="s" s="110">
        <v>238</v>
      </c>
      <c r="C527" t="s" s="110">
        <v>1601</v>
      </c>
      <c r="D527" t="s" s="110">
        <v>214</v>
      </c>
      <c r="E527" t="s" s="110">
        <v>214</v>
      </c>
      <c r="F527" t="s" s="110">
        <v>241</v>
      </c>
      <c r="G527" t="s" s="96">
        <v>1617</v>
      </c>
      <c r="H527" s="97"/>
      <c r="I527" s="97"/>
      <c r="J527" s="97"/>
      <c r="K527" s="97"/>
      <c r="L527" s="97"/>
      <c r="M527" t="s" s="96">
        <v>243</v>
      </c>
      <c r="N527" t="s" s="96">
        <v>478</v>
      </c>
      <c r="O527" t="s" s="96">
        <v>245</v>
      </c>
      <c r="P527" t="s" s="96">
        <v>214</v>
      </c>
      <c r="Q527" t="s" s="98">
        <v>1603</v>
      </c>
    </row>
    <row r="528" ht="42" customHeight="1">
      <c r="A528" t="s" s="109">
        <v>1618</v>
      </c>
      <c r="B528" t="s" s="110">
        <v>238</v>
      </c>
      <c r="C528" t="s" s="110">
        <v>1601</v>
      </c>
      <c r="D528" t="s" s="110">
        <v>214</v>
      </c>
      <c r="E528" t="s" s="110">
        <v>214</v>
      </c>
      <c r="F528" t="s" s="110">
        <v>241</v>
      </c>
      <c r="G528" t="s" s="96">
        <v>1619</v>
      </c>
      <c r="H528" s="97"/>
      <c r="I528" s="97"/>
      <c r="J528" s="97"/>
      <c r="K528" s="97"/>
      <c r="L528" s="97"/>
      <c r="M528" t="s" s="96">
        <v>243</v>
      </c>
      <c r="N528" t="s" s="96">
        <v>244</v>
      </c>
      <c r="O528" t="s" s="96">
        <v>245</v>
      </c>
      <c r="P528" t="s" s="96">
        <v>214</v>
      </c>
      <c r="Q528" t="s" s="98">
        <v>1603</v>
      </c>
    </row>
    <row r="529" ht="42" customHeight="1">
      <c r="A529" t="s" s="109">
        <v>1620</v>
      </c>
      <c r="B529" t="s" s="110">
        <v>238</v>
      </c>
      <c r="C529" t="s" s="110">
        <v>1601</v>
      </c>
      <c r="D529" t="s" s="110">
        <v>214</v>
      </c>
      <c r="E529" t="s" s="110">
        <v>214</v>
      </c>
      <c r="F529" t="s" s="110">
        <v>241</v>
      </c>
      <c r="G529" t="s" s="96">
        <v>1621</v>
      </c>
      <c r="H529" s="97"/>
      <c r="I529" s="97"/>
      <c r="J529" s="97"/>
      <c r="K529" s="97"/>
      <c r="L529" s="97"/>
      <c r="M529" t="s" s="96">
        <v>243</v>
      </c>
      <c r="N529" t="s" s="96">
        <v>244</v>
      </c>
      <c r="O529" t="s" s="96">
        <v>245</v>
      </c>
      <c r="P529" t="s" s="96">
        <v>214</v>
      </c>
      <c r="Q529" t="s" s="98">
        <v>1603</v>
      </c>
    </row>
  </sheetData>
  <mergeCells count="2">
    <mergeCell ref="A2:H2"/>
    <mergeCell ref="A1:H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P537"/>
  <sheetViews>
    <sheetView workbookViewId="0" showGridLines="0" defaultGridColor="1"/>
  </sheetViews>
  <sheetFormatPr defaultColWidth="8.83333" defaultRowHeight="15" customHeight="1" outlineLevelRow="0" outlineLevelCol="0"/>
  <cols>
    <col min="1" max="1" width="11" style="111" customWidth="1"/>
    <col min="2" max="2" width="12" style="111" customWidth="1"/>
    <col min="3" max="3" width="24" style="111" customWidth="1"/>
    <col min="4" max="4" width="22" style="111" customWidth="1"/>
    <col min="5" max="5" width="18" style="111" customWidth="1"/>
    <col min="6" max="6" width="14" style="111" customWidth="1"/>
    <col min="7" max="7" width="58" style="111" customWidth="1"/>
    <col min="8" max="11" width="18" style="111" customWidth="1"/>
    <col min="12" max="12" width="12" style="111" customWidth="1"/>
    <col min="13" max="13" width="18" style="111" customWidth="1"/>
    <col min="14" max="16" width="10" style="111" customWidth="1"/>
    <col min="17" max="16384" width="8.85156" style="111" customWidth="1"/>
  </cols>
  <sheetData>
    <row r="1" ht="17.45" customHeight="1">
      <c r="A1" t="s" s="84">
        <v>1623</v>
      </c>
      <c r="B1" s="8"/>
      <c r="C1" s="8"/>
      <c r="D1" s="8"/>
      <c r="E1" s="8"/>
      <c r="F1" s="8"/>
      <c r="G1" s="8"/>
      <c r="H1" s="8"/>
      <c r="I1" s="85"/>
      <c r="J1" s="85"/>
      <c r="K1" s="85"/>
      <c r="L1" s="85"/>
      <c r="M1" s="85"/>
      <c r="N1" s="85"/>
      <c r="O1" s="85"/>
      <c r="P1" s="86"/>
    </row>
    <row r="2" ht="17.45" customHeight="1">
      <c r="A2" t="s" s="87">
        <v>1624</v>
      </c>
      <c r="B2" s="11"/>
      <c r="C2" s="11"/>
      <c r="D2" s="11"/>
      <c r="E2" s="11"/>
      <c r="F2" s="11"/>
      <c r="G2" s="11"/>
      <c r="H2" s="11"/>
      <c r="I2" s="14"/>
      <c r="J2" s="14"/>
      <c r="K2" s="14"/>
      <c r="L2" s="14"/>
      <c r="M2" s="14"/>
      <c r="N2" s="14"/>
      <c r="O2" s="14"/>
      <c r="P2" s="15"/>
    </row>
    <row r="3" ht="17.45" customHeight="1">
      <c r="A3" s="112"/>
      <c r="B3" s="113"/>
      <c r="C3" s="14"/>
      <c r="D3" s="14"/>
      <c r="E3" s="14"/>
      <c r="F3" s="14"/>
      <c r="G3" s="14"/>
      <c r="H3" s="14"/>
      <c r="I3" s="14"/>
      <c r="J3" s="14"/>
      <c r="K3" s="14"/>
      <c r="L3" s="14"/>
      <c r="M3" s="14"/>
      <c r="N3" s="14"/>
      <c r="O3" s="14"/>
      <c r="P3" s="15"/>
    </row>
    <row r="4" ht="32.45" customHeight="1">
      <c r="A4" t="s" s="114">
        <v>1625</v>
      </c>
      <c r="B4" s="115"/>
      <c r="C4" s="116"/>
      <c r="D4" s="14"/>
      <c r="E4" s="14"/>
      <c r="F4" s="14"/>
      <c r="G4" s="14"/>
      <c r="H4" s="14"/>
      <c r="I4" s="14"/>
      <c r="J4" s="14"/>
      <c r="K4" s="14"/>
      <c r="L4" s="14"/>
      <c r="M4" s="14"/>
      <c r="N4" s="14"/>
      <c r="O4" s="14"/>
      <c r="P4" s="15"/>
    </row>
    <row r="5" ht="17.45" customHeight="1">
      <c r="A5" t="s" s="117">
        <v>1626</v>
      </c>
      <c r="B5" s="118"/>
      <c r="C5" s="116"/>
      <c r="D5" s="14"/>
      <c r="E5" s="14"/>
      <c r="F5" s="14"/>
      <c r="G5" s="14"/>
      <c r="H5" s="14"/>
      <c r="I5" s="14"/>
      <c r="J5" s="14"/>
      <c r="K5" s="14"/>
      <c r="L5" s="14"/>
      <c r="M5" s="14"/>
      <c r="N5" s="14"/>
      <c r="O5" s="14"/>
      <c r="P5" s="15"/>
    </row>
    <row r="6" ht="17.45" customHeight="1">
      <c r="A6" t="s" s="117">
        <v>881</v>
      </c>
      <c r="B6" s="118"/>
      <c r="C6" s="116"/>
      <c r="D6" s="14"/>
      <c r="E6" s="14"/>
      <c r="F6" s="14"/>
      <c r="G6" s="14"/>
      <c r="H6" s="14"/>
      <c r="I6" s="14"/>
      <c r="J6" s="14"/>
      <c r="K6" s="14"/>
      <c r="L6" s="14"/>
      <c r="M6" s="14"/>
      <c r="N6" s="14"/>
      <c r="O6" s="14"/>
      <c r="P6" s="15"/>
    </row>
    <row r="7" ht="32.45" customHeight="1">
      <c r="A7" t="s" s="117">
        <v>1627</v>
      </c>
      <c r="B7" s="118"/>
      <c r="C7" s="116"/>
      <c r="D7" s="14"/>
      <c r="E7" s="14"/>
      <c r="F7" s="14"/>
      <c r="G7" s="14"/>
      <c r="H7" s="14"/>
      <c r="I7" s="14"/>
      <c r="J7" s="14"/>
      <c r="K7" s="14"/>
      <c r="L7" s="14"/>
      <c r="M7" s="14"/>
      <c r="N7" s="14"/>
      <c r="O7" s="14"/>
      <c r="P7" s="15"/>
    </row>
    <row r="8" ht="17.45" customHeight="1">
      <c r="A8" t="s" s="119">
        <v>1628</v>
      </c>
      <c r="B8" s="120"/>
      <c r="C8" s="116"/>
      <c r="D8" s="14"/>
      <c r="E8" s="14"/>
      <c r="F8" s="14"/>
      <c r="G8" s="14"/>
      <c r="H8" s="14"/>
      <c r="I8" s="14"/>
      <c r="J8" s="14"/>
      <c r="K8" s="14"/>
      <c r="L8" s="14"/>
      <c r="M8" s="14"/>
      <c r="N8" s="14"/>
      <c r="O8" s="14"/>
      <c r="P8" s="15"/>
    </row>
    <row r="9" ht="17.45" customHeight="1">
      <c r="A9" s="121"/>
      <c r="B9" s="122"/>
      <c r="C9" s="14"/>
      <c r="D9" s="14"/>
      <c r="E9" s="14"/>
      <c r="F9" s="14"/>
      <c r="G9" s="14"/>
      <c r="H9" s="14"/>
      <c r="I9" s="14"/>
      <c r="J9" s="14"/>
      <c r="K9" s="14"/>
      <c r="L9" s="14"/>
      <c r="M9" s="14"/>
      <c r="N9" s="14"/>
      <c r="O9" s="14"/>
      <c r="P9" s="15"/>
    </row>
    <row r="10" ht="17.45" customHeight="1">
      <c r="A10" s="13"/>
      <c r="B10" s="14"/>
      <c r="C10" s="14"/>
      <c r="D10" s="14"/>
      <c r="E10" s="14"/>
      <c r="F10" s="14"/>
      <c r="G10" s="14"/>
      <c r="H10" s="14"/>
      <c r="I10" s="14"/>
      <c r="J10" s="14"/>
      <c r="K10" s="14"/>
      <c r="L10" s="14"/>
      <c r="M10" s="14"/>
      <c r="N10" s="14"/>
      <c r="O10" s="14"/>
      <c r="P10" s="15"/>
    </row>
    <row r="11" ht="17.95" customHeight="1">
      <c r="A11" t="s" s="123">
        <v>222</v>
      </c>
      <c r="B11" t="s" s="124">
        <v>223</v>
      </c>
      <c r="C11" t="s" s="124">
        <v>68</v>
      </c>
      <c r="D11" t="s" s="124">
        <v>69</v>
      </c>
      <c r="E11" t="s" s="124">
        <v>224</v>
      </c>
      <c r="F11" t="s" s="124">
        <v>225</v>
      </c>
      <c r="G11" t="s" s="124">
        <v>226</v>
      </c>
      <c r="H11" t="s" s="124">
        <v>227</v>
      </c>
      <c r="I11" t="s" s="124">
        <v>228</v>
      </c>
      <c r="J11" t="s" s="124">
        <v>229</v>
      </c>
      <c r="K11" t="s" s="124">
        <v>230</v>
      </c>
      <c r="L11" t="s" s="124">
        <v>231</v>
      </c>
      <c r="M11" t="s" s="124">
        <v>1629</v>
      </c>
      <c r="N11" t="s" s="124">
        <v>1630</v>
      </c>
      <c r="O11" t="s" s="124">
        <v>1631</v>
      </c>
      <c r="P11" t="s" s="125">
        <v>1632</v>
      </c>
    </row>
    <row r="12" ht="42" customHeight="1">
      <c r="A12" t="str" s="126" cm="1">
        <f t="array" ref="A12">'Question_Bank'!A4</f>
        <v>QID</v>
      </c>
      <c r="B12" t="str" s="127" cm="1">
        <f t="array" ref="B12">'Question_Bank'!B4</f>
        <v>Grade Band</v>
      </c>
      <c r="C12" t="str" s="127" cm="1">
        <f t="array" ref="C12">'Question_Bank'!C4</f>
        <v>Domain</v>
      </c>
      <c r="D12" t="str" s="127" cm="1">
        <f t="array" ref="D12">'Question_Bank'!D4</f>
        <v>Subdomain</v>
      </c>
      <c r="E12" t="str" s="127" cm="1">
        <f t="array" ref="E12">'Question_Bank'!E4</f>
        <v>Trait/Code</v>
      </c>
      <c r="F12" t="str" s="127" cm="1">
        <f t="array" ref="F12">'Question_Bank'!F4</f>
        <v>Question Type</v>
      </c>
      <c r="G12" t="str" s="127" cm="1">
        <f t="array" ref="G12">'Question_Bank'!G4</f>
        <v>Question</v>
      </c>
      <c r="H12" t="str" s="127" cm="1">
        <f t="array" ref="H12">'Question_Bank'!H4</f>
        <v>Option A</v>
      </c>
      <c r="I12" t="str" s="127" cm="1">
        <f t="array" ref="I12">'Question_Bank'!I4</f>
        <v>Option B</v>
      </c>
      <c r="J12" t="str" s="127" cm="1">
        <f t="array" ref="J12">'Question_Bank'!J4</f>
        <v>Option C</v>
      </c>
      <c r="K12" t="str" s="127" cm="1">
        <f t="array" ref="K12">'Question_Bank'!K4</f>
        <v>Option D</v>
      </c>
      <c r="L12" t="str" s="127" cm="1">
        <f t="array" ref="L12">'Question_Bank'!L4</f>
        <v>Correct/Key</v>
      </c>
      <c r="M12" s="128"/>
      <c r="N12" t="str" s="127" cm="1">
        <f t="array" ref="N12">IF(M12="","",IF(F12="MCQ",IF(UPPER(M12)=UPPER(L12),1,0),IF(O12="Yes",6-VALUE(M12),VALUE(M12))))</f>
      </c>
      <c r="O12" t="str" s="127" cm="1">
        <f t="array" ref="O12">'Question_Bank'!N4</f>
        <v>Reverse Scored</v>
      </c>
      <c r="P12" s="129" cm="1">
        <f t="array" ref="P12">IF(F12="MCQ",1,5)</f>
        <v>5</v>
      </c>
    </row>
    <row r="13" ht="42" customHeight="1">
      <c r="A13" t="str" s="130" cm="1">
        <f t="array" ref="A13">'Question_Bank'!A5</f>
        <v>NPI0001</v>
      </c>
      <c r="B13" t="str" s="97" cm="1">
        <f t="array" ref="B13">'Question_Bank'!B5</f>
        <v>8-12</v>
      </c>
      <c r="C13" t="str" s="97" cm="1">
        <f t="array" ref="C13">'Question_Bank'!C5</f>
        <v>RIASEC Interest</v>
      </c>
      <c r="D13" t="str" s="97" cm="1">
        <f t="array" ref="D13">'Question_Bank'!D5</f>
        <v>Realistic</v>
      </c>
      <c r="E13" t="str" s="97" cm="1">
        <f t="array" ref="E13">'Question_Bank'!E5</f>
        <v>R</v>
      </c>
      <c r="F13" t="str" s="97" cm="1">
        <f t="array" ref="F13">'Question_Bank'!F5</f>
        <v>Likert</v>
      </c>
      <c r="G13" t="str" s="97" cm="1">
        <f t="array" ref="G13">'Question_Bank'!G5</f>
        <v>I enjoy activities involving building or fixing things.</v>
      </c>
      <c r="H13" s="131" cm="1">
        <f t="array" ref="H13">'Question_Bank'!H5</f>
        <v>0</v>
      </c>
      <c r="I13" s="131" cm="1">
        <f t="array" ref="I13">'Question_Bank'!I5</f>
        <v>0</v>
      </c>
      <c r="J13" s="131" cm="1">
        <f t="array" ref="J13">'Question_Bank'!J5</f>
        <v>0</v>
      </c>
      <c r="K13" s="131" cm="1">
        <f t="array" ref="K13">'Question_Bank'!K5</f>
        <v>0</v>
      </c>
      <c r="L13" s="131" cm="1">
        <f t="array" ref="L13">'Question_Bank'!L5</f>
        <v>0</v>
      </c>
      <c r="M13" s="132"/>
      <c r="N13" t="str" s="97" cm="1">
        <f t="array" ref="N13">IF(M13="","",IF(F13="MCQ",IF(UPPER(M13)=UPPER(L13),1,0),IF(O13="Yes",6-VALUE(M13),VALUE(M13))))</f>
      </c>
      <c r="O13" t="str" s="97" cm="1">
        <f t="array" ref="O13">'Question_Bank'!N5</f>
        <v>No</v>
      </c>
      <c r="P13" s="133" cm="1">
        <f t="array" ref="P13">IF(F13="MCQ",1,5)</f>
        <v>5</v>
      </c>
    </row>
    <row r="14" ht="42" customHeight="1">
      <c r="A14" t="str" s="130" cm="1">
        <f t="array" ref="A14">'Question_Bank'!A6</f>
        <v>NPI0002</v>
      </c>
      <c r="B14" t="str" s="97" cm="1">
        <f t="array" ref="B14">'Question_Bank'!B6</f>
        <v>8-12</v>
      </c>
      <c r="C14" t="str" s="97" cm="1">
        <f t="array" ref="C14">'Question_Bank'!C6</f>
        <v>RIASEC Interest</v>
      </c>
      <c r="D14" t="str" s="97" cm="1">
        <f t="array" ref="D14">'Question_Bank'!D6</f>
        <v>Realistic</v>
      </c>
      <c r="E14" t="str" s="97" cm="1">
        <f t="array" ref="E14">'Question_Bank'!E6</f>
        <v>R</v>
      </c>
      <c r="F14" t="str" s="97" cm="1">
        <f t="array" ref="F14">'Question_Bank'!F6</f>
        <v>Likert</v>
      </c>
      <c r="G14" t="str" s="97" cm="1">
        <f t="array" ref="G14">'Question_Bank'!G6</f>
        <v>I enjoy activities involving using tools or equipment.</v>
      </c>
      <c r="H14" s="131" cm="1">
        <f t="array" ref="H14">'Question_Bank'!H6</f>
        <v>0</v>
      </c>
      <c r="I14" s="131" cm="1">
        <f t="array" ref="I14">'Question_Bank'!I6</f>
        <v>0</v>
      </c>
      <c r="J14" s="131" cm="1">
        <f t="array" ref="J14">'Question_Bank'!J6</f>
        <v>0</v>
      </c>
      <c r="K14" s="131" cm="1">
        <f t="array" ref="K14">'Question_Bank'!K6</f>
        <v>0</v>
      </c>
      <c r="L14" s="131" cm="1">
        <f t="array" ref="L14">'Question_Bank'!L6</f>
        <v>0</v>
      </c>
      <c r="M14" s="132"/>
      <c r="N14" t="str" s="97" cm="1">
        <f t="array" ref="N14">IF(M14="","",IF(F14="MCQ",IF(UPPER(M14)=UPPER(L14),1,0),IF(O14="Yes",6-VALUE(M14),VALUE(M14))))</f>
      </c>
      <c r="O14" t="str" s="97" cm="1">
        <f t="array" ref="O14">'Question_Bank'!N6</f>
        <v>No</v>
      </c>
      <c r="P14" s="133" cm="1">
        <f t="array" ref="P14">IF(F14="MCQ",1,5)</f>
        <v>5</v>
      </c>
    </row>
    <row r="15" ht="42" customHeight="1">
      <c r="A15" t="str" s="130" cm="1">
        <f t="array" ref="A15">'Question_Bank'!A7</f>
        <v>NPI0003</v>
      </c>
      <c r="B15" t="str" s="97" cm="1">
        <f t="array" ref="B15">'Question_Bank'!B7</f>
        <v>8-12</v>
      </c>
      <c r="C15" t="str" s="97" cm="1">
        <f t="array" ref="C15">'Question_Bank'!C7</f>
        <v>RIASEC Interest</v>
      </c>
      <c r="D15" t="str" s="97" cm="1">
        <f t="array" ref="D15">'Question_Bank'!D7</f>
        <v>Realistic</v>
      </c>
      <c r="E15" t="str" s="97" cm="1">
        <f t="array" ref="E15">'Question_Bank'!E7</f>
        <v>R</v>
      </c>
      <c r="F15" t="str" s="97" cm="1">
        <f t="array" ref="F15">'Question_Bank'!F7</f>
        <v>Likert</v>
      </c>
      <c r="G15" t="str" s="97" cm="1">
        <f t="array" ref="G15">'Question_Bank'!G7</f>
        <v>I enjoy activities involving robotics or electronics.</v>
      </c>
      <c r="H15" s="131" cm="1">
        <f t="array" ref="H15">'Question_Bank'!H7</f>
        <v>0</v>
      </c>
      <c r="I15" s="131" cm="1">
        <f t="array" ref="I15">'Question_Bank'!I7</f>
        <v>0</v>
      </c>
      <c r="J15" s="131" cm="1">
        <f t="array" ref="J15">'Question_Bank'!J7</f>
        <v>0</v>
      </c>
      <c r="K15" s="131" cm="1">
        <f t="array" ref="K15">'Question_Bank'!K7</f>
        <v>0</v>
      </c>
      <c r="L15" s="131" cm="1">
        <f t="array" ref="L15">'Question_Bank'!L7</f>
        <v>0</v>
      </c>
      <c r="M15" s="132"/>
      <c r="N15" t="str" s="97" cm="1">
        <f t="array" ref="N15">IF(M15="","",IF(F15="MCQ",IF(UPPER(M15)=UPPER(L15),1,0),IF(O15="Yes",6-VALUE(M15),VALUE(M15))))</f>
      </c>
      <c r="O15" t="str" s="97" cm="1">
        <f t="array" ref="O15">'Question_Bank'!N7</f>
        <v>No</v>
      </c>
      <c r="P15" s="133" cm="1">
        <f t="array" ref="P15">IF(F15="MCQ",1,5)</f>
        <v>5</v>
      </c>
    </row>
    <row r="16" ht="42" customHeight="1">
      <c r="A16" t="str" s="130" cm="1">
        <f t="array" ref="A16">'Question_Bank'!A8</f>
        <v>NPI0004</v>
      </c>
      <c r="B16" t="str" s="97" cm="1">
        <f t="array" ref="B16">'Question_Bank'!B8</f>
        <v>8-12</v>
      </c>
      <c r="C16" t="str" s="97" cm="1">
        <f t="array" ref="C16">'Question_Bank'!C8</f>
        <v>RIASEC Interest</v>
      </c>
      <c r="D16" t="str" s="97" cm="1">
        <f t="array" ref="D16">'Question_Bank'!D8</f>
        <v>Realistic</v>
      </c>
      <c r="E16" t="str" s="97" cm="1">
        <f t="array" ref="E16">'Question_Bank'!E8</f>
        <v>R</v>
      </c>
      <c r="F16" t="str" s="97" cm="1">
        <f t="array" ref="F16">'Question_Bank'!F8</f>
        <v>Likert</v>
      </c>
      <c r="G16" t="str" s="97" cm="1">
        <f t="array" ref="G16">'Question_Bank'!G8</f>
        <v>I enjoy activities involving field activities.</v>
      </c>
      <c r="H16" s="131" cm="1">
        <f t="array" ref="H16">'Question_Bank'!H8</f>
        <v>0</v>
      </c>
      <c r="I16" s="131" cm="1">
        <f t="array" ref="I16">'Question_Bank'!I8</f>
        <v>0</v>
      </c>
      <c r="J16" s="131" cm="1">
        <f t="array" ref="J16">'Question_Bank'!J8</f>
        <v>0</v>
      </c>
      <c r="K16" s="131" cm="1">
        <f t="array" ref="K16">'Question_Bank'!K8</f>
        <v>0</v>
      </c>
      <c r="L16" s="131" cm="1">
        <f t="array" ref="L16">'Question_Bank'!L8</f>
        <v>0</v>
      </c>
      <c r="M16" s="132"/>
      <c r="N16" t="str" s="97" cm="1">
        <f t="array" ref="N16">IF(M16="","",IF(F16="MCQ",IF(UPPER(M16)=UPPER(L16),1,0),IF(O16="Yes",6-VALUE(M16),VALUE(M16))))</f>
      </c>
      <c r="O16" t="str" s="97" cm="1">
        <f t="array" ref="O16">'Question_Bank'!N8</f>
        <v>No</v>
      </c>
      <c r="P16" s="133" cm="1">
        <f t="array" ref="P16">IF(F16="MCQ",1,5)</f>
        <v>5</v>
      </c>
    </row>
    <row r="17" ht="42" customHeight="1">
      <c r="A17" t="str" s="130" cm="1">
        <f t="array" ref="A17">'Question_Bank'!A9</f>
        <v>NPI0005</v>
      </c>
      <c r="B17" t="str" s="97" cm="1">
        <f t="array" ref="B17">'Question_Bank'!B9</f>
        <v>8-12</v>
      </c>
      <c r="C17" t="str" s="97" cm="1">
        <f t="array" ref="C17">'Question_Bank'!C9</f>
        <v>RIASEC Interest</v>
      </c>
      <c r="D17" t="str" s="97" cm="1">
        <f t="array" ref="D17">'Question_Bank'!D9</f>
        <v>Realistic</v>
      </c>
      <c r="E17" t="str" s="97" cm="1">
        <f t="array" ref="E17">'Question_Bank'!E9</f>
        <v>R</v>
      </c>
      <c r="F17" t="str" s="97" cm="1">
        <f t="array" ref="F17">'Question_Bank'!F9</f>
        <v>Likert</v>
      </c>
      <c r="G17" t="str" s="97" cm="1">
        <f t="array" ref="G17">'Question_Bank'!G9</f>
        <v>I enjoy activities involving technical workshops.</v>
      </c>
      <c r="H17" s="131" cm="1">
        <f t="array" ref="H17">'Question_Bank'!H9</f>
        <v>0</v>
      </c>
      <c r="I17" s="131" cm="1">
        <f t="array" ref="I17">'Question_Bank'!I9</f>
        <v>0</v>
      </c>
      <c r="J17" s="131" cm="1">
        <f t="array" ref="J17">'Question_Bank'!J9</f>
        <v>0</v>
      </c>
      <c r="K17" s="131" cm="1">
        <f t="array" ref="K17">'Question_Bank'!K9</f>
        <v>0</v>
      </c>
      <c r="L17" s="131" cm="1">
        <f t="array" ref="L17">'Question_Bank'!L9</f>
        <v>0</v>
      </c>
      <c r="M17" s="132"/>
      <c r="N17" t="str" s="97" cm="1">
        <f t="array" ref="N17">IF(M17="","",IF(F17="MCQ",IF(UPPER(M17)=UPPER(L17),1,0),IF(O17="Yes",6-VALUE(M17),VALUE(M17))))</f>
      </c>
      <c r="O17" t="str" s="97" cm="1">
        <f t="array" ref="O17">'Question_Bank'!N9</f>
        <v>No</v>
      </c>
      <c r="P17" s="133" cm="1">
        <f t="array" ref="P17">IF(F17="MCQ",1,5)</f>
        <v>5</v>
      </c>
    </row>
    <row r="18" ht="42" customHeight="1">
      <c r="A18" t="str" s="130" cm="1">
        <f t="array" ref="A18">'Question_Bank'!A10</f>
        <v>NPI0006</v>
      </c>
      <c r="B18" t="str" s="97" cm="1">
        <f t="array" ref="B18">'Question_Bank'!B10</f>
        <v>8-12</v>
      </c>
      <c r="C18" t="str" s="97" cm="1">
        <f t="array" ref="C18">'Question_Bank'!C10</f>
        <v>RIASEC Interest</v>
      </c>
      <c r="D18" t="str" s="97" cm="1">
        <f t="array" ref="D18">'Question_Bank'!D10</f>
        <v>Realistic</v>
      </c>
      <c r="E18" t="str" s="97" cm="1">
        <f t="array" ref="E18">'Question_Bank'!E10</f>
        <v>R</v>
      </c>
      <c r="F18" t="str" s="97" cm="1">
        <f t="array" ref="F18">'Question_Bank'!F10</f>
        <v>Likert</v>
      </c>
      <c r="G18" t="str" s="97" cm="1">
        <f t="array" ref="G18">'Question_Bank'!G10</f>
        <v>I enjoy activities involving hands-on science labs.</v>
      </c>
      <c r="H18" s="131" cm="1">
        <f t="array" ref="H18">'Question_Bank'!H10</f>
        <v>0</v>
      </c>
      <c r="I18" s="131" cm="1">
        <f t="array" ref="I18">'Question_Bank'!I10</f>
        <v>0</v>
      </c>
      <c r="J18" s="131" cm="1">
        <f t="array" ref="J18">'Question_Bank'!J10</f>
        <v>0</v>
      </c>
      <c r="K18" s="131" cm="1">
        <f t="array" ref="K18">'Question_Bank'!K10</f>
        <v>0</v>
      </c>
      <c r="L18" s="131" cm="1">
        <f t="array" ref="L18">'Question_Bank'!L10</f>
        <v>0</v>
      </c>
      <c r="M18" s="132"/>
      <c r="N18" t="str" s="97" cm="1">
        <f t="array" ref="N18">IF(M18="","",IF(F18="MCQ",IF(UPPER(M18)=UPPER(L18),1,0),IF(O18="Yes",6-VALUE(M18),VALUE(M18))))</f>
      </c>
      <c r="O18" t="str" s="97" cm="1">
        <f t="array" ref="O18">'Question_Bank'!N10</f>
        <v>No</v>
      </c>
      <c r="P18" s="133" cm="1">
        <f t="array" ref="P18">IF(F18="MCQ",1,5)</f>
        <v>5</v>
      </c>
    </row>
    <row r="19" ht="42" customHeight="1">
      <c r="A19" t="str" s="130" cm="1">
        <f t="array" ref="A19">'Question_Bank'!A11</f>
        <v>NPI0007</v>
      </c>
      <c r="B19" t="str" s="97" cm="1">
        <f t="array" ref="B19">'Question_Bank'!B11</f>
        <v>8-12</v>
      </c>
      <c r="C19" t="str" s="97" cm="1">
        <f t="array" ref="C19">'Question_Bank'!C11</f>
        <v>RIASEC Interest</v>
      </c>
      <c r="D19" t="str" s="97" cm="1">
        <f t="array" ref="D19">'Question_Bank'!D11</f>
        <v>Realistic</v>
      </c>
      <c r="E19" t="str" s="97" cm="1">
        <f t="array" ref="E19">'Question_Bank'!E11</f>
        <v>R</v>
      </c>
      <c r="F19" t="str" s="97" cm="1">
        <f t="array" ref="F19">'Question_Bank'!F11</f>
        <v>Likert</v>
      </c>
      <c r="G19" t="str" s="97" cm="1">
        <f t="array" ref="G19">'Question_Bank'!G11</f>
        <v>I enjoy activities involving repairing devices.</v>
      </c>
      <c r="H19" s="131" cm="1">
        <f t="array" ref="H19">'Question_Bank'!H11</f>
        <v>0</v>
      </c>
      <c r="I19" s="131" cm="1">
        <f t="array" ref="I19">'Question_Bank'!I11</f>
        <v>0</v>
      </c>
      <c r="J19" s="131" cm="1">
        <f t="array" ref="J19">'Question_Bank'!J11</f>
        <v>0</v>
      </c>
      <c r="K19" s="131" cm="1">
        <f t="array" ref="K19">'Question_Bank'!K11</f>
        <v>0</v>
      </c>
      <c r="L19" s="131" cm="1">
        <f t="array" ref="L19">'Question_Bank'!L11</f>
        <v>0</v>
      </c>
      <c r="M19" s="132"/>
      <c r="N19" t="str" s="97" cm="1">
        <f t="array" ref="N19">IF(M19="","",IF(F19="MCQ",IF(UPPER(M19)=UPPER(L19),1,0),IF(O19="Yes",6-VALUE(M19),VALUE(M19))))</f>
      </c>
      <c r="O19" t="str" s="97" cm="1">
        <f t="array" ref="O19">'Question_Bank'!N11</f>
        <v>No</v>
      </c>
      <c r="P19" s="133" cm="1">
        <f t="array" ref="P19">IF(F19="MCQ",1,5)</f>
        <v>5</v>
      </c>
    </row>
    <row r="20" ht="42" customHeight="1">
      <c r="A20" t="str" s="130" cm="1">
        <f t="array" ref="A20">'Question_Bank'!A12</f>
        <v>NPI0008</v>
      </c>
      <c r="B20" t="str" s="97" cm="1">
        <f t="array" ref="B20">'Question_Bank'!B12</f>
        <v>8-12</v>
      </c>
      <c r="C20" t="str" s="97" cm="1">
        <f t="array" ref="C20">'Question_Bank'!C12</f>
        <v>RIASEC Interest</v>
      </c>
      <c r="D20" t="str" s="97" cm="1">
        <f t="array" ref="D20">'Question_Bank'!D12</f>
        <v>Realistic</v>
      </c>
      <c r="E20" t="str" s="97" cm="1">
        <f t="array" ref="E20">'Question_Bank'!E12</f>
        <v>R</v>
      </c>
      <c r="F20" t="str" s="97" cm="1">
        <f t="array" ref="F20">'Question_Bank'!F12</f>
        <v>Likert</v>
      </c>
      <c r="G20" t="str" s="97" cm="1">
        <f t="array" ref="G20">'Question_Bank'!G12</f>
        <v>I enjoy activities involving making useful models.</v>
      </c>
      <c r="H20" s="131" cm="1">
        <f t="array" ref="H20">'Question_Bank'!H12</f>
        <v>0</v>
      </c>
      <c r="I20" s="131" cm="1">
        <f t="array" ref="I20">'Question_Bank'!I12</f>
        <v>0</v>
      </c>
      <c r="J20" s="131" cm="1">
        <f t="array" ref="J20">'Question_Bank'!J12</f>
        <v>0</v>
      </c>
      <c r="K20" s="131" cm="1">
        <f t="array" ref="K20">'Question_Bank'!K12</f>
        <v>0</v>
      </c>
      <c r="L20" s="131" cm="1">
        <f t="array" ref="L20">'Question_Bank'!L12</f>
        <v>0</v>
      </c>
      <c r="M20" s="132"/>
      <c r="N20" t="str" s="97" cm="1">
        <f t="array" ref="N20">IF(M20="","",IF(F20="MCQ",IF(UPPER(M20)=UPPER(L20),1,0),IF(O20="Yes",6-VALUE(M20),VALUE(M20))))</f>
      </c>
      <c r="O20" t="str" s="97" cm="1">
        <f t="array" ref="O20">'Question_Bank'!N12</f>
        <v>No</v>
      </c>
      <c r="P20" s="133" cm="1">
        <f t="array" ref="P20">IF(F20="MCQ",1,5)</f>
        <v>5</v>
      </c>
    </row>
    <row r="21" ht="42" customHeight="1">
      <c r="A21" t="str" s="130" cm="1">
        <f t="array" ref="A21">'Question_Bank'!A13</f>
        <v>NPI0009</v>
      </c>
      <c r="B21" t="str" s="97" cm="1">
        <f t="array" ref="B21">'Question_Bank'!B13</f>
        <v>8-12</v>
      </c>
      <c r="C21" t="str" s="97" cm="1">
        <f t="array" ref="C21">'Question_Bank'!C13</f>
        <v>RIASEC Interest</v>
      </c>
      <c r="D21" t="str" s="97" cm="1">
        <f t="array" ref="D21">'Question_Bank'!D13</f>
        <v>Realistic</v>
      </c>
      <c r="E21" t="str" s="97" cm="1">
        <f t="array" ref="E21">'Question_Bank'!E13</f>
        <v>R</v>
      </c>
      <c r="F21" t="str" s="97" cm="1">
        <f t="array" ref="F21">'Question_Bank'!F13</f>
        <v>Likert</v>
      </c>
      <c r="G21" t="str" s="97" cm="1">
        <f t="array" ref="G21">'Question_Bank'!G13</f>
        <v>I enjoy activities involving practical experiments.</v>
      </c>
      <c r="H21" s="131" cm="1">
        <f t="array" ref="H21">'Question_Bank'!H13</f>
        <v>0</v>
      </c>
      <c r="I21" s="131" cm="1">
        <f t="array" ref="I21">'Question_Bank'!I13</f>
        <v>0</v>
      </c>
      <c r="J21" s="131" cm="1">
        <f t="array" ref="J21">'Question_Bank'!J13</f>
        <v>0</v>
      </c>
      <c r="K21" s="131" cm="1">
        <f t="array" ref="K21">'Question_Bank'!K13</f>
        <v>0</v>
      </c>
      <c r="L21" s="131" cm="1">
        <f t="array" ref="L21">'Question_Bank'!L13</f>
        <v>0</v>
      </c>
      <c r="M21" s="132"/>
      <c r="N21" t="str" s="97" cm="1">
        <f t="array" ref="N21">IF(M21="","",IF(F21="MCQ",IF(UPPER(M21)=UPPER(L21),1,0),IF(O21="Yes",6-VALUE(M21),VALUE(M21))))</f>
      </c>
      <c r="O21" t="str" s="97" cm="1">
        <f t="array" ref="O21">'Question_Bank'!N13</f>
        <v>No</v>
      </c>
      <c r="P21" s="133" cm="1">
        <f t="array" ref="P21">IF(F21="MCQ",1,5)</f>
        <v>5</v>
      </c>
    </row>
    <row r="22" ht="42" customHeight="1">
      <c r="A22" t="str" s="130" cm="1">
        <f t="array" ref="A22">'Question_Bank'!A14</f>
        <v>NPI0010</v>
      </c>
      <c r="B22" t="str" s="97" cm="1">
        <f t="array" ref="B22">'Question_Bank'!B14</f>
        <v>8-12</v>
      </c>
      <c r="C22" t="str" s="97" cm="1">
        <f t="array" ref="C22">'Question_Bank'!C14</f>
        <v>RIASEC Interest</v>
      </c>
      <c r="D22" t="str" s="97" cm="1">
        <f t="array" ref="D22">'Question_Bank'!D14</f>
        <v>Realistic</v>
      </c>
      <c r="E22" t="str" s="97" cm="1">
        <f t="array" ref="E22">'Question_Bank'!E14</f>
        <v>R</v>
      </c>
      <c r="F22" t="str" s="97" cm="1">
        <f t="array" ref="F22">'Question_Bank'!F14</f>
        <v>Likert</v>
      </c>
      <c r="G22" t="str" s="97" cm="1">
        <f t="array" ref="G22">'Question_Bank'!G14</f>
        <v>I enjoy activities involving engineering activities.</v>
      </c>
      <c r="H22" s="131" cm="1">
        <f t="array" ref="H22">'Question_Bank'!H14</f>
        <v>0</v>
      </c>
      <c r="I22" s="131" cm="1">
        <f t="array" ref="I22">'Question_Bank'!I14</f>
        <v>0</v>
      </c>
      <c r="J22" s="131" cm="1">
        <f t="array" ref="J22">'Question_Bank'!J14</f>
        <v>0</v>
      </c>
      <c r="K22" s="131" cm="1">
        <f t="array" ref="K22">'Question_Bank'!K14</f>
        <v>0</v>
      </c>
      <c r="L22" s="131" cm="1">
        <f t="array" ref="L22">'Question_Bank'!L14</f>
        <v>0</v>
      </c>
      <c r="M22" s="132"/>
      <c r="N22" t="str" s="97" cm="1">
        <f t="array" ref="N22">IF(M22="","",IF(F22="MCQ",IF(UPPER(M22)=UPPER(L22),1,0),IF(O22="Yes",6-VALUE(M22),VALUE(M22))))</f>
      </c>
      <c r="O22" t="str" s="97" cm="1">
        <f t="array" ref="O22">'Question_Bank'!N14</f>
        <v>No</v>
      </c>
      <c r="P22" s="133" cm="1">
        <f t="array" ref="P22">IF(F22="MCQ",1,5)</f>
        <v>5</v>
      </c>
    </row>
    <row r="23" ht="42" customHeight="1">
      <c r="A23" t="str" s="130" cm="1">
        <f t="array" ref="A23">'Question_Bank'!A15</f>
        <v>NPI0011</v>
      </c>
      <c r="B23" t="str" s="97" cm="1">
        <f t="array" ref="B23">'Question_Bank'!B15</f>
        <v>8-12</v>
      </c>
      <c r="C23" t="str" s="97" cm="1">
        <f t="array" ref="C23">'Question_Bank'!C15</f>
        <v>RIASEC Interest</v>
      </c>
      <c r="D23" t="str" s="97" cm="1">
        <f t="array" ref="D23">'Question_Bank'!D15</f>
        <v>Realistic</v>
      </c>
      <c r="E23" t="str" s="97" cm="1">
        <f t="array" ref="E23">'Question_Bank'!E15</f>
        <v>R</v>
      </c>
      <c r="F23" t="str" s="97" cm="1">
        <f t="array" ref="F23">'Question_Bank'!F15</f>
        <v>Likert</v>
      </c>
      <c r="G23" t="str" s="97" cm="1">
        <f t="array" ref="G23">'Question_Bank'!G15</f>
        <v>I enjoy activities involving machines and systems.</v>
      </c>
      <c r="H23" s="131" cm="1">
        <f t="array" ref="H23">'Question_Bank'!H15</f>
        <v>0</v>
      </c>
      <c r="I23" s="131" cm="1">
        <f t="array" ref="I23">'Question_Bank'!I15</f>
        <v>0</v>
      </c>
      <c r="J23" s="131" cm="1">
        <f t="array" ref="J23">'Question_Bank'!J15</f>
        <v>0</v>
      </c>
      <c r="K23" s="131" cm="1">
        <f t="array" ref="K23">'Question_Bank'!K15</f>
        <v>0</v>
      </c>
      <c r="L23" s="131" cm="1">
        <f t="array" ref="L23">'Question_Bank'!L15</f>
        <v>0</v>
      </c>
      <c r="M23" s="132"/>
      <c r="N23" t="str" s="97" cm="1">
        <f t="array" ref="N23">IF(M23="","",IF(F23="MCQ",IF(UPPER(M23)=UPPER(L23),1,0),IF(O23="Yes",6-VALUE(M23),VALUE(M23))))</f>
      </c>
      <c r="O23" t="str" s="97" cm="1">
        <f t="array" ref="O23">'Question_Bank'!N15</f>
        <v>No</v>
      </c>
      <c r="P23" s="133" cm="1">
        <f t="array" ref="P23">IF(F23="MCQ",1,5)</f>
        <v>5</v>
      </c>
    </row>
    <row r="24" ht="42" customHeight="1">
      <c r="A24" t="str" s="130" cm="1">
        <f t="array" ref="A24">'Question_Bank'!A16</f>
        <v>NPI0012</v>
      </c>
      <c r="B24" t="str" s="97" cm="1">
        <f t="array" ref="B24">'Question_Bank'!B16</f>
        <v>8-12</v>
      </c>
      <c r="C24" t="str" s="97" cm="1">
        <f t="array" ref="C24">'Question_Bank'!C16</f>
        <v>RIASEC Interest</v>
      </c>
      <c r="D24" t="str" s="97" cm="1">
        <f t="array" ref="D24">'Question_Bank'!D16</f>
        <v>Realistic</v>
      </c>
      <c r="E24" t="str" s="97" cm="1">
        <f t="array" ref="E24">'Question_Bank'!E16</f>
        <v>R</v>
      </c>
      <c r="F24" t="str" s="97" cm="1">
        <f t="array" ref="F24">'Question_Bank'!F16</f>
        <v>Likert</v>
      </c>
      <c r="G24" t="str" s="97" cm="1">
        <f t="array" ref="G24">'Question_Bank'!G16</f>
        <v>I enjoy activities involving outdoor problem-solving.</v>
      </c>
      <c r="H24" s="131" cm="1">
        <f t="array" ref="H24">'Question_Bank'!H16</f>
        <v>0</v>
      </c>
      <c r="I24" s="131" cm="1">
        <f t="array" ref="I24">'Question_Bank'!I16</f>
        <v>0</v>
      </c>
      <c r="J24" s="131" cm="1">
        <f t="array" ref="J24">'Question_Bank'!J16</f>
        <v>0</v>
      </c>
      <c r="K24" s="131" cm="1">
        <f t="array" ref="K24">'Question_Bank'!K16</f>
        <v>0</v>
      </c>
      <c r="L24" s="131" cm="1">
        <f t="array" ref="L24">'Question_Bank'!L16</f>
        <v>0</v>
      </c>
      <c r="M24" s="132"/>
      <c r="N24" t="str" s="97" cm="1">
        <f t="array" ref="N24">IF(M24="","",IF(F24="MCQ",IF(UPPER(M24)=UPPER(L24),1,0),IF(O24="Yes",6-VALUE(M24),VALUE(M24))))</f>
      </c>
      <c r="O24" t="str" s="97" cm="1">
        <f t="array" ref="O24">'Question_Bank'!N16</f>
        <v>No</v>
      </c>
      <c r="P24" s="133" cm="1">
        <f t="array" ref="P24">IF(F24="MCQ",1,5)</f>
        <v>5</v>
      </c>
    </row>
    <row r="25" ht="42" customHeight="1">
      <c r="A25" t="str" s="130" cm="1">
        <f t="array" ref="A25">'Question_Bank'!A17</f>
        <v>NPI0013</v>
      </c>
      <c r="B25" t="str" s="97" cm="1">
        <f t="array" ref="B25">'Question_Bank'!B17</f>
        <v>8-12</v>
      </c>
      <c r="C25" t="str" s="97" cm="1">
        <f t="array" ref="C25">'Question_Bank'!C17</f>
        <v>RIASEC Interest</v>
      </c>
      <c r="D25" t="str" s="97" cm="1">
        <f t="array" ref="D25">'Question_Bank'!D17</f>
        <v>Realistic</v>
      </c>
      <c r="E25" t="str" s="97" cm="1">
        <f t="array" ref="E25">'Question_Bank'!E17</f>
        <v>R</v>
      </c>
      <c r="F25" t="str" s="97" cm="1">
        <f t="array" ref="F25">'Question_Bank'!F17</f>
        <v>Likert</v>
      </c>
      <c r="G25" t="str" s="97" cm="1">
        <f t="array" ref="G25">'Question_Bank'!G17</f>
        <v>I enjoy activities involving working with materials.</v>
      </c>
      <c r="H25" s="131" cm="1">
        <f t="array" ref="H25">'Question_Bank'!H17</f>
        <v>0</v>
      </c>
      <c r="I25" s="131" cm="1">
        <f t="array" ref="I25">'Question_Bank'!I17</f>
        <v>0</v>
      </c>
      <c r="J25" s="131" cm="1">
        <f t="array" ref="J25">'Question_Bank'!J17</f>
        <v>0</v>
      </c>
      <c r="K25" s="131" cm="1">
        <f t="array" ref="K25">'Question_Bank'!K17</f>
        <v>0</v>
      </c>
      <c r="L25" s="131" cm="1">
        <f t="array" ref="L25">'Question_Bank'!L17</f>
        <v>0</v>
      </c>
      <c r="M25" s="132"/>
      <c r="N25" t="str" s="97" cm="1">
        <f t="array" ref="N25">IF(M25="","",IF(F25="MCQ",IF(UPPER(M25)=UPPER(L25),1,0),IF(O25="Yes",6-VALUE(M25),VALUE(M25))))</f>
      </c>
      <c r="O25" t="str" s="97" cm="1">
        <f t="array" ref="O25">'Question_Bank'!N17</f>
        <v>No</v>
      </c>
      <c r="P25" s="133" cm="1">
        <f t="array" ref="P25">IF(F25="MCQ",1,5)</f>
        <v>5</v>
      </c>
    </row>
    <row r="26" ht="42" customHeight="1">
      <c r="A26" t="str" s="130" cm="1">
        <f t="array" ref="A26">'Question_Bank'!A18</f>
        <v>NPI0014</v>
      </c>
      <c r="B26" t="str" s="97" cm="1">
        <f t="array" ref="B26">'Question_Bank'!B18</f>
        <v>8-12</v>
      </c>
      <c r="C26" t="str" s="97" cm="1">
        <f t="array" ref="C26">'Question_Bank'!C18</f>
        <v>RIASEC Interest</v>
      </c>
      <c r="D26" t="str" s="97" cm="1">
        <f t="array" ref="D26">'Question_Bank'!D18</f>
        <v>Realistic</v>
      </c>
      <c r="E26" t="str" s="97" cm="1">
        <f t="array" ref="E26">'Question_Bank'!E18</f>
        <v>R</v>
      </c>
      <c r="F26" t="str" s="97" cm="1">
        <f t="array" ref="F26">'Question_Bank'!F18</f>
        <v>Likert</v>
      </c>
      <c r="G26" t="str" s="97" cm="1">
        <f t="array" ref="G26">'Question_Bank'!G18</f>
        <v>I enjoy activities involving physical precision tasks.</v>
      </c>
      <c r="H26" s="131" cm="1">
        <f t="array" ref="H26">'Question_Bank'!H18</f>
        <v>0</v>
      </c>
      <c r="I26" s="131" cm="1">
        <f t="array" ref="I26">'Question_Bank'!I18</f>
        <v>0</v>
      </c>
      <c r="J26" s="131" cm="1">
        <f t="array" ref="J26">'Question_Bank'!J18</f>
        <v>0</v>
      </c>
      <c r="K26" s="131" cm="1">
        <f t="array" ref="K26">'Question_Bank'!K18</f>
        <v>0</v>
      </c>
      <c r="L26" s="131" cm="1">
        <f t="array" ref="L26">'Question_Bank'!L18</f>
        <v>0</v>
      </c>
      <c r="M26" s="132"/>
      <c r="N26" t="str" s="97" cm="1">
        <f t="array" ref="N26">IF(M26="","",IF(F26="MCQ",IF(UPPER(M26)=UPPER(L26),1,0),IF(O26="Yes",6-VALUE(M26),VALUE(M26))))</f>
      </c>
      <c r="O26" t="str" s="97" cm="1">
        <f t="array" ref="O26">'Question_Bank'!N18</f>
        <v>No</v>
      </c>
      <c r="P26" s="133" cm="1">
        <f t="array" ref="P26">IF(F26="MCQ",1,5)</f>
        <v>5</v>
      </c>
    </row>
    <row r="27" ht="42" customHeight="1">
      <c r="A27" t="str" s="130" cm="1">
        <f t="array" ref="A27">'Question_Bank'!A19</f>
        <v>NPI0015</v>
      </c>
      <c r="B27" t="str" s="97" cm="1">
        <f t="array" ref="B27">'Question_Bank'!B19</f>
        <v>8-12</v>
      </c>
      <c r="C27" t="str" s="97" cm="1">
        <f t="array" ref="C27">'Question_Bank'!C19</f>
        <v>RIASEC Interest</v>
      </c>
      <c r="D27" t="str" s="97" cm="1">
        <f t="array" ref="D27">'Question_Bank'!D19</f>
        <v>Realistic</v>
      </c>
      <c r="E27" t="str" s="97" cm="1">
        <f t="array" ref="E27">'Question_Bank'!E19</f>
        <v>R</v>
      </c>
      <c r="F27" t="str" s="97" cm="1">
        <f t="array" ref="F27">'Question_Bank'!F19</f>
        <v>Likert</v>
      </c>
      <c r="G27" t="str" s="97" cm="1">
        <f t="array" ref="G27">'Question_Bank'!G19</f>
        <v>I enjoy activities involving applied technology.</v>
      </c>
      <c r="H27" s="131" cm="1">
        <f t="array" ref="H27">'Question_Bank'!H19</f>
        <v>0</v>
      </c>
      <c r="I27" s="131" cm="1">
        <f t="array" ref="I27">'Question_Bank'!I19</f>
        <v>0</v>
      </c>
      <c r="J27" s="131" cm="1">
        <f t="array" ref="J27">'Question_Bank'!J19</f>
        <v>0</v>
      </c>
      <c r="K27" s="131" cm="1">
        <f t="array" ref="K27">'Question_Bank'!K19</f>
        <v>0</v>
      </c>
      <c r="L27" s="131" cm="1">
        <f t="array" ref="L27">'Question_Bank'!L19</f>
        <v>0</v>
      </c>
      <c r="M27" s="132"/>
      <c r="N27" t="str" s="97" cm="1">
        <f t="array" ref="N27">IF(M27="","",IF(F27="MCQ",IF(UPPER(M27)=UPPER(L27),1,0),IF(O27="Yes",6-VALUE(M27),VALUE(M27))))</f>
      </c>
      <c r="O27" t="str" s="97" cm="1">
        <f t="array" ref="O27">'Question_Bank'!N19</f>
        <v>No</v>
      </c>
      <c r="P27" s="133" cm="1">
        <f t="array" ref="P27">IF(F27="MCQ",1,5)</f>
        <v>5</v>
      </c>
    </row>
    <row r="28" ht="42" customHeight="1">
      <c r="A28" t="str" s="130" cm="1">
        <f t="array" ref="A28">'Question_Bank'!A20</f>
        <v>NPI0016</v>
      </c>
      <c r="B28" t="str" s="97" cm="1">
        <f t="array" ref="B28">'Question_Bank'!B20</f>
        <v>8-12</v>
      </c>
      <c r="C28" t="str" s="97" cm="1">
        <f t="array" ref="C28">'Question_Bank'!C20</f>
        <v>RIASEC Interest</v>
      </c>
      <c r="D28" t="str" s="97" cm="1">
        <f t="array" ref="D28">'Question_Bank'!D20</f>
        <v>Investigative</v>
      </c>
      <c r="E28" t="str" s="97" cm="1">
        <f t="array" ref="E28">'Question_Bank'!E20</f>
        <v>I</v>
      </c>
      <c r="F28" t="str" s="97" cm="1">
        <f t="array" ref="F28">'Question_Bank'!F20</f>
        <v>Likert</v>
      </c>
      <c r="G28" t="str" s="97" cm="1">
        <f t="array" ref="G28">'Question_Bank'!G20</f>
        <v>I enjoy activities involving solving puzzles.</v>
      </c>
      <c r="H28" s="131" cm="1">
        <f t="array" ref="H28">'Question_Bank'!H20</f>
        <v>0</v>
      </c>
      <c r="I28" s="131" cm="1">
        <f t="array" ref="I28">'Question_Bank'!I20</f>
        <v>0</v>
      </c>
      <c r="J28" s="131" cm="1">
        <f t="array" ref="J28">'Question_Bank'!J20</f>
        <v>0</v>
      </c>
      <c r="K28" s="131" cm="1">
        <f t="array" ref="K28">'Question_Bank'!K20</f>
        <v>0</v>
      </c>
      <c r="L28" s="131" cm="1">
        <f t="array" ref="L28">'Question_Bank'!L20</f>
        <v>0</v>
      </c>
      <c r="M28" s="132"/>
      <c r="N28" t="str" s="97" cm="1">
        <f t="array" ref="N28">IF(M28="","",IF(F28="MCQ",IF(UPPER(M28)=UPPER(L28),1,0),IF(O28="Yes",6-VALUE(M28),VALUE(M28))))</f>
      </c>
      <c r="O28" t="str" s="97" cm="1">
        <f t="array" ref="O28">'Question_Bank'!N20</f>
        <v>No</v>
      </c>
      <c r="P28" s="133" cm="1">
        <f t="array" ref="P28">IF(F28="MCQ",1,5)</f>
        <v>5</v>
      </c>
    </row>
    <row r="29" ht="42" customHeight="1">
      <c r="A29" t="str" s="130" cm="1">
        <f t="array" ref="A29">'Question_Bank'!A21</f>
        <v>NPI0017</v>
      </c>
      <c r="B29" t="str" s="97" cm="1">
        <f t="array" ref="B29">'Question_Bank'!B21</f>
        <v>8-12</v>
      </c>
      <c r="C29" t="str" s="97" cm="1">
        <f t="array" ref="C29">'Question_Bank'!C21</f>
        <v>RIASEC Interest</v>
      </c>
      <c r="D29" t="str" s="97" cm="1">
        <f t="array" ref="D29">'Question_Bank'!D21</f>
        <v>Investigative</v>
      </c>
      <c r="E29" t="str" s="97" cm="1">
        <f t="array" ref="E29">'Question_Bank'!E21</f>
        <v>I</v>
      </c>
      <c r="F29" t="str" s="97" cm="1">
        <f t="array" ref="F29">'Question_Bank'!F21</f>
        <v>Likert</v>
      </c>
      <c r="G29" t="str" s="97" cm="1">
        <f t="array" ref="G29">'Question_Bank'!G21</f>
        <v>I enjoy activities involving asking why things happen.</v>
      </c>
      <c r="H29" s="131" cm="1">
        <f t="array" ref="H29">'Question_Bank'!H21</f>
        <v>0</v>
      </c>
      <c r="I29" s="131" cm="1">
        <f t="array" ref="I29">'Question_Bank'!I21</f>
        <v>0</v>
      </c>
      <c r="J29" s="131" cm="1">
        <f t="array" ref="J29">'Question_Bank'!J21</f>
        <v>0</v>
      </c>
      <c r="K29" s="131" cm="1">
        <f t="array" ref="K29">'Question_Bank'!K21</f>
        <v>0</v>
      </c>
      <c r="L29" s="131" cm="1">
        <f t="array" ref="L29">'Question_Bank'!L21</f>
        <v>0</v>
      </c>
      <c r="M29" s="132"/>
      <c r="N29" t="str" s="97" cm="1">
        <f t="array" ref="N29">IF(M29="","",IF(F29="MCQ",IF(UPPER(M29)=UPPER(L29),1,0),IF(O29="Yes",6-VALUE(M29),VALUE(M29))))</f>
      </c>
      <c r="O29" t="str" s="97" cm="1">
        <f t="array" ref="O29">'Question_Bank'!N21</f>
        <v>No</v>
      </c>
      <c r="P29" s="133" cm="1">
        <f t="array" ref="P29">IF(F29="MCQ",1,5)</f>
        <v>5</v>
      </c>
    </row>
    <row r="30" ht="42" customHeight="1">
      <c r="A30" t="str" s="130" cm="1">
        <f t="array" ref="A30">'Question_Bank'!A22</f>
        <v>NPI0018</v>
      </c>
      <c r="B30" t="str" s="97" cm="1">
        <f t="array" ref="B30">'Question_Bank'!B22</f>
        <v>8-12</v>
      </c>
      <c r="C30" t="str" s="97" cm="1">
        <f t="array" ref="C30">'Question_Bank'!C22</f>
        <v>RIASEC Interest</v>
      </c>
      <c r="D30" t="str" s="97" cm="1">
        <f t="array" ref="D30">'Question_Bank'!D22</f>
        <v>Investigative</v>
      </c>
      <c r="E30" t="str" s="97" cm="1">
        <f t="array" ref="E30">'Question_Bank'!E22</f>
        <v>I</v>
      </c>
      <c r="F30" t="str" s="97" cm="1">
        <f t="array" ref="F30">'Question_Bank'!F22</f>
        <v>Likert</v>
      </c>
      <c r="G30" t="str" s="97" cm="1">
        <f t="array" ref="G30">'Question_Bank'!G22</f>
        <v>I enjoy activities involving science experiments.</v>
      </c>
      <c r="H30" s="131" cm="1">
        <f t="array" ref="H30">'Question_Bank'!H22</f>
        <v>0</v>
      </c>
      <c r="I30" s="131" cm="1">
        <f t="array" ref="I30">'Question_Bank'!I22</f>
        <v>0</v>
      </c>
      <c r="J30" s="131" cm="1">
        <f t="array" ref="J30">'Question_Bank'!J22</f>
        <v>0</v>
      </c>
      <c r="K30" s="131" cm="1">
        <f t="array" ref="K30">'Question_Bank'!K22</f>
        <v>0</v>
      </c>
      <c r="L30" s="131" cm="1">
        <f t="array" ref="L30">'Question_Bank'!L22</f>
        <v>0</v>
      </c>
      <c r="M30" s="132"/>
      <c r="N30" t="str" s="97" cm="1">
        <f t="array" ref="N30">IF(M30="","",IF(F30="MCQ",IF(UPPER(M30)=UPPER(L30),1,0),IF(O30="Yes",6-VALUE(M30),VALUE(M30))))</f>
      </c>
      <c r="O30" t="str" s="97" cm="1">
        <f t="array" ref="O30">'Question_Bank'!N22</f>
        <v>No</v>
      </c>
      <c r="P30" s="133" cm="1">
        <f t="array" ref="P30">IF(F30="MCQ",1,5)</f>
        <v>5</v>
      </c>
    </row>
    <row r="31" ht="42" customHeight="1">
      <c r="A31" t="str" s="130" cm="1">
        <f t="array" ref="A31">'Question_Bank'!A23</f>
        <v>NPI0019</v>
      </c>
      <c r="B31" t="str" s="97" cm="1">
        <f t="array" ref="B31">'Question_Bank'!B23</f>
        <v>8-12</v>
      </c>
      <c r="C31" t="str" s="97" cm="1">
        <f t="array" ref="C31">'Question_Bank'!C23</f>
        <v>RIASEC Interest</v>
      </c>
      <c r="D31" t="str" s="97" cm="1">
        <f t="array" ref="D31">'Question_Bank'!D23</f>
        <v>Investigative</v>
      </c>
      <c r="E31" t="str" s="97" cm="1">
        <f t="array" ref="E31">'Question_Bank'!E23</f>
        <v>I</v>
      </c>
      <c r="F31" t="str" s="97" cm="1">
        <f t="array" ref="F31">'Question_Bank'!F23</f>
        <v>Likert</v>
      </c>
      <c r="G31" t="str" s="97" cm="1">
        <f t="array" ref="G31">'Question_Bank'!G23</f>
        <v>I enjoy activities involving analyzing data.</v>
      </c>
      <c r="H31" s="131" cm="1">
        <f t="array" ref="H31">'Question_Bank'!H23</f>
        <v>0</v>
      </c>
      <c r="I31" s="131" cm="1">
        <f t="array" ref="I31">'Question_Bank'!I23</f>
        <v>0</v>
      </c>
      <c r="J31" s="131" cm="1">
        <f t="array" ref="J31">'Question_Bank'!J23</f>
        <v>0</v>
      </c>
      <c r="K31" s="131" cm="1">
        <f t="array" ref="K31">'Question_Bank'!K23</f>
        <v>0</v>
      </c>
      <c r="L31" s="131" cm="1">
        <f t="array" ref="L31">'Question_Bank'!L23</f>
        <v>0</v>
      </c>
      <c r="M31" s="132"/>
      <c r="N31" t="str" s="97" cm="1">
        <f t="array" ref="N31">IF(M31="","",IF(F31="MCQ",IF(UPPER(M31)=UPPER(L31),1,0),IF(O31="Yes",6-VALUE(M31),VALUE(M31))))</f>
      </c>
      <c r="O31" t="str" s="97" cm="1">
        <f t="array" ref="O31">'Question_Bank'!N23</f>
        <v>No</v>
      </c>
      <c r="P31" s="133" cm="1">
        <f t="array" ref="P31">IF(F31="MCQ",1,5)</f>
        <v>5</v>
      </c>
    </row>
    <row r="32" ht="42" customHeight="1">
      <c r="A32" t="str" s="130" cm="1">
        <f t="array" ref="A32">'Question_Bank'!A24</f>
        <v>NPI0020</v>
      </c>
      <c r="B32" t="str" s="97" cm="1">
        <f t="array" ref="B32">'Question_Bank'!B24</f>
        <v>8-12</v>
      </c>
      <c r="C32" t="str" s="97" cm="1">
        <f t="array" ref="C32">'Question_Bank'!C24</f>
        <v>RIASEC Interest</v>
      </c>
      <c r="D32" t="str" s="97" cm="1">
        <f t="array" ref="D32">'Question_Bank'!D24</f>
        <v>Investigative</v>
      </c>
      <c r="E32" t="str" s="97" cm="1">
        <f t="array" ref="E32">'Question_Bank'!E24</f>
        <v>I</v>
      </c>
      <c r="F32" t="str" s="97" cm="1">
        <f t="array" ref="F32">'Question_Bank'!F24</f>
        <v>Likert</v>
      </c>
      <c r="G32" t="str" s="97" cm="1">
        <f t="array" ref="G32">'Question_Bank'!G24</f>
        <v>I enjoy activities involving research projects.</v>
      </c>
      <c r="H32" s="131" cm="1">
        <f t="array" ref="H32">'Question_Bank'!H24</f>
        <v>0</v>
      </c>
      <c r="I32" s="131" cm="1">
        <f t="array" ref="I32">'Question_Bank'!I24</f>
        <v>0</v>
      </c>
      <c r="J32" s="131" cm="1">
        <f t="array" ref="J32">'Question_Bank'!J24</f>
        <v>0</v>
      </c>
      <c r="K32" s="131" cm="1">
        <f t="array" ref="K32">'Question_Bank'!K24</f>
        <v>0</v>
      </c>
      <c r="L32" s="131" cm="1">
        <f t="array" ref="L32">'Question_Bank'!L24</f>
        <v>0</v>
      </c>
      <c r="M32" s="132"/>
      <c r="N32" t="str" s="97" cm="1">
        <f t="array" ref="N32">IF(M32="","",IF(F32="MCQ",IF(UPPER(M32)=UPPER(L32),1,0),IF(O32="Yes",6-VALUE(M32),VALUE(M32))))</f>
      </c>
      <c r="O32" t="str" s="97" cm="1">
        <f t="array" ref="O32">'Question_Bank'!N24</f>
        <v>No</v>
      </c>
      <c r="P32" s="133" cm="1">
        <f t="array" ref="P32">IF(F32="MCQ",1,5)</f>
        <v>5</v>
      </c>
    </row>
    <row r="33" ht="42" customHeight="1">
      <c r="A33" t="str" s="130" cm="1">
        <f t="array" ref="A33">'Question_Bank'!A25</f>
        <v>NPI0021</v>
      </c>
      <c r="B33" t="str" s="97" cm="1">
        <f t="array" ref="B33">'Question_Bank'!B25</f>
        <v>8-12</v>
      </c>
      <c r="C33" t="str" s="97" cm="1">
        <f t="array" ref="C33">'Question_Bank'!C25</f>
        <v>RIASEC Interest</v>
      </c>
      <c r="D33" t="str" s="97" cm="1">
        <f t="array" ref="D33">'Question_Bank'!D25</f>
        <v>Investigative</v>
      </c>
      <c r="E33" t="str" s="97" cm="1">
        <f t="array" ref="E33">'Question_Bank'!E25</f>
        <v>I</v>
      </c>
      <c r="F33" t="str" s="97" cm="1">
        <f t="array" ref="F33">'Question_Bank'!F25</f>
        <v>Likert</v>
      </c>
      <c r="G33" t="str" s="97" cm="1">
        <f t="array" ref="G33">'Question_Bank'!G25</f>
        <v>I enjoy activities involving deep-thinking subjects.</v>
      </c>
      <c r="H33" s="131" cm="1">
        <f t="array" ref="H33">'Question_Bank'!H25</f>
        <v>0</v>
      </c>
      <c r="I33" s="131" cm="1">
        <f t="array" ref="I33">'Question_Bank'!I25</f>
        <v>0</v>
      </c>
      <c r="J33" s="131" cm="1">
        <f t="array" ref="J33">'Question_Bank'!J25</f>
        <v>0</v>
      </c>
      <c r="K33" s="131" cm="1">
        <f t="array" ref="K33">'Question_Bank'!K25</f>
        <v>0</v>
      </c>
      <c r="L33" s="131" cm="1">
        <f t="array" ref="L33">'Question_Bank'!L25</f>
        <v>0</v>
      </c>
      <c r="M33" s="132"/>
      <c r="N33" t="str" s="97" cm="1">
        <f t="array" ref="N33">IF(M33="","",IF(F33="MCQ",IF(UPPER(M33)=UPPER(L33),1,0),IF(O33="Yes",6-VALUE(M33),VALUE(M33))))</f>
      </c>
      <c r="O33" t="str" s="97" cm="1">
        <f t="array" ref="O33">'Question_Bank'!N25</f>
        <v>No</v>
      </c>
      <c r="P33" s="133" cm="1">
        <f t="array" ref="P33">IF(F33="MCQ",1,5)</f>
        <v>5</v>
      </c>
    </row>
    <row r="34" ht="42" customHeight="1">
      <c r="A34" t="str" s="130" cm="1">
        <f t="array" ref="A34">'Question_Bank'!A26</f>
        <v>NPI0022</v>
      </c>
      <c r="B34" t="str" s="97" cm="1">
        <f t="array" ref="B34">'Question_Bank'!B26</f>
        <v>8-12</v>
      </c>
      <c r="C34" t="str" s="97" cm="1">
        <f t="array" ref="C34">'Question_Bank'!C26</f>
        <v>RIASEC Interest</v>
      </c>
      <c r="D34" t="str" s="97" cm="1">
        <f t="array" ref="D34">'Question_Bank'!D26</f>
        <v>Investigative</v>
      </c>
      <c r="E34" t="str" s="97" cm="1">
        <f t="array" ref="E34">'Question_Bank'!E26</f>
        <v>I</v>
      </c>
      <c r="F34" t="str" s="97" cm="1">
        <f t="array" ref="F34">'Question_Bank'!F26</f>
        <v>Likert</v>
      </c>
      <c r="G34" t="str" s="97" cm="1">
        <f t="array" ref="G34">'Question_Bank'!G26</f>
        <v>I enjoy activities involving finding patterns.</v>
      </c>
      <c r="H34" s="131" cm="1">
        <f t="array" ref="H34">'Question_Bank'!H26</f>
        <v>0</v>
      </c>
      <c r="I34" s="131" cm="1">
        <f t="array" ref="I34">'Question_Bank'!I26</f>
        <v>0</v>
      </c>
      <c r="J34" s="131" cm="1">
        <f t="array" ref="J34">'Question_Bank'!J26</f>
        <v>0</v>
      </c>
      <c r="K34" s="131" cm="1">
        <f t="array" ref="K34">'Question_Bank'!K26</f>
        <v>0</v>
      </c>
      <c r="L34" s="131" cm="1">
        <f t="array" ref="L34">'Question_Bank'!L26</f>
        <v>0</v>
      </c>
      <c r="M34" s="132"/>
      <c r="N34" t="str" s="97" cm="1">
        <f t="array" ref="N34">IF(M34="","",IF(F34="MCQ",IF(UPPER(M34)=UPPER(L34),1,0),IF(O34="Yes",6-VALUE(M34),VALUE(M34))))</f>
      </c>
      <c r="O34" t="str" s="97" cm="1">
        <f t="array" ref="O34">'Question_Bank'!N26</f>
        <v>No</v>
      </c>
      <c r="P34" s="133" cm="1">
        <f t="array" ref="P34">IF(F34="MCQ",1,5)</f>
        <v>5</v>
      </c>
    </row>
    <row r="35" ht="42" customHeight="1">
      <c r="A35" t="str" s="130" cm="1">
        <f t="array" ref="A35">'Question_Bank'!A27</f>
        <v>NPI0023</v>
      </c>
      <c r="B35" t="str" s="97" cm="1">
        <f t="array" ref="B35">'Question_Bank'!B27</f>
        <v>8-12</v>
      </c>
      <c r="C35" t="str" s="97" cm="1">
        <f t="array" ref="C35">'Question_Bank'!C27</f>
        <v>RIASEC Interest</v>
      </c>
      <c r="D35" t="str" s="97" cm="1">
        <f t="array" ref="D35">'Question_Bank'!D27</f>
        <v>Investigative</v>
      </c>
      <c r="E35" t="str" s="97" cm="1">
        <f t="array" ref="E35">'Question_Bank'!E27</f>
        <v>I</v>
      </c>
      <c r="F35" t="str" s="97" cm="1">
        <f t="array" ref="F35">'Question_Bank'!F27</f>
        <v>Likert</v>
      </c>
      <c r="G35" t="str" s="97" cm="1">
        <f t="array" ref="G35">'Question_Bank'!G27</f>
        <v>I enjoy activities involving medical or technology topics.</v>
      </c>
      <c r="H35" s="131" cm="1">
        <f t="array" ref="H35">'Question_Bank'!H27</f>
        <v>0</v>
      </c>
      <c r="I35" s="131" cm="1">
        <f t="array" ref="I35">'Question_Bank'!I27</f>
        <v>0</v>
      </c>
      <c r="J35" s="131" cm="1">
        <f t="array" ref="J35">'Question_Bank'!J27</f>
        <v>0</v>
      </c>
      <c r="K35" s="131" cm="1">
        <f t="array" ref="K35">'Question_Bank'!K27</f>
        <v>0</v>
      </c>
      <c r="L35" s="131" cm="1">
        <f t="array" ref="L35">'Question_Bank'!L27</f>
        <v>0</v>
      </c>
      <c r="M35" s="132"/>
      <c r="N35" t="str" s="97" cm="1">
        <f t="array" ref="N35">IF(M35="","",IF(F35="MCQ",IF(UPPER(M35)=UPPER(L35),1,0),IF(O35="Yes",6-VALUE(M35),VALUE(M35))))</f>
      </c>
      <c r="O35" t="str" s="97" cm="1">
        <f t="array" ref="O35">'Question_Bank'!N27</f>
        <v>No</v>
      </c>
      <c r="P35" s="133" cm="1">
        <f t="array" ref="P35">IF(F35="MCQ",1,5)</f>
        <v>5</v>
      </c>
    </row>
    <row r="36" ht="42" customHeight="1">
      <c r="A36" t="str" s="130" cm="1">
        <f t="array" ref="A36">'Question_Bank'!A28</f>
        <v>NPI0024</v>
      </c>
      <c r="B36" t="str" s="97" cm="1">
        <f t="array" ref="B36">'Question_Bank'!B28</f>
        <v>8-12</v>
      </c>
      <c r="C36" t="str" s="97" cm="1">
        <f t="array" ref="C36">'Question_Bank'!C28</f>
        <v>RIASEC Interest</v>
      </c>
      <c r="D36" t="str" s="97" cm="1">
        <f t="array" ref="D36">'Question_Bank'!D28</f>
        <v>Investigative</v>
      </c>
      <c r="E36" t="str" s="97" cm="1">
        <f t="array" ref="E36">'Question_Bank'!E28</f>
        <v>I</v>
      </c>
      <c r="F36" t="str" s="97" cm="1">
        <f t="array" ref="F36">'Question_Bank'!F28</f>
        <v>Likert</v>
      </c>
      <c r="G36" t="str" s="97" cm="1">
        <f t="array" ref="G36">'Question_Bank'!G28</f>
        <v>I enjoy activities involving evidence-based decisions.</v>
      </c>
      <c r="H36" s="131" cm="1">
        <f t="array" ref="H36">'Question_Bank'!H28</f>
        <v>0</v>
      </c>
      <c r="I36" s="131" cm="1">
        <f t="array" ref="I36">'Question_Bank'!I28</f>
        <v>0</v>
      </c>
      <c r="J36" s="131" cm="1">
        <f t="array" ref="J36">'Question_Bank'!J28</f>
        <v>0</v>
      </c>
      <c r="K36" s="131" cm="1">
        <f t="array" ref="K36">'Question_Bank'!K28</f>
        <v>0</v>
      </c>
      <c r="L36" s="131" cm="1">
        <f t="array" ref="L36">'Question_Bank'!L28</f>
        <v>0</v>
      </c>
      <c r="M36" s="132"/>
      <c r="N36" t="str" s="97" cm="1">
        <f t="array" ref="N36">IF(M36="","",IF(F36="MCQ",IF(UPPER(M36)=UPPER(L36),1,0),IF(O36="Yes",6-VALUE(M36),VALUE(M36))))</f>
      </c>
      <c r="O36" t="str" s="97" cm="1">
        <f t="array" ref="O36">'Question_Bank'!N28</f>
        <v>No</v>
      </c>
      <c r="P36" s="133" cm="1">
        <f t="array" ref="P36">IF(F36="MCQ",1,5)</f>
        <v>5</v>
      </c>
    </row>
    <row r="37" ht="42" customHeight="1">
      <c r="A37" t="str" s="130" cm="1">
        <f t="array" ref="A37">'Question_Bank'!A29</f>
        <v>NPI0025</v>
      </c>
      <c r="B37" t="str" s="97" cm="1">
        <f t="array" ref="B37">'Question_Bank'!B29</f>
        <v>8-12</v>
      </c>
      <c r="C37" t="str" s="97" cm="1">
        <f t="array" ref="C37">'Question_Bank'!C29</f>
        <v>RIASEC Interest</v>
      </c>
      <c r="D37" t="str" s="97" cm="1">
        <f t="array" ref="D37">'Question_Bank'!D29</f>
        <v>Investigative</v>
      </c>
      <c r="E37" t="str" s="97" cm="1">
        <f t="array" ref="E37">'Question_Bank'!E29</f>
        <v>I</v>
      </c>
      <c r="F37" t="str" s="97" cm="1">
        <f t="array" ref="F37">'Question_Bank'!F29</f>
        <v>Likert</v>
      </c>
      <c r="G37" t="str" s="97" cm="1">
        <f t="array" ref="G37">'Question_Bank'!G29</f>
        <v>I enjoy activities involving mathematical challenges.</v>
      </c>
      <c r="H37" s="131" cm="1">
        <f t="array" ref="H37">'Question_Bank'!H29</f>
        <v>0</v>
      </c>
      <c r="I37" s="131" cm="1">
        <f t="array" ref="I37">'Question_Bank'!I29</f>
        <v>0</v>
      </c>
      <c r="J37" s="131" cm="1">
        <f t="array" ref="J37">'Question_Bank'!J29</f>
        <v>0</v>
      </c>
      <c r="K37" s="131" cm="1">
        <f t="array" ref="K37">'Question_Bank'!K29</f>
        <v>0</v>
      </c>
      <c r="L37" s="131" cm="1">
        <f t="array" ref="L37">'Question_Bank'!L29</f>
        <v>0</v>
      </c>
      <c r="M37" s="132"/>
      <c r="N37" t="str" s="97" cm="1">
        <f t="array" ref="N37">IF(M37="","",IF(F37="MCQ",IF(UPPER(M37)=UPPER(L37),1,0),IF(O37="Yes",6-VALUE(M37),VALUE(M37))))</f>
      </c>
      <c r="O37" t="str" s="97" cm="1">
        <f t="array" ref="O37">'Question_Bank'!N29</f>
        <v>No</v>
      </c>
      <c r="P37" s="133" cm="1">
        <f t="array" ref="P37">IF(F37="MCQ",1,5)</f>
        <v>5</v>
      </c>
    </row>
    <row r="38" ht="42" customHeight="1">
      <c r="A38" t="str" s="130" cm="1">
        <f t="array" ref="A38">'Question_Bank'!A30</f>
        <v>NPI0026</v>
      </c>
      <c r="B38" t="str" s="97" cm="1">
        <f t="array" ref="B38">'Question_Bank'!B30</f>
        <v>8-12</v>
      </c>
      <c r="C38" t="str" s="97" cm="1">
        <f t="array" ref="C38">'Question_Bank'!C30</f>
        <v>RIASEC Interest</v>
      </c>
      <c r="D38" t="str" s="97" cm="1">
        <f t="array" ref="D38">'Question_Bank'!D30</f>
        <v>Investigative</v>
      </c>
      <c r="E38" t="str" s="97" cm="1">
        <f t="array" ref="E38">'Question_Bank'!E30</f>
        <v>I</v>
      </c>
      <c r="F38" t="str" s="97" cm="1">
        <f t="array" ref="F38">'Question_Bank'!F30</f>
        <v>Likert</v>
      </c>
      <c r="G38" t="str" s="97" cm="1">
        <f t="array" ref="G38">'Question_Bank'!G30</f>
        <v>I enjoy activities involving independent inquiry.</v>
      </c>
      <c r="H38" s="131" cm="1">
        <f t="array" ref="H38">'Question_Bank'!H30</f>
        <v>0</v>
      </c>
      <c r="I38" s="131" cm="1">
        <f t="array" ref="I38">'Question_Bank'!I30</f>
        <v>0</v>
      </c>
      <c r="J38" s="131" cm="1">
        <f t="array" ref="J38">'Question_Bank'!J30</f>
        <v>0</v>
      </c>
      <c r="K38" s="131" cm="1">
        <f t="array" ref="K38">'Question_Bank'!K30</f>
        <v>0</v>
      </c>
      <c r="L38" s="131" cm="1">
        <f t="array" ref="L38">'Question_Bank'!L30</f>
        <v>0</v>
      </c>
      <c r="M38" s="132"/>
      <c r="N38" t="str" s="97" cm="1">
        <f t="array" ref="N38">IF(M38="","",IF(F38="MCQ",IF(UPPER(M38)=UPPER(L38),1,0),IF(O38="Yes",6-VALUE(M38),VALUE(M38))))</f>
      </c>
      <c r="O38" t="str" s="97" cm="1">
        <f t="array" ref="O38">'Question_Bank'!N30</f>
        <v>No</v>
      </c>
      <c r="P38" s="133" cm="1">
        <f t="array" ref="P38">IF(F38="MCQ",1,5)</f>
        <v>5</v>
      </c>
    </row>
    <row r="39" ht="42" customHeight="1">
      <c r="A39" t="str" s="130" cm="1">
        <f t="array" ref="A39">'Question_Bank'!A31</f>
        <v>NPI0027</v>
      </c>
      <c r="B39" t="str" s="97" cm="1">
        <f t="array" ref="B39">'Question_Bank'!B31</f>
        <v>8-12</v>
      </c>
      <c r="C39" t="str" s="97" cm="1">
        <f t="array" ref="C39">'Question_Bank'!C31</f>
        <v>RIASEC Interest</v>
      </c>
      <c r="D39" t="str" s="97" cm="1">
        <f t="array" ref="D39">'Question_Bank'!D31</f>
        <v>Investigative</v>
      </c>
      <c r="E39" t="str" s="97" cm="1">
        <f t="array" ref="E39">'Question_Bank'!E31</f>
        <v>I</v>
      </c>
      <c r="F39" t="str" s="97" cm="1">
        <f t="array" ref="F39">'Question_Bank'!F31</f>
        <v>Likert</v>
      </c>
      <c r="G39" t="str" s="97" cm="1">
        <f t="array" ref="G39">'Question_Bank'!G31</f>
        <v>I enjoy activities involving understanding causes.</v>
      </c>
      <c r="H39" s="131" cm="1">
        <f t="array" ref="H39">'Question_Bank'!H31</f>
        <v>0</v>
      </c>
      <c r="I39" s="131" cm="1">
        <f t="array" ref="I39">'Question_Bank'!I31</f>
        <v>0</v>
      </c>
      <c r="J39" s="131" cm="1">
        <f t="array" ref="J39">'Question_Bank'!J31</f>
        <v>0</v>
      </c>
      <c r="K39" s="131" cm="1">
        <f t="array" ref="K39">'Question_Bank'!K31</f>
        <v>0</v>
      </c>
      <c r="L39" s="131" cm="1">
        <f t="array" ref="L39">'Question_Bank'!L31</f>
        <v>0</v>
      </c>
      <c r="M39" s="132"/>
      <c r="N39" t="str" s="97" cm="1">
        <f t="array" ref="N39">IF(M39="","",IF(F39="MCQ",IF(UPPER(M39)=UPPER(L39),1,0),IF(O39="Yes",6-VALUE(M39),VALUE(M39))))</f>
      </c>
      <c r="O39" t="str" s="97" cm="1">
        <f t="array" ref="O39">'Question_Bank'!N31</f>
        <v>No</v>
      </c>
      <c r="P39" s="133" cm="1">
        <f t="array" ref="P39">IF(F39="MCQ",1,5)</f>
        <v>5</v>
      </c>
    </row>
    <row r="40" ht="42" customHeight="1">
      <c r="A40" t="str" s="130" cm="1">
        <f t="array" ref="A40">'Question_Bank'!A32</f>
        <v>NPI0028</v>
      </c>
      <c r="B40" t="str" s="97" cm="1">
        <f t="array" ref="B40">'Question_Bank'!B32</f>
        <v>8-12</v>
      </c>
      <c r="C40" t="str" s="97" cm="1">
        <f t="array" ref="C40">'Question_Bank'!C32</f>
        <v>RIASEC Interest</v>
      </c>
      <c r="D40" t="str" s="97" cm="1">
        <f t="array" ref="D40">'Question_Bank'!D32</f>
        <v>Investigative</v>
      </c>
      <c r="E40" t="str" s="97" cm="1">
        <f t="array" ref="E40">'Question_Bank'!E32</f>
        <v>I</v>
      </c>
      <c r="F40" t="str" s="97" cm="1">
        <f t="array" ref="F40">'Question_Bank'!F32</f>
        <v>Likert</v>
      </c>
      <c r="G40" t="str" s="97" cm="1">
        <f t="array" ref="G40">'Question_Bank'!G32</f>
        <v>I enjoy activities involving testing ideas.</v>
      </c>
      <c r="H40" s="131" cm="1">
        <f t="array" ref="H40">'Question_Bank'!H32</f>
        <v>0</v>
      </c>
      <c r="I40" s="131" cm="1">
        <f t="array" ref="I40">'Question_Bank'!I32</f>
        <v>0</v>
      </c>
      <c r="J40" s="131" cm="1">
        <f t="array" ref="J40">'Question_Bank'!J32</f>
        <v>0</v>
      </c>
      <c r="K40" s="131" cm="1">
        <f t="array" ref="K40">'Question_Bank'!K32</f>
        <v>0</v>
      </c>
      <c r="L40" s="131" cm="1">
        <f t="array" ref="L40">'Question_Bank'!L32</f>
        <v>0</v>
      </c>
      <c r="M40" s="132"/>
      <c r="N40" t="str" s="97" cm="1">
        <f t="array" ref="N40">IF(M40="","",IF(F40="MCQ",IF(UPPER(M40)=UPPER(L40),1,0),IF(O40="Yes",6-VALUE(M40),VALUE(M40))))</f>
      </c>
      <c r="O40" t="str" s="97" cm="1">
        <f t="array" ref="O40">'Question_Bank'!N32</f>
        <v>No</v>
      </c>
      <c r="P40" s="133" cm="1">
        <f t="array" ref="P40">IF(F40="MCQ",1,5)</f>
        <v>5</v>
      </c>
    </row>
    <row r="41" ht="42" customHeight="1">
      <c r="A41" t="str" s="130" cm="1">
        <f t="array" ref="A41">'Question_Bank'!A33</f>
        <v>NPI0029</v>
      </c>
      <c r="B41" t="str" s="97" cm="1">
        <f t="array" ref="B41">'Question_Bank'!B33</f>
        <v>8-12</v>
      </c>
      <c r="C41" t="str" s="97" cm="1">
        <f t="array" ref="C41">'Question_Bank'!C33</f>
        <v>RIASEC Interest</v>
      </c>
      <c r="D41" t="str" s="97" cm="1">
        <f t="array" ref="D41">'Question_Bank'!D33</f>
        <v>Investigative</v>
      </c>
      <c r="E41" t="str" s="97" cm="1">
        <f t="array" ref="E41">'Question_Bank'!E33</f>
        <v>I</v>
      </c>
      <c r="F41" t="str" s="97" cm="1">
        <f t="array" ref="F41">'Question_Bank'!F33</f>
        <v>Likert</v>
      </c>
      <c r="G41" t="str" s="97" cm="1">
        <f t="array" ref="G41">'Question_Bank'!G33</f>
        <v>I enjoy activities involving logic problems.</v>
      </c>
      <c r="H41" s="131" cm="1">
        <f t="array" ref="H41">'Question_Bank'!H33</f>
        <v>0</v>
      </c>
      <c r="I41" s="131" cm="1">
        <f t="array" ref="I41">'Question_Bank'!I33</f>
        <v>0</v>
      </c>
      <c r="J41" s="131" cm="1">
        <f t="array" ref="J41">'Question_Bank'!J33</f>
        <v>0</v>
      </c>
      <c r="K41" s="131" cm="1">
        <f t="array" ref="K41">'Question_Bank'!K33</f>
        <v>0</v>
      </c>
      <c r="L41" s="131" cm="1">
        <f t="array" ref="L41">'Question_Bank'!L33</f>
        <v>0</v>
      </c>
      <c r="M41" s="132"/>
      <c r="N41" t="str" s="97" cm="1">
        <f t="array" ref="N41">IF(M41="","",IF(F41="MCQ",IF(UPPER(M41)=UPPER(L41),1,0),IF(O41="Yes",6-VALUE(M41),VALUE(M41))))</f>
      </c>
      <c r="O41" t="str" s="97" cm="1">
        <f t="array" ref="O41">'Question_Bank'!N33</f>
        <v>No</v>
      </c>
      <c r="P41" s="133" cm="1">
        <f t="array" ref="P41">IF(F41="MCQ",1,5)</f>
        <v>5</v>
      </c>
    </row>
    <row r="42" ht="42" customHeight="1">
      <c r="A42" t="str" s="130" cm="1">
        <f t="array" ref="A42">'Question_Bank'!A34</f>
        <v>NPI0030</v>
      </c>
      <c r="B42" t="str" s="97" cm="1">
        <f t="array" ref="B42">'Question_Bank'!B34</f>
        <v>8-12</v>
      </c>
      <c r="C42" t="str" s="97" cm="1">
        <f t="array" ref="C42">'Question_Bank'!C34</f>
        <v>RIASEC Interest</v>
      </c>
      <c r="D42" t="str" s="97" cm="1">
        <f t="array" ref="D42">'Question_Bank'!D34</f>
        <v>Investigative</v>
      </c>
      <c r="E42" t="str" s="97" cm="1">
        <f t="array" ref="E42">'Question_Bank'!E34</f>
        <v>I</v>
      </c>
      <c r="F42" t="str" s="97" cm="1">
        <f t="array" ref="F42">'Question_Bank'!F34</f>
        <v>Likert</v>
      </c>
      <c r="G42" t="str" s="97" cm="1">
        <f t="array" ref="G42">'Question_Bank'!G34</f>
        <v>I enjoy activities involving scientific discovery.</v>
      </c>
      <c r="H42" s="131" cm="1">
        <f t="array" ref="H42">'Question_Bank'!H34</f>
        <v>0</v>
      </c>
      <c r="I42" s="131" cm="1">
        <f t="array" ref="I42">'Question_Bank'!I34</f>
        <v>0</v>
      </c>
      <c r="J42" s="131" cm="1">
        <f t="array" ref="J42">'Question_Bank'!J34</f>
        <v>0</v>
      </c>
      <c r="K42" s="131" cm="1">
        <f t="array" ref="K42">'Question_Bank'!K34</f>
        <v>0</v>
      </c>
      <c r="L42" s="131" cm="1">
        <f t="array" ref="L42">'Question_Bank'!L34</f>
        <v>0</v>
      </c>
      <c r="M42" s="132"/>
      <c r="N42" t="str" s="97" cm="1">
        <f t="array" ref="N42">IF(M42="","",IF(F42="MCQ",IF(UPPER(M42)=UPPER(L42),1,0),IF(O42="Yes",6-VALUE(M42),VALUE(M42))))</f>
      </c>
      <c r="O42" t="str" s="97" cm="1">
        <f t="array" ref="O42">'Question_Bank'!N34</f>
        <v>No</v>
      </c>
      <c r="P42" s="133" cm="1">
        <f t="array" ref="P42">IF(F42="MCQ",1,5)</f>
        <v>5</v>
      </c>
    </row>
    <row r="43" ht="42" customHeight="1">
      <c r="A43" t="str" s="130" cm="1">
        <f t="array" ref="A43">'Question_Bank'!A35</f>
        <v>NPI0031</v>
      </c>
      <c r="B43" t="str" s="97" cm="1">
        <f t="array" ref="B43">'Question_Bank'!B35</f>
        <v>8-12</v>
      </c>
      <c r="C43" t="str" s="97" cm="1">
        <f t="array" ref="C43">'Question_Bank'!C35</f>
        <v>RIASEC Interest</v>
      </c>
      <c r="D43" t="str" s="97" cm="1">
        <f t="array" ref="D43">'Question_Bank'!D35</f>
        <v>Artistic</v>
      </c>
      <c r="E43" t="str" s="97" cm="1">
        <f t="array" ref="E43">'Question_Bank'!E35</f>
        <v>A</v>
      </c>
      <c r="F43" t="str" s="97" cm="1">
        <f t="array" ref="F43">'Question_Bank'!F35</f>
        <v>Likert</v>
      </c>
      <c r="G43" t="str" s="97" cm="1">
        <f t="array" ref="G43">'Question_Bank'!G35</f>
        <v>I enjoy activities involving drawing or design.</v>
      </c>
      <c r="H43" s="131" cm="1">
        <f t="array" ref="H43">'Question_Bank'!H35</f>
        <v>0</v>
      </c>
      <c r="I43" s="131" cm="1">
        <f t="array" ref="I43">'Question_Bank'!I35</f>
        <v>0</v>
      </c>
      <c r="J43" s="131" cm="1">
        <f t="array" ref="J43">'Question_Bank'!J35</f>
        <v>0</v>
      </c>
      <c r="K43" s="131" cm="1">
        <f t="array" ref="K43">'Question_Bank'!K35</f>
        <v>0</v>
      </c>
      <c r="L43" s="131" cm="1">
        <f t="array" ref="L43">'Question_Bank'!L35</f>
        <v>0</v>
      </c>
      <c r="M43" s="132"/>
      <c r="N43" t="str" s="97" cm="1">
        <f t="array" ref="N43">IF(M43="","",IF(F43="MCQ",IF(UPPER(M43)=UPPER(L43),1,0),IF(O43="Yes",6-VALUE(M43),VALUE(M43))))</f>
      </c>
      <c r="O43" t="str" s="97" cm="1">
        <f t="array" ref="O43">'Question_Bank'!N35</f>
        <v>No</v>
      </c>
      <c r="P43" s="133" cm="1">
        <f t="array" ref="P43">IF(F43="MCQ",1,5)</f>
        <v>5</v>
      </c>
    </row>
    <row r="44" ht="42" customHeight="1">
      <c r="A44" t="str" s="130" cm="1">
        <f t="array" ref="A44">'Question_Bank'!A36</f>
        <v>NPI0032</v>
      </c>
      <c r="B44" t="str" s="97" cm="1">
        <f t="array" ref="B44">'Question_Bank'!B36</f>
        <v>8-12</v>
      </c>
      <c r="C44" t="str" s="97" cm="1">
        <f t="array" ref="C44">'Question_Bank'!C36</f>
        <v>RIASEC Interest</v>
      </c>
      <c r="D44" t="str" s="97" cm="1">
        <f t="array" ref="D44">'Question_Bank'!D36</f>
        <v>Artistic</v>
      </c>
      <c r="E44" t="str" s="97" cm="1">
        <f t="array" ref="E44">'Question_Bank'!E36</f>
        <v>A</v>
      </c>
      <c r="F44" t="str" s="97" cm="1">
        <f t="array" ref="F44">'Question_Bank'!F36</f>
        <v>Likert</v>
      </c>
      <c r="G44" t="str" s="97" cm="1">
        <f t="array" ref="G44">'Question_Bank'!G36</f>
        <v>I enjoy activities involving music or performance.</v>
      </c>
      <c r="H44" s="131" cm="1">
        <f t="array" ref="H44">'Question_Bank'!H36</f>
        <v>0</v>
      </c>
      <c r="I44" s="131" cm="1">
        <f t="array" ref="I44">'Question_Bank'!I36</f>
        <v>0</v>
      </c>
      <c r="J44" s="131" cm="1">
        <f t="array" ref="J44">'Question_Bank'!J36</f>
        <v>0</v>
      </c>
      <c r="K44" s="131" cm="1">
        <f t="array" ref="K44">'Question_Bank'!K36</f>
        <v>0</v>
      </c>
      <c r="L44" s="131" cm="1">
        <f t="array" ref="L44">'Question_Bank'!L36</f>
        <v>0</v>
      </c>
      <c r="M44" s="132"/>
      <c r="N44" t="str" s="97" cm="1">
        <f t="array" ref="N44">IF(M44="","",IF(F44="MCQ",IF(UPPER(M44)=UPPER(L44),1,0),IF(O44="Yes",6-VALUE(M44),VALUE(M44))))</f>
      </c>
      <c r="O44" t="str" s="97" cm="1">
        <f t="array" ref="O44">'Question_Bank'!N36</f>
        <v>No</v>
      </c>
      <c r="P44" s="133" cm="1">
        <f t="array" ref="P44">IF(F44="MCQ",1,5)</f>
        <v>5</v>
      </c>
    </row>
    <row r="45" ht="42" customHeight="1">
      <c r="A45" t="str" s="130" cm="1">
        <f t="array" ref="A45">'Question_Bank'!A37</f>
        <v>NPI0033</v>
      </c>
      <c r="B45" t="str" s="97" cm="1">
        <f t="array" ref="B45">'Question_Bank'!B37</f>
        <v>8-12</v>
      </c>
      <c r="C45" t="str" s="97" cm="1">
        <f t="array" ref="C45">'Question_Bank'!C37</f>
        <v>RIASEC Interest</v>
      </c>
      <c r="D45" t="str" s="97" cm="1">
        <f t="array" ref="D45">'Question_Bank'!D37</f>
        <v>Artistic</v>
      </c>
      <c r="E45" t="str" s="97" cm="1">
        <f t="array" ref="E45">'Question_Bank'!E37</f>
        <v>A</v>
      </c>
      <c r="F45" t="str" s="97" cm="1">
        <f t="array" ref="F45">'Question_Bank'!F37</f>
        <v>Likert</v>
      </c>
      <c r="G45" t="str" s="97" cm="1">
        <f t="array" ref="G45">'Question_Bank'!G37</f>
        <v>I enjoy activities involving creative writing.</v>
      </c>
      <c r="H45" s="131" cm="1">
        <f t="array" ref="H45">'Question_Bank'!H37</f>
        <v>0</v>
      </c>
      <c r="I45" s="131" cm="1">
        <f t="array" ref="I45">'Question_Bank'!I37</f>
        <v>0</v>
      </c>
      <c r="J45" s="131" cm="1">
        <f t="array" ref="J45">'Question_Bank'!J37</f>
        <v>0</v>
      </c>
      <c r="K45" s="131" cm="1">
        <f t="array" ref="K45">'Question_Bank'!K37</f>
        <v>0</v>
      </c>
      <c r="L45" s="131" cm="1">
        <f t="array" ref="L45">'Question_Bank'!L37</f>
        <v>0</v>
      </c>
      <c r="M45" s="132"/>
      <c r="N45" t="str" s="97" cm="1">
        <f t="array" ref="N45">IF(M45="","",IF(F45="MCQ",IF(UPPER(M45)=UPPER(L45),1,0),IF(O45="Yes",6-VALUE(M45),VALUE(M45))))</f>
      </c>
      <c r="O45" t="str" s="97" cm="1">
        <f t="array" ref="O45">'Question_Bank'!N37</f>
        <v>No</v>
      </c>
      <c r="P45" s="133" cm="1">
        <f t="array" ref="P45">IF(F45="MCQ",1,5)</f>
        <v>5</v>
      </c>
    </row>
    <row r="46" ht="42" customHeight="1">
      <c r="A46" t="str" s="130" cm="1">
        <f t="array" ref="A46">'Question_Bank'!A38</f>
        <v>NPI0034</v>
      </c>
      <c r="B46" t="str" s="97" cm="1">
        <f t="array" ref="B46">'Question_Bank'!B38</f>
        <v>8-12</v>
      </c>
      <c r="C46" t="str" s="97" cm="1">
        <f t="array" ref="C46">'Question_Bank'!C38</f>
        <v>RIASEC Interest</v>
      </c>
      <c r="D46" t="str" s="97" cm="1">
        <f t="array" ref="D46">'Question_Bank'!D38</f>
        <v>Artistic</v>
      </c>
      <c r="E46" t="str" s="97" cm="1">
        <f t="array" ref="E46">'Question_Bank'!E38</f>
        <v>A</v>
      </c>
      <c r="F46" t="str" s="97" cm="1">
        <f t="array" ref="F46">'Question_Bank'!F38</f>
        <v>Likert</v>
      </c>
      <c r="G46" t="str" s="97" cm="1">
        <f t="array" ref="G46">'Question_Bank'!G38</f>
        <v>I enjoy activities involving making original work.</v>
      </c>
      <c r="H46" s="131" cm="1">
        <f t="array" ref="H46">'Question_Bank'!H38</f>
        <v>0</v>
      </c>
      <c r="I46" s="131" cm="1">
        <f t="array" ref="I46">'Question_Bank'!I38</f>
        <v>0</v>
      </c>
      <c r="J46" s="131" cm="1">
        <f t="array" ref="J46">'Question_Bank'!J38</f>
        <v>0</v>
      </c>
      <c r="K46" s="131" cm="1">
        <f t="array" ref="K46">'Question_Bank'!K38</f>
        <v>0</v>
      </c>
      <c r="L46" s="131" cm="1">
        <f t="array" ref="L46">'Question_Bank'!L38</f>
        <v>0</v>
      </c>
      <c r="M46" s="132"/>
      <c r="N46" t="str" s="97" cm="1">
        <f t="array" ref="N46">IF(M46="","",IF(F46="MCQ",IF(UPPER(M46)=UPPER(L46),1,0),IF(O46="Yes",6-VALUE(M46),VALUE(M46))))</f>
      </c>
      <c r="O46" t="str" s="97" cm="1">
        <f t="array" ref="O46">'Question_Bank'!N38</f>
        <v>No</v>
      </c>
      <c r="P46" s="133" cm="1">
        <f t="array" ref="P46">IF(F46="MCQ",1,5)</f>
        <v>5</v>
      </c>
    </row>
    <row r="47" ht="42" customHeight="1">
      <c r="A47" t="str" s="130" cm="1">
        <f t="array" ref="A47">'Question_Bank'!A39</f>
        <v>NPI0035</v>
      </c>
      <c r="B47" t="str" s="97" cm="1">
        <f t="array" ref="B47">'Question_Bank'!B39</f>
        <v>8-12</v>
      </c>
      <c r="C47" t="str" s="97" cm="1">
        <f t="array" ref="C47">'Question_Bank'!C39</f>
        <v>RIASEC Interest</v>
      </c>
      <c r="D47" t="str" s="97" cm="1">
        <f t="array" ref="D47">'Question_Bank'!D39</f>
        <v>Artistic</v>
      </c>
      <c r="E47" t="str" s="97" cm="1">
        <f t="array" ref="E47">'Question_Bank'!E39</f>
        <v>A</v>
      </c>
      <c r="F47" t="str" s="97" cm="1">
        <f t="array" ref="F47">'Question_Bank'!F39</f>
        <v>Likert</v>
      </c>
      <c r="G47" t="str" s="97" cm="1">
        <f t="array" ref="G47">'Question_Bank'!G39</f>
        <v>I enjoy activities involving visual communication.</v>
      </c>
      <c r="H47" s="131" cm="1">
        <f t="array" ref="H47">'Question_Bank'!H39</f>
        <v>0</v>
      </c>
      <c r="I47" s="131" cm="1">
        <f t="array" ref="I47">'Question_Bank'!I39</f>
        <v>0</v>
      </c>
      <c r="J47" s="131" cm="1">
        <f t="array" ref="J47">'Question_Bank'!J39</f>
        <v>0</v>
      </c>
      <c r="K47" s="131" cm="1">
        <f t="array" ref="K47">'Question_Bank'!K39</f>
        <v>0</v>
      </c>
      <c r="L47" s="131" cm="1">
        <f t="array" ref="L47">'Question_Bank'!L39</f>
        <v>0</v>
      </c>
      <c r="M47" s="132"/>
      <c r="N47" t="str" s="97" cm="1">
        <f t="array" ref="N47">IF(M47="","",IF(F47="MCQ",IF(UPPER(M47)=UPPER(L47),1,0),IF(O47="Yes",6-VALUE(M47),VALUE(M47))))</f>
      </c>
      <c r="O47" t="str" s="97" cm="1">
        <f t="array" ref="O47">'Question_Bank'!N39</f>
        <v>No</v>
      </c>
      <c r="P47" s="133" cm="1">
        <f t="array" ref="P47">IF(F47="MCQ",1,5)</f>
        <v>5</v>
      </c>
    </row>
    <row r="48" ht="42" customHeight="1">
      <c r="A48" t="str" s="130" cm="1">
        <f t="array" ref="A48">'Question_Bank'!A40</f>
        <v>NPI0036</v>
      </c>
      <c r="B48" t="str" s="97" cm="1">
        <f t="array" ref="B48">'Question_Bank'!B40</f>
        <v>8-12</v>
      </c>
      <c r="C48" t="str" s="97" cm="1">
        <f t="array" ref="C48">'Question_Bank'!C40</f>
        <v>RIASEC Interest</v>
      </c>
      <c r="D48" t="str" s="97" cm="1">
        <f t="array" ref="D48">'Question_Bank'!D40</f>
        <v>Artistic</v>
      </c>
      <c r="E48" t="str" s="97" cm="1">
        <f t="array" ref="E48">'Question_Bank'!E40</f>
        <v>A</v>
      </c>
      <c r="F48" t="str" s="97" cm="1">
        <f t="array" ref="F48">'Question_Bank'!F40</f>
        <v>Likert</v>
      </c>
      <c r="G48" t="str" s="97" cm="1">
        <f t="array" ref="G48">'Question_Bank'!G40</f>
        <v>I enjoy activities involving storytelling.</v>
      </c>
      <c r="H48" s="131" cm="1">
        <f t="array" ref="H48">'Question_Bank'!H40</f>
        <v>0</v>
      </c>
      <c r="I48" s="131" cm="1">
        <f t="array" ref="I48">'Question_Bank'!I40</f>
        <v>0</v>
      </c>
      <c r="J48" s="131" cm="1">
        <f t="array" ref="J48">'Question_Bank'!J40</f>
        <v>0</v>
      </c>
      <c r="K48" s="131" cm="1">
        <f t="array" ref="K48">'Question_Bank'!K40</f>
        <v>0</v>
      </c>
      <c r="L48" s="131" cm="1">
        <f t="array" ref="L48">'Question_Bank'!L40</f>
        <v>0</v>
      </c>
      <c r="M48" s="132"/>
      <c r="N48" t="str" s="97" cm="1">
        <f t="array" ref="N48">IF(M48="","",IF(F48="MCQ",IF(UPPER(M48)=UPPER(L48),1,0),IF(O48="Yes",6-VALUE(M48),VALUE(M48))))</f>
      </c>
      <c r="O48" t="str" s="97" cm="1">
        <f t="array" ref="O48">'Question_Bank'!N40</f>
        <v>No</v>
      </c>
      <c r="P48" s="133" cm="1">
        <f t="array" ref="P48">IF(F48="MCQ",1,5)</f>
        <v>5</v>
      </c>
    </row>
    <row r="49" ht="42" customHeight="1">
      <c r="A49" t="str" s="130" cm="1">
        <f t="array" ref="A49">'Question_Bank'!A41</f>
        <v>NPI0037</v>
      </c>
      <c r="B49" t="str" s="97" cm="1">
        <f t="array" ref="B49">'Question_Bank'!B41</f>
        <v>8-12</v>
      </c>
      <c r="C49" t="str" s="97" cm="1">
        <f t="array" ref="C49">'Question_Bank'!C41</f>
        <v>RIASEC Interest</v>
      </c>
      <c r="D49" t="str" s="97" cm="1">
        <f t="array" ref="D49">'Question_Bank'!D41</f>
        <v>Artistic</v>
      </c>
      <c r="E49" t="str" s="97" cm="1">
        <f t="array" ref="E49">'Question_Bank'!E41</f>
        <v>A</v>
      </c>
      <c r="F49" t="str" s="97" cm="1">
        <f t="array" ref="F49">'Question_Bank'!F41</f>
        <v>Likert</v>
      </c>
      <c r="G49" t="str" s="97" cm="1">
        <f t="array" ref="G49">'Question_Bank'!G41</f>
        <v>I enjoy activities involving media creation.</v>
      </c>
      <c r="H49" s="131" cm="1">
        <f t="array" ref="H49">'Question_Bank'!H41</f>
        <v>0</v>
      </c>
      <c r="I49" s="131" cm="1">
        <f t="array" ref="I49">'Question_Bank'!I41</f>
        <v>0</v>
      </c>
      <c r="J49" s="131" cm="1">
        <f t="array" ref="J49">'Question_Bank'!J41</f>
        <v>0</v>
      </c>
      <c r="K49" s="131" cm="1">
        <f t="array" ref="K49">'Question_Bank'!K41</f>
        <v>0</v>
      </c>
      <c r="L49" s="131" cm="1">
        <f t="array" ref="L49">'Question_Bank'!L41</f>
        <v>0</v>
      </c>
      <c r="M49" s="132"/>
      <c r="N49" t="str" s="97" cm="1">
        <f t="array" ref="N49">IF(M49="","",IF(F49="MCQ",IF(UPPER(M49)=UPPER(L49),1,0),IF(O49="Yes",6-VALUE(M49),VALUE(M49))))</f>
      </c>
      <c r="O49" t="str" s="97" cm="1">
        <f t="array" ref="O49">'Question_Bank'!N41</f>
        <v>No</v>
      </c>
      <c r="P49" s="133" cm="1">
        <f t="array" ref="P49">IF(F49="MCQ",1,5)</f>
        <v>5</v>
      </c>
    </row>
    <row r="50" ht="42" customHeight="1">
      <c r="A50" t="str" s="130" cm="1">
        <f t="array" ref="A50">'Question_Bank'!A42</f>
        <v>NPI0038</v>
      </c>
      <c r="B50" t="str" s="97" cm="1">
        <f t="array" ref="B50">'Question_Bank'!B42</f>
        <v>8-12</v>
      </c>
      <c r="C50" t="str" s="97" cm="1">
        <f t="array" ref="C50">'Question_Bank'!C42</f>
        <v>RIASEC Interest</v>
      </c>
      <c r="D50" t="str" s="97" cm="1">
        <f t="array" ref="D50">'Question_Bank'!D42</f>
        <v>Artistic</v>
      </c>
      <c r="E50" t="str" s="97" cm="1">
        <f t="array" ref="E50">'Question_Bank'!E42</f>
        <v>A</v>
      </c>
      <c r="F50" t="str" s="97" cm="1">
        <f t="array" ref="F50">'Question_Bank'!F42</f>
        <v>Likert</v>
      </c>
      <c r="G50" t="str" s="97" cm="1">
        <f t="array" ref="G50">'Question_Bank'!G42</f>
        <v>I enjoy activities involving open-ended projects.</v>
      </c>
      <c r="H50" s="131" cm="1">
        <f t="array" ref="H50">'Question_Bank'!H42</f>
        <v>0</v>
      </c>
      <c r="I50" s="131" cm="1">
        <f t="array" ref="I50">'Question_Bank'!I42</f>
        <v>0</v>
      </c>
      <c r="J50" s="131" cm="1">
        <f t="array" ref="J50">'Question_Bank'!J42</f>
        <v>0</v>
      </c>
      <c r="K50" s="131" cm="1">
        <f t="array" ref="K50">'Question_Bank'!K42</f>
        <v>0</v>
      </c>
      <c r="L50" s="131" cm="1">
        <f t="array" ref="L50">'Question_Bank'!L42</f>
        <v>0</v>
      </c>
      <c r="M50" s="132"/>
      <c r="N50" t="str" s="97" cm="1">
        <f t="array" ref="N50">IF(M50="","",IF(F50="MCQ",IF(UPPER(M50)=UPPER(L50),1,0),IF(O50="Yes",6-VALUE(M50),VALUE(M50))))</f>
      </c>
      <c r="O50" t="str" s="97" cm="1">
        <f t="array" ref="O50">'Question_Bank'!N42</f>
        <v>No</v>
      </c>
      <c r="P50" s="133" cm="1">
        <f t="array" ref="P50">IF(F50="MCQ",1,5)</f>
        <v>5</v>
      </c>
    </row>
    <row r="51" ht="42" customHeight="1">
      <c r="A51" t="str" s="130" cm="1">
        <f t="array" ref="A51">'Question_Bank'!A43</f>
        <v>NPI0039</v>
      </c>
      <c r="B51" t="str" s="97" cm="1">
        <f t="array" ref="B51">'Question_Bank'!B43</f>
        <v>8-12</v>
      </c>
      <c r="C51" t="str" s="97" cm="1">
        <f t="array" ref="C51">'Question_Bank'!C43</f>
        <v>RIASEC Interest</v>
      </c>
      <c r="D51" t="str" s="97" cm="1">
        <f t="array" ref="D51">'Question_Bank'!D43</f>
        <v>Artistic</v>
      </c>
      <c r="E51" t="str" s="97" cm="1">
        <f t="array" ref="E51">'Question_Bank'!E43</f>
        <v>A</v>
      </c>
      <c r="F51" t="str" s="97" cm="1">
        <f t="array" ref="F51">'Question_Bank'!F43</f>
        <v>Likert</v>
      </c>
      <c r="G51" t="str" s="97" cm="1">
        <f t="array" ref="G51">'Question_Bank'!G43</f>
        <v>I enjoy activities involving aesthetic choices.</v>
      </c>
      <c r="H51" s="131" cm="1">
        <f t="array" ref="H51">'Question_Bank'!H43</f>
        <v>0</v>
      </c>
      <c r="I51" s="131" cm="1">
        <f t="array" ref="I51">'Question_Bank'!I43</f>
        <v>0</v>
      </c>
      <c r="J51" s="131" cm="1">
        <f t="array" ref="J51">'Question_Bank'!J43</f>
        <v>0</v>
      </c>
      <c r="K51" s="131" cm="1">
        <f t="array" ref="K51">'Question_Bank'!K43</f>
        <v>0</v>
      </c>
      <c r="L51" s="131" cm="1">
        <f t="array" ref="L51">'Question_Bank'!L43</f>
        <v>0</v>
      </c>
      <c r="M51" s="132"/>
      <c r="N51" t="str" s="97" cm="1">
        <f t="array" ref="N51">IF(M51="","",IF(F51="MCQ",IF(UPPER(M51)=UPPER(L51),1,0),IF(O51="Yes",6-VALUE(M51),VALUE(M51))))</f>
      </c>
      <c r="O51" t="str" s="97" cm="1">
        <f t="array" ref="O51">'Question_Bank'!N43</f>
        <v>No</v>
      </c>
      <c r="P51" s="133" cm="1">
        <f t="array" ref="P51">IF(F51="MCQ",1,5)</f>
        <v>5</v>
      </c>
    </row>
    <row r="52" ht="42" customHeight="1">
      <c r="A52" t="str" s="130" cm="1">
        <f t="array" ref="A52">'Question_Bank'!A44</f>
        <v>NPI0040</v>
      </c>
      <c r="B52" t="str" s="97" cm="1">
        <f t="array" ref="B52">'Question_Bank'!B44</f>
        <v>8-12</v>
      </c>
      <c r="C52" t="str" s="97" cm="1">
        <f t="array" ref="C52">'Question_Bank'!C44</f>
        <v>RIASEC Interest</v>
      </c>
      <c r="D52" t="str" s="97" cm="1">
        <f t="array" ref="D52">'Question_Bank'!D44</f>
        <v>Artistic</v>
      </c>
      <c r="E52" t="str" s="97" cm="1">
        <f t="array" ref="E52">'Question_Bank'!E44</f>
        <v>A</v>
      </c>
      <c r="F52" t="str" s="97" cm="1">
        <f t="array" ref="F52">'Question_Bank'!F44</f>
        <v>Likert</v>
      </c>
      <c r="G52" t="str" s="97" cm="1">
        <f t="array" ref="G52">'Question_Bank'!G44</f>
        <v>I enjoy activities involving imaginative assignments.</v>
      </c>
      <c r="H52" s="131" cm="1">
        <f t="array" ref="H52">'Question_Bank'!H44</f>
        <v>0</v>
      </c>
      <c r="I52" s="131" cm="1">
        <f t="array" ref="I52">'Question_Bank'!I44</f>
        <v>0</v>
      </c>
      <c r="J52" s="131" cm="1">
        <f t="array" ref="J52">'Question_Bank'!J44</f>
        <v>0</v>
      </c>
      <c r="K52" s="131" cm="1">
        <f t="array" ref="K52">'Question_Bank'!K44</f>
        <v>0</v>
      </c>
      <c r="L52" s="131" cm="1">
        <f t="array" ref="L52">'Question_Bank'!L44</f>
        <v>0</v>
      </c>
      <c r="M52" s="132"/>
      <c r="N52" t="str" s="97" cm="1">
        <f t="array" ref="N52">IF(M52="","",IF(F52="MCQ",IF(UPPER(M52)=UPPER(L52),1,0),IF(O52="Yes",6-VALUE(M52),VALUE(M52))))</f>
      </c>
      <c r="O52" t="str" s="97" cm="1">
        <f t="array" ref="O52">'Question_Bank'!N44</f>
        <v>No</v>
      </c>
      <c r="P52" s="133" cm="1">
        <f t="array" ref="P52">IF(F52="MCQ",1,5)</f>
        <v>5</v>
      </c>
    </row>
    <row r="53" ht="42" customHeight="1">
      <c r="A53" t="str" s="130" cm="1">
        <f t="array" ref="A53">'Question_Bank'!A45</f>
        <v>NPI0041</v>
      </c>
      <c r="B53" t="str" s="97" cm="1">
        <f t="array" ref="B53">'Question_Bank'!B45</f>
        <v>8-12</v>
      </c>
      <c r="C53" t="str" s="97" cm="1">
        <f t="array" ref="C53">'Question_Bank'!C45</f>
        <v>RIASEC Interest</v>
      </c>
      <c r="D53" t="str" s="97" cm="1">
        <f t="array" ref="D53">'Question_Bank'!D45</f>
        <v>Artistic</v>
      </c>
      <c r="E53" t="str" s="97" cm="1">
        <f t="array" ref="E53">'Question_Bank'!E45</f>
        <v>A</v>
      </c>
      <c r="F53" t="str" s="97" cm="1">
        <f t="array" ref="F53">'Question_Bank'!F45</f>
        <v>Likert</v>
      </c>
      <c r="G53" t="str" s="97" cm="1">
        <f t="array" ref="G53">'Question_Bank'!G45</f>
        <v>I enjoy activities involving designing posters.</v>
      </c>
      <c r="H53" s="131" cm="1">
        <f t="array" ref="H53">'Question_Bank'!H45</f>
        <v>0</v>
      </c>
      <c r="I53" s="131" cm="1">
        <f t="array" ref="I53">'Question_Bank'!I45</f>
        <v>0</v>
      </c>
      <c r="J53" s="131" cm="1">
        <f t="array" ref="J53">'Question_Bank'!J45</f>
        <v>0</v>
      </c>
      <c r="K53" s="131" cm="1">
        <f t="array" ref="K53">'Question_Bank'!K45</f>
        <v>0</v>
      </c>
      <c r="L53" s="131" cm="1">
        <f t="array" ref="L53">'Question_Bank'!L45</f>
        <v>0</v>
      </c>
      <c r="M53" s="132"/>
      <c r="N53" t="str" s="97" cm="1">
        <f t="array" ref="N53">IF(M53="","",IF(F53="MCQ",IF(UPPER(M53)=UPPER(L53),1,0),IF(O53="Yes",6-VALUE(M53),VALUE(M53))))</f>
      </c>
      <c r="O53" t="str" s="97" cm="1">
        <f t="array" ref="O53">'Question_Bank'!N45</f>
        <v>No</v>
      </c>
      <c r="P53" s="133" cm="1">
        <f t="array" ref="P53">IF(F53="MCQ",1,5)</f>
        <v>5</v>
      </c>
    </row>
    <row r="54" ht="42" customHeight="1">
      <c r="A54" t="str" s="130" cm="1">
        <f t="array" ref="A54">'Question_Bank'!A46</f>
        <v>NPI0042</v>
      </c>
      <c r="B54" t="str" s="97" cm="1">
        <f t="array" ref="B54">'Question_Bank'!B46</f>
        <v>8-12</v>
      </c>
      <c r="C54" t="str" s="97" cm="1">
        <f t="array" ref="C54">'Question_Bank'!C46</f>
        <v>RIASEC Interest</v>
      </c>
      <c r="D54" t="str" s="97" cm="1">
        <f t="array" ref="D54">'Question_Bank'!D46</f>
        <v>Artistic</v>
      </c>
      <c r="E54" t="str" s="97" cm="1">
        <f t="array" ref="E54">'Question_Bank'!E46</f>
        <v>A</v>
      </c>
      <c r="F54" t="str" s="97" cm="1">
        <f t="array" ref="F54">'Question_Bank'!F46</f>
        <v>Likert</v>
      </c>
      <c r="G54" t="str" s="97" cm="1">
        <f t="array" ref="G54">'Question_Bank'!G46</f>
        <v>I enjoy activities involving creating videos.</v>
      </c>
      <c r="H54" s="131" cm="1">
        <f t="array" ref="H54">'Question_Bank'!H46</f>
        <v>0</v>
      </c>
      <c r="I54" s="131" cm="1">
        <f t="array" ref="I54">'Question_Bank'!I46</f>
        <v>0</v>
      </c>
      <c r="J54" s="131" cm="1">
        <f t="array" ref="J54">'Question_Bank'!J46</f>
        <v>0</v>
      </c>
      <c r="K54" s="131" cm="1">
        <f t="array" ref="K54">'Question_Bank'!K46</f>
        <v>0</v>
      </c>
      <c r="L54" s="131" cm="1">
        <f t="array" ref="L54">'Question_Bank'!L46</f>
        <v>0</v>
      </c>
      <c r="M54" s="132"/>
      <c r="N54" t="str" s="97" cm="1">
        <f t="array" ref="N54">IF(M54="","",IF(F54="MCQ",IF(UPPER(M54)=UPPER(L54),1,0),IF(O54="Yes",6-VALUE(M54),VALUE(M54))))</f>
      </c>
      <c r="O54" t="str" s="97" cm="1">
        <f t="array" ref="O54">'Question_Bank'!N46</f>
        <v>No</v>
      </c>
      <c r="P54" s="133" cm="1">
        <f t="array" ref="P54">IF(F54="MCQ",1,5)</f>
        <v>5</v>
      </c>
    </row>
    <row r="55" ht="42" customHeight="1">
      <c r="A55" t="str" s="130" cm="1">
        <f t="array" ref="A55">'Question_Bank'!A47</f>
        <v>NPI0043</v>
      </c>
      <c r="B55" t="str" s="97" cm="1">
        <f t="array" ref="B55">'Question_Bank'!B47</f>
        <v>8-12</v>
      </c>
      <c r="C55" t="str" s="97" cm="1">
        <f t="array" ref="C55">'Question_Bank'!C47</f>
        <v>RIASEC Interest</v>
      </c>
      <c r="D55" t="str" s="97" cm="1">
        <f t="array" ref="D55">'Question_Bank'!D47</f>
        <v>Artistic</v>
      </c>
      <c r="E55" t="str" s="97" cm="1">
        <f t="array" ref="E55">'Question_Bank'!E47</f>
        <v>A</v>
      </c>
      <c r="F55" t="str" s="97" cm="1">
        <f t="array" ref="F55">'Question_Bank'!F47</f>
        <v>Likert</v>
      </c>
      <c r="G55" t="str" s="97" cm="1">
        <f t="array" ref="G55">'Question_Bank'!G47</f>
        <v>I enjoy activities involving expressing emotions.</v>
      </c>
      <c r="H55" s="131" cm="1">
        <f t="array" ref="H55">'Question_Bank'!H47</f>
        <v>0</v>
      </c>
      <c r="I55" s="131" cm="1">
        <f t="array" ref="I55">'Question_Bank'!I47</f>
        <v>0</v>
      </c>
      <c r="J55" s="131" cm="1">
        <f t="array" ref="J55">'Question_Bank'!J47</f>
        <v>0</v>
      </c>
      <c r="K55" s="131" cm="1">
        <f t="array" ref="K55">'Question_Bank'!K47</f>
        <v>0</v>
      </c>
      <c r="L55" s="131" cm="1">
        <f t="array" ref="L55">'Question_Bank'!L47</f>
        <v>0</v>
      </c>
      <c r="M55" s="132"/>
      <c r="N55" t="str" s="97" cm="1">
        <f t="array" ref="N55">IF(M55="","",IF(F55="MCQ",IF(UPPER(M55)=UPPER(L55),1,0),IF(O55="Yes",6-VALUE(M55),VALUE(M55))))</f>
      </c>
      <c r="O55" t="str" s="97" cm="1">
        <f t="array" ref="O55">'Question_Bank'!N47</f>
        <v>No</v>
      </c>
      <c r="P55" s="133" cm="1">
        <f t="array" ref="P55">IF(F55="MCQ",1,5)</f>
        <v>5</v>
      </c>
    </row>
    <row r="56" ht="42" customHeight="1">
      <c r="A56" t="str" s="130" cm="1">
        <f t="array" ref="A56">'Question_Bank'!A48</f>
        <v>NPI0044</v>
      </c>
      <c r="B56" t="str" s="97" cm="1">
        <f t="array" ref="B56">'Question_Bank'!B48</f>
        <v>8-12</v>
      </c>
      <c r="C56" t="str" s="97" cm="1">
        <f t="array" ref="C56">'Question_Bank'!C48</f>
        <v>RIASEC Interest</v>
      </c>
      <c r="D56" t="str" s="97" cm="1">
        <f t="array" ref="D56">'Question_Bank'!D48</f>
        <v>Artistic</v>
      </c>
      <c r="E56" t="str" s="97" cm="1">
        <f t="array" ref="E56">'Question_Bank'!E48</f>
        <v>A</v>
      </c>
      <c r="F56" t="str" s="97" cm="1">
        <f t="array" ref="F56">'Question_Bank'!F48</f>
        <v>Likert</v>
      </c>
      <c r="G56" t="str" s="97" cm="1">
        <f t="array" ref="G56">'Question_Bank'!G48</f>
        <v>I enjoy activities involving creative technology.</v>
      </c>
      <c r="H56" s="131" cm="1">
        <f t="array" ref="H56">'Question_Bank'!H48</f>
        <v>0</v>
      </c>
      <c r="I56" s="131" cm="1">
        <f t="array" ref="I56">'Question_Bank'!I48</f>
        <v>0</v>
      </c>
      <c r="J56" s="131" cm="1">
        <f t="array" ref="J56">'Question_Bank'!J48</f>
        <v>0</v>
      </c>
      <c r="K56" s="131" cm="1">
        <f t="array" ref="K56">'Question_Bank'!K48</f>
        <v>0</v>
      </c>
      <c r="L56" s="131" cm="1">
        <f t="array" ref="L56">'Question_Bank'!L48</f>
        <v>0</v>
      </c>
      <c r="M56" s="132"/>
      <c r="N56" t="str" s="97" cm="1">
        <f t="array" ref="N56">IF(M56="","",IF(F56="MCQ",IF(UPPER(M56)=UPPER(L56),1,0),IF(O56="Yes",6-VALUE(M56),VALUE(M56))))</f>
      </c>
      <c r="O56" t="str" s="97" cm="1">
        <f t="array" ref="O56">'Question_Bank'!N48</f>
        <v>No</v>
      </c>
      <c r="P56" s="133" cm="1">
        <f t="array" ref="P56">IF(F56="MCQ",1,5)</f>
        <v>5</v>
      </c>
    </row>
    <row r="57" ht="42" customHeight="1">
      <c r="A57" t="str" s="130" cm="1">
        <f t="array" ref="A57">'Question_Bank'!A49</f>
        <v>NPI0045</v>
      </c>
      <c r="B57" t="str" s="97" cm="1">
        <f t="array" ref="B57">'Question_Bank'!B49</f>
        <v>8-12</v>
      </c>
      <c r="C57" t="str" s="97" cm="1">
        <f t="array" ref="C57">'Question_Bank'!C49</f>
        <v>RIASEC Interest</v>
      </c>
      <c r="D57" t="str" s="97" cm="1">
        <f t="array" ref="D57">'Question_Bank'!D49</f>
        <v>Artistic</v>
      </c>
      <c r="E57" t="str" s="97" cm="1">
        <f t="array" ref="E57">'Question_Bank'!E49</f>
        <v>A</v>
      </c>
      <c r="F57" t="str" s="97" cm="1">
        <f t="array" ref="F57">'Question_Bank'!F49</f>
        <v>Likert</v>
      </c>
      <c r="G57" t="str" s="97" cm="1">
        <f t="array" ref="G57">'Question_Bank'!G49</f>
        <v>I enjoy activities involving portfolio work.</v>
      </c>
      <c r="H57" s="131" cm="1">
        <f t="array" ref="H57">'Question_Bank'!H49</f>
        <v>0</v>
      </c>
      <c r="I57" s="131" cm="1">
        <f t="array" ref="I57">'Question_Bank'!I49</f>
        <v>0</v>
      </c>
      <c r="J57" s="131" cm="1">
        <f t="array" ref="J57">'Question_Bank'!J49</f>
        <v>0</v>
      </c>
      <c r="K57" s="131" cm="1">
        <f t="array" ref="K57">'Question_Bank'!K49</f>
        <v>0</v>
      </c>
      <c r="L57" s="131" cm="1">
        <f t="array" ref="L57">'Question_Bank'!L49</f>
        <v>0</v>
      </c>
      <c r="M57" s="132"/>
      <c r="N57" t="str" s="97" cm="1">
        <f t="array" ref="N57">IF(M57="","",IF(F57="MCQ",IF(UPPER(M57)=UPPER(L57),1,0),IF(O57="Yes",6-VALUE(M57),VALUE(M57))))</f>
      </c>
      <c r="O57" t="str" s="97" cm="1">
        <f t="array" ref="O57">'Question_Bank'!N49</f>
        <v>No</v>
      </c>
      <c r="P57" s="133" cm="1">
        <f t="array" ref="P57">IF(F57="MCQ",1,5)</f>
        <v>5</v>
      </c>
    </row>
    <row r="58" ht="42" customHeight="1">
      <c r="A58" t="str" s="130" cm="1">
        <f t="array" ref="A58">'Question_Bank'!A50</f>
        <v>NPI0046</v>
      </c>
      <c r="B58" t="str" s="97" cm="1">
        <f t="array" ref="B58">'Question_Bank'!B50</f>
        <v>8-12</v>
      </c>
      <c r="C58" t="str" s="97" cm="1">
        <f t="array" ref="C58">'Question_Bank'!C50</f>
        <v>RIASEC Interest</v>
      </c>
      <c r="D58" t="str" s="97" cm="1">
        <f t="array" ref="D58">'Question_Bank'!D50</f>
        <v>Social</v>
      </c>
      <c r="E58" t="str" s="97" cm="1">
        <f t="array" ref="E58">'Question_Bank'!E50</f>
        <v>S</v>
      </c>
      <c r="F58" t="str" s="97" cm="1">
        <f t="array" ref="F58">'Question_Bank'!F50</f>
        <v>Likert</v>
      </c>
      <c r="G58" t="str" s="97" cm="1">
        <f t="array" ref="G58">'Question_Bank'!G50</f>
        <v>I enjoy activities involving helping classmates.</v>
      </c>
      <c r="H58" s="131" cm="1">
        <f t="array" ref="H58">'Question_Bank'!H50</f>
        <v>0</v>
      </c>
      <c r="I58" s="131" cm="1">
        <f t="array" ref="I58">'Question_Bank'!I50</f>
        <v>0</v>
      </c>
      <c r="J58" s="131" cm="1">
        <f t="array" ref="J58">'Question_Bank'!J50</f>
        <v>0</v>
      </c>
      <c r="K58" s="131" cm="1">
        <f t="array" ref="K58">'Question_Bank'!K50</f>
        <v>0</v>
      </c>
      <c r="L58" s="131" cm="1">
        <f t="array" ref="L58">'Question_Bank'!L50</f>
        <v>0</v>
      </c>
      <c r="M58" s="132"/>
      <c r="N58" t="str" s="97" cm="1">
        <f t="array" ref="N58">IF(M58="","",IF(F58="MCQ",IF(UPPER(M58)=UPPER(L58),1,0),IF(O58="Yes",6-VALUE(M58),VALUE(M58))))</f>
      </c>
      <c r="O58" t="str" s="97" cm="1">
        <f t="array" ref="O58">'Question_Bank'!N50</f>
        <v>No</v>
      </c>
      <c r="P58" s="133" cm="1">
        <f t="array" ref="P58">IF(F58="MCQ",1,5)</f>
        <v>5</v>
      </c>
    </row>
    <row r="59" ht="42" customHeight="1">
      <c r="A59" t="str" s="130" cm="1">
        <f t="array" ref="A59">'Question_Bank'!A51</f>
        <v>NPI0047</v>
      </c>
      <c r="B59" t="str" s="97" cm="1">
        <f t="array" ref="B59">'Question_Bank'!B51</f>
        <v>8-12</v>
      </c>
      <c r="C59" t="str" s="97" cm="1">
        <f t="array" ref="C59">'Question_Bank'!C51</f>
        <v>RIASEC Interest</v>
      </c>
      <c r="D59" t="str" s="97" cm="1">
        <f t="array" ref="D59">'Question_Bank'!D51</f>
        <v>Social</v>
      </c>
      <c r="E59" t="str" s="97" cm="1">
        <f t="array" ref="E59">'Question_Bank'!E51</f>
        <v>S</v>
      </c>
      <c r="F59" t="str" s="97" cm="1">
        <f t="array" ref="F59">'Question_Bank'!F51</f>
        <v>Likert</v>
      </c>
      <c r="G59" t="str" s="97" cm="1">
        <f t="array" ref="G59">'Question_Bank'!G51</f>
        <v>I enjoy activities involving listening to others.</v>
      </c>
      <c r="H59" s="131" cm="1">
        <f t="array" ref="H59">'Question_Bank'!H51</f>
        <v>0</v>
      </c>
      <c r="I59" s="131" cm="1">
        <f t="array" ref="I59">'Question_Bank'!I51</f>
        <v>0</v>
      </c>
      <c r="J59" s="131" cm="1">
        <f t="array" ref="J59">'Question_Bank'!J51</f>
        <v>0</v>
      </c>
      <c r="K59" s="131" cm="1">
        <f t="array" ref="K59">'Question_Bank'!K51</f>
        <v>0</v>
      </c>
      <c r="L59" s="131" cm="1">
        <f t="array" ref="L59">'Question_Bank'!L51</f>
        <v>0</v>
      </c>
      <c r="M59" s="132"/>
      <c r="N59" t="str" s="97" cm="1">
        <f t="array" ref="N59">IF(M59="","",IF(F59="MCQ",IF(UPPER(M59)=UPPER(L59),1,0),IF(O59="Yes",6-VALUE(M59),VALUE(M59))))</f>
      </c>
      <c r="O59" t="str" s="97" cm="1">
        <f t="array" ref="O59">'Question_Bank'!N51</f>
        <v>No</v>
      </c>
      <c r="P59" s="133" cm="1">
        <f t="array" ref="P59">IF(F59="MCQ",1,5)</f>
        <v>5</v>
      </c>
    </row>
    <row r="60" ht="42" customHeight="1">
      <c r="A60" t="str" s="130" cm="1">
        <f t="array" ref="A60">'Question_Bank'!A52</f>
        <v>NPI0048</v>
      </c>
      <c r="B60" t="str" s="97" cm="1">
        <f t="array" ref="B60">'Question_Bank'!B52</f>
        <v>8-12</v>
      </c>
      <c r="C60" t="str" s="97" cm="1">
        <f t="array" ref="C60">'Question_Bank'!C52</f>
        <v>RIASEC Interest</v>
      </c>
      <c r="D60" t="str" s="97" cm="1">
        <f t="array" ref="D60">'Question_Bank'!D52</f>
        <v>Social</v>
      </c>
      <c r="E60" t="str" s="97" cm="1">
        <f t="array" ref="E60">'Question_Bank'!E52</f>
        <v>S</v>
      </c>
      <c r="F60" t="str" s="97" cm="1">
        <f t="array" ref="F60">'Question_Bank'!F52</f>
        <v>Likert</v>
      </c>
      <c r="G60" t="str" s="97" cm="1">
        <f t="array" ref="G60">'Question_Bank'!G52</f>
        <v>I enjoy activities involving teaching younger students.</v>
      </c>
      <c r="H60" s="131" cm="1">
        <f t="array" ref="H60">'Question_Bank'!H52</f>
        <v>0</v>
      </c>
      <c r="I60" s="131" cm="1">
        <f t="array" ref="I60">'Question_Bank'!I52</f>
        <v>0</v>
      </c>
      <c r="J60" s="131" cm="1">
        <f t="array" ref="J60">'Question_Bank'!J52</f>
        <v>0</v>
      </c>
      <c r="K60" s="131" cm="1">
        <f t="array" ref="K60">'Question_Bank'!K52</f>
        <v>0</v>
      </c>
      <c r="L60" s="131" cm="1">
        <f t="array" ref="L60">'Question_Bank'!L52</f>
        <v>0</v>
      </c>
      <c r="M60" s="132"/>
      <c r="N60" t="str" s="97" cm="1">
        <f t="array" ref="N60">IF(M60="","",IF(F60="MCQ",IF(UPPER(M60)=UPPER(L60),1,0),IF(O60="Yes",6-VALUE(M60),VALUE(M60))))</f>
      </c>
      <c r="O60" t="str" s="97" cm="1">
        <f t="array" ref="O60">'Question_Bank'!N52</f>
        <v>No</v>
      </c>
      <c r="P60" s="133" cm="1">
        <f t="array" ref="P60">IF(F60="MCQ",1,5)</f>
        <v>5</v>
      </c>
    </row>
    <row r="61" ht="42" customHeight="1">
      <c r="A61" t="str" s="130" cm="1">
        <f t="array" ref="A61">'Question_Bank'!A53</f>
        <v>NPI0049</v>
      </c>
      <c r="B61" t="str" s="97" cm="1">
        <f t="array" ref="B61">'Question_Bank'!B53</f>
        <v>8-12</v>
      </c>
      <c r="C61" t="str" s="97" cm="1">
        <f t="array" ref="C61">'Question_Bank'!C53</f>
        <v>RIASEC Interest</v>
      </c>
      <c r="D61" t="str" s="97" cm="1">
        <f t="array" ref="D61">'Question_Bank'!D53</f>
        <v>Social</v>
      </c>
      <c r="E61" t="str" s="97" cm="1">
        <f t="array" ref="E61">'Question_Bank'!E53</f>
        <v>S</v>
      </c>
      <c r="F61" t="str" s="97" cm="1">
        <f t="array" ref="F61">'Question_Bank'!F53</f>
        <v>Likert</v>
      </c>
      <c r="G61" t="str" s="97" cm="1">
        <f t="array" ref="G61">'Question_Bank'!G53</f>
        <v>I enjoy activities involving counseling or mentoring.</v>
      </c>
      <c r="H61" s="131" cm="1">
        <f t="array" ref="H61">'Question_Bank'!H53</f>
        <v>0</v>
      </c>
      <c r="I61" s="131" cm="1">
        <f t="array" ref="I61">'Question_Bank'!I53</f>
        <v>0</v>
      </c>
      <c r="J61" s="131" cm="1">
        <f t="array" ref="J61">'Question_Bank'!J53</f>
        <v>0</v>
      </c>
      <c r="K61" s="131" cm="1">
        <f t="array" ref="K61">'Question_Bank'!K53</f>
        <v>0</v>
      </c>
      <c r="L61" s="131" cm="1">
        <f t="array" ref="L61">'Question_Bank'!L53</f>
        <v>0</v>
      </c>
      <c r="M61" s="132"/>
      <c r="N61" t="str" s="97" cm="1">
        <f t="array" ref="N61">IF(M61="","",IF(F61="MCQ",IF(UPPER(M61)=UPPER(L61),1,0),IF(O61="Yes",6-VALUE(M61),VALUE(M61))))</f>
      </c>
      <c r="O61" t="str" s="97" cm="1">
        <f t="array" ref="O61">'Question_Bank'!N53</f>
        <v>No</v>
      </c>
      <c r="P61" s="133" cm="1">
        <f t="array" ref="P61">IF(F61="MCQ",1,5)</f>
        <v>5</v>
      </c>
    </row>
    <row r="62" ht="42" customHeight="1">
      <c r="A62" t="str" s="130" cm="1">
        <f t="array" ref="A62">'Question_Bank'!A54</f>
        <v>NPI0050</v>
      </c>
      <c r="B62" t="str" s="97" cm="1">
        <f t="array" ref="B62">'Question_Bank'!B54</f>
        <v>8-12</v>
      </c>
      <c r="C62" t="str" s="97" cm="1">
        <f t="array" ref="C62">'Question_Bank'!C54</f>
        <v>RIASEC Interest</v>
      </c>
      <c r="D62" t="str" s="97" cm="1">
        <f t="array" ref="D62">'Question_Bank'!D54</f>
        <v>Social</v>
      </c>
      <c r="E62" t="str" s="97" cm="1">
        <f t="array" ref="E62">'Question_Bank'!E54</f>
        <v>S</v>
      </c>
      <c r="F62" t="str" s="97" cm="1">
        <f t="array" ref="F62">'Question_Bank'!F54</f>
        <v>Likert</v>
      </c>
      <c r="G62" t="str" s="97" cm="1">
        <f t="array" ref="G62">'Question_Bank'!G54</f>
        <v>I enjoy activities involving team support.</v>
      </c>
      <c r="H62" s="131" cm="1">
        <f t="array" ref="H62">'Question_Bank'!H54</f>
        <v>0</v>
      </c>
      <c r="I62" s="131" cm="1">
        <f t="array" ref="I62">'Question_Bank'!I54</f>
        <v>0</v>
      </c>
      <c r="J62" s="131" cm="1">
        <f t="array" ref="J62">'Question_Bank'!J54</f>
        <v>0</v>
      </c>
      <c r="K62" s="131" cm="1">
        <f t="array" ref="K62">'Question_Bank'!K54</f>
        <v>0</v>
      </c>
      <c r="L62" s="131" cm="1">
        <f t="array" ref="L62">'Question_Bank'!L54</f>
        <v>0</v>
      </c>
      <c r="M62" s="132"/>
      <c r="N62" t="str" s="97" cm="1">
        <f t="array" ref="N62">IF(M62="","",IF(F62="MCQ",IF(UPPER(M62)=UPPER(L62),1,0),IF(O62="Yes",6-VALUE(M62),VALUE(M62))))</f>
      </c>
      <c r="O62" t="str" s="97" cm="1">
        <f t="array" ref="O62">'Question_Bank'!N54</f>
        <v>No</v>
      </c>
      <c r="P62" s="133" cm="1">
        <f t="array" ref="P62">IF(F62="MCQ",1,5)</f>
        <v>5</v>
      </c>
    </row>
    <row r="63" ht="42" customHeight="1">
      <c r="A63" t="str" s="130" cm="1">
        <f t="array" ref="A63">'Question_Bank'!A55</f>
        <v>NPI0051</v>
      </c>
      <c r="B63" t="str" s="97" cm="1">
        <f t="array" ref="B63">'Question_Bank'!B55</f>
        <v>8-12</v>
      </c>
      <c r="C63" t="str" s="97" cm="1">
        <f t="array" ref="C63">'Question_Bank'!C55</f>
        <v>RIASEC Interest</v>
      </c>
      <c r="D63" t="str" s="97" cm="1">
        <f t="array" ref="D63">'Question_Bank'!D55</f>
        <v>Social</v>
      </c>
      <c r="E63" t="str" s="97" cm="1">
        <f t="array" ref="E63">'Question_Bank'!E55</f>
        <v>S</v>
      </c>
      <c r="F63" t="str" s="97" cm="1">
        <f t="array" ref="F63">'Question_Bank'!F55</f>
        <v>Likert</v>
      </c>
      <c r="G63" t="str" s="97" cm="1">
        <f t="array" ref="G63">'Question_Bank'!G55</f>
        <v>I enjoy activities involving community service.</v>
      </c>
      <c r="H63" s="131" cm="1">
        <f t="array" ref="H63">'Question_Bank'!H55</f>
        <v>0</v>
      </c>
      <c r="I63" s="131" cm="1">
        <f t="array" ref="I63">'Question_Bank'!I55</f>
        <v>0</v>
      </c>
      <c r="J63" s="131" cm="1">
        <f t="array" ref="J63">'Question_Bank'!J55</f>
        <v>0</v>
      </c>
      <c r="K63" s="131" cm="1">
        <f t="array" ref="K63">'Question_Bank'!K55</f>
        <v>0</v>
      </c>
      <c r="L63" s="131" cm="1">
        <f t="array" ref="L63">'Question_Bank'!L55</f>
        <v>0</v>
      </c>
      <c r="M63" s="132"/>
      <c r="N63" t="str" s="97" cm="1">
        <f t="array" ref="N63">IF(M63="","",IF(F63="MCQ",IF(UPPER(M63)=UPPER(L63),1,0),IF(O63="Yes",6-VALUE(M63),VALUE(M63))))</f>
      </c>
      <c r="O63" t="str" s="97" cm="1">
        <f t="array" ref="O63">'Question_Bank'!N55</f>
        <v>No</v>
      </c>
      <c r="P63" s="133" cm="1">
        <f t="array" ref="P63">IF(F63="MCQ",1,5)</f>
        <v>5</v>
      </c>
    </row>
    <row r="64" ht="42" customHeight="1">
      <c r="A64" t="str" s="130" cm="1">
        <f t="array" ref="A64">'Question_Bank'!A56</f>
        <v>NPI0052</v>
      </c>
      <c r="B64" t="str" s="97" cm="1">
        <f t="array" ref="B64">'Question_Bank'!B56</f>
        <v>8-12</v>
      </c>
      <c r="C64" t="str" s="97" cm="1">
        <f t="array" ref="C64">'Question_Bank'!C56</f>
        <v>RIASEC Interest</v>
      </c>
      <c r="D64" t="str" s="97" cm="1">
        <f t="array" ref="D64">'Question_Bank'!D56</f>
        <v>Social</v>
      </c>
      <c r="E64" t="str" s="97" cm="1">
        <f t="array" ref="E64">'Question_Bank'!E56</f>
        <v>S</v>
      </c>
      <c r="F64" t="str" s="97" cm="1">
        <f t="array" ref="F64">'Question_Bank'!F56</f>
        <v>Likert</v>
      </c>
      <c r="G64" t="str" s="97" cm="1">
        <f t="array" ref="G64">'Question_Bank'!G56</f>
        <v>I enjoy activities involving patient explanation.</v>
      </c>
      <c r="H64" s="131" cm="1">
        <f t="array" ref="H64">'Question_Bank'!H56</f>
        <v>0</v>
      </c>
      <c r="I64" s="131" cm="1">
        <f t="array" ref="I64">'Question_Bank'!I56</f>
        <v>0</v>
      </c>
      <c r="J64" s="131" cm="1">
        <f t="array" ref="J64">'Question_Bank'!J56</f>
        <v>0</v>
      </c>
      <c r="K64" s="131" cm="1">
        <f t="array" ref="K64">'Question_Bank'!K56</f>
        <v>0</v>
      </c>
      <c r="L64" s="131" cm="1">
        <f t="array" ref="L64">'Question_Bank'!L56</f>
        <v>0</v>
      </c>
      <c r="M64" s="132"/>
      <c r="N64" t="str" s="97" cm="1">
        <f t="array" ref="N64">IF(M64="","",IF(F64="MCQ",IF(UPPER(M64)=UPPER(L64),1,0),IF(O64="Yes",6-VALUE(M64),VALUE(M64))))</f>
      </c>
      <c r="O64" t="str" s="97" cm="1">
        <f t="array" ref="O64">'Question_Bank'!N56</f>
        <v>No</v>
      </c>
      <c r="P64" s="133" cm="1">
        <f t="array" ref="P64">IF(F64="MCQ",1,5)</f>
        <v>5</v>
      </c>
    </row>
    <row r="65" ht="42" customHeight="1">
      <c r="A65" t="str" s="130" cm="1">
        <f t="array" ref="A65">'Question_Bank'!A57</f>
        <v>NPI0053</v>
      </c>
      <c r="B65" t="str" s="97" cm="1">
        <f t="array" ref="B65">'Question_Bank'!B57</f>
        <v>8-12</v>
      </c>
      <c r="C65" t="str" s="97" cm="1">
        <f t="array" ref="C65">'Question_Bank'!C57</f>
        <v>RIASEC Interest</v>
      </c>
      <c r="D65" t="str" s="97" cm="1">
        <f t="array" ref="D65">'Question_Bank'!D57</f>
        <v>Social</v>
      </c>
      <c r="E65" t="str" s="97" cm="1">
        <f t="array" ref="E65">'Question_Bank'!E57</f>
        <v>S</v>
      </c>
      <c r="F65" t="str" s="97" cm="1">
        <f t="array" ref="F65">'Question_Bank'!F57</f>
        <v>Likert</v>
      </c>
      <c r="G65" t="str" s="97" cm="1">
        <f t="array" ref="G65">'Question_Bank'!G57</f>
        <v>I enjoy activities involving including others.</v>
      </c>
      <c r="H65" s="131" cm="1">
        <f t="array" ref="H65">'Question_Bank'!H57</f>
        <v>0</v>
      </c>
      <c r="I65" s="131" cm="1">
        <f t="array" ref="I65">'Question_Bank'!I57</f>
        <v>0</v>
      </c>
      <c r="J65" s="131" cm="1">
        <f t="array" ref="J65">'Question_Bank'!J57</f>
        <v>0</v>
      </c>
      <c r="K65" s="131" cm="1">
        <f t="array" ref="K65">'Question_Bank'!K57</f>
        <v>0</v>
      </c>
      <c r="L65" s="131" cm="1">
        <f t="array" ref="L65">'Question_Bank'!L57</f>
        <v>0</v>
      </c>
      <c r="M65" s="132"/>
      <c r="N65" t="str" s="97" cm="1">
        <f t="array" ref="N65">IF(M65="","",IF(F65="MCQ",IF(UPPER(M65)=UPPER(L65),1,0),IF(O65="Yes",6-VALUE(M65),VALUE(M65))))</f>
      </c>
      <c r="O65" t="str" s="97" cm="1">
        <f t="array" ref="O65">'Question_Bank'!N57</f>
        <v>No</v>
      </c>
      <c r="P65" s="133" cm="1">
        <f t="array" ref="P65">IF(F65="MCQ",1,5)</f>
        <v>5</v>
      </c>
    </row>
    <row r="66" ht="42" customHeight="1">
      <c r="A66" t="str" s="130" cm="1">
        <f t="array" ref="A66">'Question_Bank'!A58</f>
        <v>NPI0054</v>
      </c>
      <c r="B66" t="str" s="97" cm="1">
        <f t="array" ref="B66">'Question_Bank'!B58</f>
        <v>8-12</v>
      </c>
      <c r="C66" t="str" s="97" cm="1">
        <f t="array" ref="C66">'Question_Bank'!C58</f>
        <v>RIASEC Interest</v>
      </c>
      <c r="D66" t="str" s="97" cm="1">
        <f t="array" ref="D66">'Question_Bank'!D58</f>
        <v>Social</v>
      </c>
      <c r="E66" t="str" s="97" cm="1">
        <f t="array" ref="E66">'Question_Bank'!E58</f>
        <v>S</v>
      </c>
      <c r="F66" t="str" s="97" cm="1">
        <f t="array" ref="F66">'Question_Bank'!F58</f>
        <v>Likert</v>
      </c>
      <c r="G66" t="str" s="97" cm="1">
        <f t="array" ref="G66">'Question_Bank'!G58</f>
        <v>I enjoy activities involving understanding feelings.</v>
      </c>
      <c r="H66" s="131" cm="1">
        <f t="array" ref="H66">'Question_Bank'!H58</f>
        <v>0</v>
      </c>
      <c r="I66" s="131" cm="1">
        <f t="array" ref="I66">'Question_Bank'!I58</f>
        <v>0</v>
      </c>
      <c r="J66" s="131" cm="1">
        <f t="array" ref="J66">'Question_Bank'!J58</f>
        <v>0</v>
      </c>
      <c r="K66" s="131" cm="1">
        <f t="array" ref="K66">'Question_Bank'!K58</f>
        <v>0</v>
      </c>
      <c r="L66" s="131" cm="1">
        <f t="array" ref="L66">'Question_Bank'!L58</f>
        <v>0</v>
      </c>
      <c r="M66" s="132"/>
      <c r="N66" t="str" s="97" cm="1">
        <f t="array" ref="N66">IF(M66="","",IF(F66="MCQ",IF(UPPER(M66)=UPPER(L66),1,0),IF(O66="Yes",6-VALUE(M66),VALUE(M66))))</f>
      </c>
      <c r="O66" t="str" s="97" cm="1">
        <f t="array" ref="O66">'Question_Bank'!N58</f>
        <v>No</v>
      </c>
      <c r="P66" s="133" cm="1">
        <f t="array" ref="P66">IF(F66="MCQ",1,5)</f>
        <v>5</v>
      </c>
    </row>
    <row r="67" ht="42" customHeight="1">
      <c r="A67" t="str" s="130" cm="1">
        <f t="array" ref="A67">'Question_Bank'!A59</f>
        <v>NPI0055</v>
      </c>
      <c r="B67" t="str" s="97" cm="1">
        <f t="array" ref="B67">'Question_Bank'!B59</f>
        <v>8-12</v>
      </c>
      <c r="C67" t="str" s="97" cm="1">
        <f t="array" ref="C67">'Question_Bank'!C59</f>
        <v>RIASEC Interest</v>
      </c>
      <c r="D67" t="str" s="97" cm="1">
        <f t="array" ref="D67">'Question_Bank'!D59</f>
        <v>Social</v>
      </c>
      <c r="E67" t="str" s="97" cm="1">
        <f t="array" ref="E67">'Question_Bank'!E59</f>
        <v>S</v>
      </c>
      <c r="F67" t="str" s="97" cm="1">
        <f t="array" ref="F67">'Question_Bank'!F59</f>
        <v>Likert</v>
      </c>
      <c r="G67" t="str" s="97" cm="1">
        <f t="array" ref="G67">'Question_Bank'!G59</f>
        <v>I enjoy activities involving healthcare roles.</v>
      </c>
      <c r="H67" s="131" cm="1">
        <f t="array" ref="H67">'Question_Bank'!H59</f>
        <v>0</v>
      </c>
      <c r="I67" s="131" cm="1">
        <f t="array" ref="I67">'Question_Bank'!I59</f>
        <v>0</v>
      </c>
      <c r="J67" s="131" cm="1">
        <f t="array" ref="J67">'Question_Bank'!J59</f>
        <v>0</v>
      </c>
      <c r="K67" s="131" cm="1">
        <f t="array" ref="K67">'Question_Bank'!K59</f>
        <v>0</v>
      </c>
      <c r="L67" s="131" cm="1">
        <f t="array" ref="L67">'Question_Bank'!L59</f>
        <v>0</v>
      </c>
      <c r="M67" s="132"/>
      <c r="N67" t="str" s="97" cm="1">
        <f t="array" ref="N67">IF(M67="","",IF(F67="MCQ",IF(UPPER(M67)=UPPER(L67),1,0),IF(O67="Yes",6-VALUE(M67),VALUE(M67))))</f>
      </c>
      <c r="O67" t="str" s="97" cm="1">
        <f t="array" ref="O67">'Question_Bank'!N59</f>
        <v>No</v>
      </c>
      <c r="P67" s="133" cm="1">
        <f t="array" ref="P67">IF(F67="MCQ",1,5)</f>
        <v>5</v>
      </c>
    </row>
    <row r="68" ht="42" customHeight="1">
      <c r="A68" t="str" s="130" cm="1">
        <f t="array" ref="A68">'Question_Bank'!A60</f>
        <v>NPI0056</v>
      </c>
      <c r="B68" t="str" s="97" cm="1">
        <f t="array" ref="B68">'Question_Bank'!B60</f>
        <v>8-12</v>
      </c>
      <c r="C68" t="str" s="97" cm="1">
        <f t="array" ref="C68">'Question_Bank'!C60</f>
        <v>RIASEC Interest</v>
      </c>
      <c r="D68" t="str" s="97" cm="1">
        <f t="array" ref="D68">'Question_Bank'!D60</f>
        <v>Social</v>
      </c>
      <c r="E68" t="str" s="97" cm="1">
        <f t="array" ref="E68">'Question_Bank'!E60</f>
        <v>S</v>
      </c>
      <c r="F68" t="str" s="97" cm="1">
        <f t="array" ref="F68">'Question_Bank'!F60</f>
        <v>Likert</v>
      </c>
      <c r="G68" t="str" s="97" cm="1">
        <f t="array" ref="G68">'Question_Bank'!G60</f>
        <v>I enjoy activities involving psychology topics.</v>
      </c>
      <c r="H68" s="131" cm="1">
        <f t="array" ref="H68">'Question_Bank'!H60</f>
        <v>0</v>
      </c>
      <c r="I68" s="131" cm="1">
        <f t="array" ref="I68">'Question_Bank'!I60</f>
        <v>0</v>
      </c>
      <c r="J68" s="131" cm="1">
        <f t="array" ref="J68">'Question_Bank'!J60</f>
        <v>0</v>
      </c>
      <c r="K68" s="131" cm="1">
        <f t="array" ref="K68">'Question_Bank'!K60</f>
        <v>0</v>
      </c>
      <c r="L68" s="131" cm="1">
        <f t="array" ref="L68">'Question_Bank'!L60</f>
        <v>0</v>
      </c>
      <c r="M68" s="132"/>
      <c r="N68" t="str" s="97" cm="1">
        <f t="array" ref="N68">IF(M68="","",IF(F68="MCQ",IF(UPPER(M68)=UPPER(L68),1,0),IF(O68="Yes",6-VALUE(M68),VALUE(M68))))</f>
      </c>
      <c r="O68" t="str" s="97" cm="1">
        <f t="array" ref="O68">'Question_Bank'!N60</f>
        <v>No</v>
      </c>
      <c r="P68" s="133" cm="1">
        <f t="array" ref="P68">IF(F68="MCQ",1,5)</f>
        <v>5</v>
      </c>
    </row>
    <row r="69" ht="42" customHeight="1">
      <c r="A69" t="str" s="130" cm="1">
        <f t="array" ref="A69">'Question_Bank'!A61</f>
        <v>NPI0057</v>
      </c>
      <c r="B69" t="str" s="97" cm="1">
        <f t="array" ref="B69">'Question_Bank'!B61</f>
        <v>8-12</v>
      </c>
      <c r="C69" t="str" s="97" cm="1">
        <f t="array" ref="C69">'Question_Bank'!C61</f>
        <v>RIASEC Interest</v>
      </c>
      <c r="D69" t="str" s="97" cm="1">
        <f t="array" ref="D69">'Question_Bank'!D61</f>
        <v>Social</v>
      </c>
      <c r="E69" t="str" s="97" cm="1">
        <f t="array" ref="E69">'Question_Bank'!E61</f>
        <v>S</v>
      </c>
      <c r="F69" t="str" s="97" cm="1">
        <f t="array" ref="F69">'Question_Bank'!F61</f>
        <v>Likert</v>
      </c>
      <c r="G69" t="str" s="97" cm="1">
        <f t="array" ref="G69">'Question_Bank'!G61</f>
        <v>I enjoy activities involving peer support.</v>
      </c>
      <c r="H69" s="131" cm="1">
        <f t="array" ref="H69">'Question_Bank'!H61</f>
        <v>0</v>
      </c>
      <c r="I69" s="131" cm="1">
        <f t="array" ref="I69">'Question_Bank'!I61</f>
        <v>0</v>
      </c>
      <c r="J69" s="131" cm="1">
        <f t="array" ref="J69">'Question_Bank'!J61</f>
        <v>0</v>
      </c>
      <c r="K69" s="131" cm="1">
        <f t="array" ref="K69">'Question_Bank'!K61</f>
        <v>0</v>
      </c>
      <c r="L69" s="131" cm="1">
        <f t="array" ref="L69">'Question_Bank'!L61</f>
        <v>0</v>
      </c>
      <c r="M69" s="132"/>
      <c r="N69" t="str" s="97" cm="1">
        <f t="array" ref="N69">IF(M69="","",IF(F69="MCQ",IF(UPPER(M69)=UPPER(L69),1,0),IF(O69="Yes",6-VALUE(M69),VALUE(M69))))</f>
      </c>
      <c r="O69" t="str" s="97" cm="1">
        <f t="array" ref="O69">'Question_Bank'!N61</f>
        <v>No</v>
      </c>
      <c r="P69" s="133" cm="1">
        <f t="array" ref="P69">IF(F69="MCQ",1,5)</f>
        <v>5</v>
      </c>
    </row>
    <row r="70" ht="42" customHeight="1">
      <c r="A70" t="str" s="130" cm="1">
        <f t="array" ref="A70">'Question_Bank'!A62</f>
        <v>NPI0058</v>
      </c>
      <c r="B70" t="str" s="97" cm="1">
        <f t="array" ref="B70">'Question_Bank'!B62</f>
        <v>8-12</v>
      </c>
      <c r="C70" t="str" s="97" cm="1">
        <f t="array" ref="C70">'Question_Bank'!C62</f>
        <v>RIASEC Interest</v>
      </c>
      <c r="D70" t="str" s="97" cm="1">
        <f t="array" ref="D70">'Question_Bank'!D62</f>
        <v>Social</v>
      </c>
      <c r="E70" t="str" s="97" cm="1">
        <f t="array" ref="E70">'Question_Bank'!E62</f>
        <v>S</v>
      </c>
      <c r="F70" t="str" s="97" cm="1">
        <f t="array" ref="F70">'Question_Bank'!F62</f>
        <v>Likert</v>
      </c>
      <c r="G70" t="str" s="97" cm="1">
        <f t="array" ref="G70">'Question_Bank'!G62</f>
        <v>I enjoy activities involving volunteering.</v>
      </c>
      <c r="H70" s="131" cm="1">
        <f t="array" ref="H70">'Question_Bank'!H62</f>
        <v>0</v>
      </c>
      <c r="I70" s="131" cm="1">
        <f t="array" ref="I70">'Question_Bank'!I62</f>
        <v>0</v>
      </c>
      <c r="J70" s="131" cm="1">
        <f t="array" ref="J70">'Question_Bank'!J62</f>
        <v>0</v>
      </c>
      <c r="K70" s="131" cm="1">
        <f t="array" ref="K70">'Question_Bank'!K62</f>
        <v>0</v>
      </c>
      <c r="L70" s="131" cm="1">
        <f t="array" ref="L70">'Question_Bank'!L62</f>
        <v>0</v>
      </c>
      <c r="M70" s="132"/>
      <c r="N70" t="str" s="97" cm="1">
        <f t="array" ref="N70">IF(M70="","",IF(F70="MCQ",IF(UPPER(M70)=UPPER(L70),1,0),IF(O70="Yes",6-VALUE(M70),VALUE(M70))))</f>
      </c>
      <c r="O70" t="str" s="97" cm="1">
        <f t="array" ref="O70">'Question_Bank'!N62</f>
        <v>No</v>
      </c>
      <c r="P70" s="133" cm="1">
        <f t="array" ref="P70">IF(F70="MCQ",1,5)</f>
        <v>5</v>
      </c>
    </row>
    <row r="71" ht="42" customHeight="1">
      <c r="A71" t="str" s="130" cm="1">
        <f t="array" ref="A71">'Question_Bank'!A63</f>
        <v>NPI0059</v>
      </c>
      <c r="B71" t="str" s="97" cm="1">
        <f t="array" ref="B71">'Question_Bank'!B63</f>
        <v>8-12</v>
      </c>
      <c r="C71" t="str" s="97" cm="1">
        <f t="array" ref="C71">'Question_Bank'!C63</f>
        <v>RIASEC Interest</v>
      </c>
      <c r="D71" t="str" s="97" cm="1">
        <f t="array" ref="D71">'Question_Bank'!D63</f>
        <v>Social</v>
      </c>
      <c r="E71" t="str" s="97" cm="1">
        <f t="array" ref="E71">'Question_Bank'!E63</f>
        <v>S</v>
      </c>
      <c r="F71" t="str" s="97" cm="1">
        <f t="array" ref="F71">'Question_Bank'!F63</f>
        <v>Likert</v>
      </c>
      <c r="G71" t="str" s="97" cm="1">
        <f t="array" ref="G71">'Question_Bank'!G63</f>
        <v>I enjoy activities involving conflict resolution.</v>
      </c>
      <c r="H71" s="131" cm="1">
        <f t="array" ref="H71">'Question_Bank'!H63</f>
        <v>0</v>
      </c>
      <c r="I71" s="131" cm="1">
        <f t="array" ref="I71">'Question_Bank'!I63</f>
        <v>0</v>
      </c>
      <c r="J71" s="131" cm="1">
        <f t="array" ref="J71">'Question_Bank'!J63</f>
        <v>0</v>
      </c>
      <c r="K71" s="131" cm="1">
        <f t="array" ref="K71">'Question_Bank'!K63</f>
        <v>0</v>
      </c>
      <c r="L71" s="131" cm="1">
        <f t="array" ref="L71">'Question_Bank'!L63</f>
        <v>0</v>
      </c>
      <c r="M71" s="132"/>
      <c r="N71" t="str" s="97" cm="1">
        <f t="array" ref="N71">IF(M71="","",IF(F71="MCQ",IF(UPPER(M71)=UPPER(L71),1,0),IF(O71="Yes",6-VALUE(M71),VALUE(M71))))</f>
      </c>
      <c r="O71" t="str" s="97" cm="1">
        <f t="array" ref="O71">'Question_Bank'!N63</f>
        <v>No</v>
      </c>
      <c r="P71" s="133" cm="1">
        <f t="array" ref="P71">IF(F71="MCQ",1,5)</f>
        <v>5</v>
      </c>
    </row>
    <row r="72" ht="42" customHeight="1">
      <c r="A72" t="str" s="130" cm="1">
        <f t="array" ref="A72">'Question_Bank'!A64</f>
        <v>NPI0060</v>
      </c>
      <c r="B72" t="str" s="97" cm="1">
        <f t="array" ref="B72">'Question_Bank'!B64</f>
        <v>8-12</v>
      </c>
      <c r="C72" t="str" s="97" cm="1">
        <f t="array" ref="C72">'Question_Bank'!C64</f>
        <v>RIASEC Interest</v>
      </c>
      <c r="D72" t="str" s="97" cm="1">
        <f t="array" ref="D72">'Question_Bank'!D64</f>
        <v>Social</v>
      </c>
      <c r="E72" t="str" s="97" cm="1">
        <f t="array" ref="E72">'Question_Bank'!E64</f>
        <v>S</v>
      </c>
      <c r="F72" t="str" s="97" cm="1">
        <f t="array" ref="F72">'Question_Bank'!F64</f>
        <v>Likert</v>
      </c>
      <c r="G72" t="str" s="97" cm="1">
        <f t="array" ref="G72">'Question_Bank'!G64</f>
        <v>I enjoy activities involving cooperative projects.</v>
      </c>
      <c r="H72" s="131" cm="1">
        <f t="array" ref="H72">'Question_Bank'!H64</f>
        <v>0</v>
      </c>
      <c r="I72" s="131" cm="1">
        <f t="array" ref="I72">'Question_Bank'!I64</f>
        <v>0</v>
      </c>
      <c r="J72" s="131" cm="1">
        <f t="array" ref="J72">'Question_Bank'!J64</f>
        <v>0</v>
      </c>
      <c r="K72" s="131" cm="1">
        <f t="array" ref="K72">'Question_Bank'!K64</f>
        <v>0</v>
      </c>
      <c r="L72" s="131" cm="1">
        <f t="array" ref="L72">'Question_Bank'!L64</f>
        <v>0</v>
      </c>
      <c r="M72" s="132"/>
      <c r="N72" t="str" s="97" cm="1">
        <f t="array" ref="N72">IF(M72="","",IF(F72="MCQ",IF(UPPER(M72)=UPPER(L72),1,0),IF(O72="Yes",6-VALUE(M72),VALUE(M72))))</f>
      </c>
      <c r="O72" t="str" s="97" cm="1">
        <f t="array" ref="O72">'Question_Bank'!N64</f>
        <v>No</v>
      </c>
      <c r="P72" s="133" cm="1">
        <f t="array" ref="P72">IF(F72="MCQ",1,5)</f>
        <v>5</v>
      </c>
    </row>
    <row r="73" ht="42" customHeight="1">
      <c r="A73" t="str" s="130" cm="1">
        <f t="array" ref="A73">'Question_Bank'!A65</f>
        <v>NPI0061</v>
      </c>
      <c r="B73" t="str" s="97" cm="1">
        <f t="array" ref="B73">'Question_Bank'!B65</f>
        <v>8-12</v>
      </c>
      <c r="C73" t="str" s="97" cm="1">
        <f t="array" ref="C73">'Question_Bank'!C65</f>
        <v>RIASEC Interest</v>
      </c>
      <c r="D73" t="str" s="97" cm="1">
        <f t="array" ref="D73">'Question_Bank'!D65</f>
        <v>Enterprising</v>
      </c>
      <c r="E73" t="str" s="97" cm="1">
        <f t="array" ref="E73">'Question_Bank'!E65</f>
        <v>E</v>
      </c>
      <c r="F73" t="str" s="97" cm="1">
        <f t="array" ref="F73">'Question_Bank'!F65</f>
        <v>Likert</v>
      </c>
      <c r="G73" t="str" s="97" cm="1">
        <f t="array" ref="G73">'Question_Bank'!G65</f>
        <v>I enjoy activities involving leading groups.</v>
      </c>
      <c r="H73" s="131" cm="1">
        <f t="array" ref="H73">'Question_Bank'!H65</f>
        <v>0</v>
      </c>
      <c r="I73" s="131" cm="1">
        <f t="array" ref="I73">'Question_Bank'!I65</f>
        <v>0</v>
      </c>
      <c r="J73" s="131" cm="1">
        <f t="array" ref="J73">'Question_Bank'!J65</f>
        <v>0</v>
      </c>
      <c r="K73" s="131" cm="1">
        <f t="array" ref="K73">'Question_Bank'!K65</f>
        <v>0</v>
      </c>
      <c r="L73" s="131" cm="1">
        <f t="array" ref="L73">'Question_Bank'!L65</f>
        <v>0</v>
      </c>
      <c r="M73" s="132"/>
      <c r="N73" t="str" s="97" cm="1">
        <f t="array" ref="N73">IF(M73="","",IF(F73="MCQ",IF(UPPER(M73)=UPPER(L73),1,0),IF(O73="Yes",6-VALUE(M73),VALUE(M73))))</f>
      </c>
      <c r="O73" t="str" s="97" cm="1">
        <f t="array" ref="O73">'Question_Bank'!N65</f>
        <v>No</v>
      </c>
      <c r="P73" s="133" cm="1">
        <f t="array" ref="P73">IF(F73="MCQ",1,5)</f>
        <v>5</v>
      </c>
    </row>
    <row r="74" ht="42" customHeight="1">
      <c r="A74" t="str" s="130" cm="1">
        <f t="array" ref="A74">'Question_Bank'!A66</f>
        <v>NPI0062</v>
      </c>
      <c r="B74" t="str" s="97" cm="1">
        <f t="array" ref="B74">'Question_Bank'!B66</f>
        <v>8-12</v>
      </c>
      <c r="C74" t="str" s="97" cm="1">
        <f t="array" ref="C74">'Question_Bank'!C66</f>
        <v>RIASEC Interest</v>
      </c>
      <c r="D74" t="str" s="97" cm="1">
        <f t="array" ref="D74">'Question_Bank'!D66</f>
        <v>Enterprising</v>
      </c>
      <c r="E74" t="str" s="97" cm="1">
        <f t="array" ref="E74">'Question_Bank'!E66</f>
        <v>E</v>
      </c>
      <c r="F74" t="str" s="97" cm="1">
        <f t="array" ref="F74">'Question_Bank'!F66</f>
        <v>Likert</v>
      </c>
      <c r="G74" t="str" s="97" cm="1">
        <f t="array" ref="G74">'Question_Bank'!G66</f>
        <v>I enjoy activities involving presenting ideas.</v>
      </c>
      <c r="H74" s="131" cm="1">
        <f t="array" ref="H74">'Question_Bank'!H66</f>
        <v>0</v>
      </c>
      <c r="I74" s="131" cm="1">
        <f t="array" ref="I74">'Question_Bank'!I66</f>
        <v>0</v>
      </c>
      <c r="J74" s="131" cm="1">
        <f t="array" ref="J74">'Question_Bank'!J66</f>
        <v>0</v>
      </c>
      <c r="K74" s="131" cm="1">
        <f t="array" ref="K74">'Question_Bank'!K66</f>
        <v>0</v>
      </c>
      <c r="L74" s="131" cm="1">
        <f t="array" ref="L74">'Question_Bank'!L66</f>
        <v>0</v>
      </c>
      <c r="M74" s="132"/>
      <c r="N74" t="str" s="97" cm="1">
        <f t="array" ref="N74">IF(M74="","",IF(F74="MCQ",IF(UPPER(M74)=UPPER(L74),1,0),IF(O74="Yes",6-VALUE(M74),VALUE(M74))))</f>
      </c>
      <c r="O74" t="str" s="97" cm="1">
        <f t="array" ref="O74">'Question_Bank'!N66</f>
        <v>No</v>
      </c>
      <c r="P74" s="133" cm="1">
        <f t="array" ref="P74">IF(F74="MCQ",1,5)</f>
        <v>5</v>
      </c>
    </row>
    <row r="75" ht="42" customHeight="1">
      <c r="A75" t="str" s="130" cm="1">
        <f t="array" ref="A75">'Question_Bank'!A67</f>
        <v>NPI0063</v>
      </c>
      <c r="B75" t="str" s="97" cm="1">
        <f t="array" ref="B75">'Question_Bank'!B67</f>
        <v>8-12</v>
      </c>
      <c r="C75" t="str" s="97" cm="1">
        <f t="array" ref="C75">'Question_Bank'!C67</f>
        <v>RIASEC Interest</v>
      </c>
      <c r="D75" t="str" s="97" cm="1">
        <f t="array" ref="D75">'Question_Bank'!D67</f>
        <v>Enterprising</v>
      </c>
      <c r="E75" t="str" s="97" cm="1">
        <f t="array" ref="E75">'Question_Bank'!E67</f>
        <v>E</v>
      </c>
      <c r="F75" t="str" s="97" cm="1">
        <f t="array" ref="F75">'Question_Bank'!F67</f>
        <v>Likert</v>
      </c>
      <c r="G75" t="str" s="97" cm="1">
        <f t="array" ref="G75">'Question_Bank'!G67</f>
        <v>I enjoy activities involving persuading others.</v>
      </c>
      <c r="H75" s="131" cm="1">
        <f t="array" ref="H75">'Question_Bank'!H67</f>
        <v>0</v>
      </c>
      <c r="I75" s="131" cm="1">
        <f t="array" ref="I75">'Question_Bank'!I67</f>
        <v>0</v>
      </c>
      <c r="J75" s="131" cm="1">
        <f t="array" ref="J75">'Question_Bank'!J67</f>
        <v>0</v>
      </c>
      <c r="K75" s="131" cm="1">
        <f t="array" ref="K75">'Question_Bank'!K67</f>
        <v>0</v>
      </c>
      <c r="L75" s="131" cm="1">
        <f t="array" ref="L75">'Question_Bank'!L67</f>
        <v>0</v>
      </c>
      <c r="M75" s="132"/>
      <c r="N75" t="str" s="97" cm="1">
        <f t="array" ref="N75">IF(M75="","",IF(F75="MCQ",IF(UPPER(M75)=UPPER(L75),1,0),IF(O75="Yes",6-VALUE(M75),VALUE(M75))))</f>
      </c>
      <c r="O75" t="str" s="97" cm="1">
        <f t="array" ref="O75">'Question_Bank'!N67</f>
        <v>No</v>
      </c>
      <c r="P75" s="133" cm="1">
        <f t="array" ref="P75">IF(F75="MCQ",1,5)</f>
        <v>5</v>
      </c>
    </row>
    <row r="76" ht="42" customHeight="1">
      <c r="A76" t="str" s="130" cm="1">
        <f t="array" ref="A76">'Question_Bank'!A68</f>
        <v>NPI0064</v>
      </c>
      <c r="B76" t="str" s="97" cm="1">
        <f t="array" ref="B76">'Question_Bank'!B68</f>
        <v>8-12</v>
      </c>
      <c r="C76" t="str" s="97" cm="1">
        <f t="array" ref="C76">'Question_Bank'!C68</f>
        <v>RIASEC Interest</v>
      </c>
      <c r="D76" t="str" s="97" cm="1">
        <f t="array" ref="D76">'Question_Bank'!D68</f>
        <v>Enterprising</v>
      </c>
      <c r="E76" t="str" s="97" cm="1">
        <f t="array" ref="E76">'Question_Bank'!E68</f>
        <v>E</v>
      </c>
      <c r="F76" t="str" s="97" cm="1">
        <f t="array" ref="F76">'Question_Bank'!F68</f>
        <v>Likert</v>
      </c>
      <c r="G76" t="str" s="97" cm="1">
        <f t="array" ref="G76">'Question_Bank'!G68</f>
        <v>I enjoy activities involving starting initiatives.</v>
      </c>
      <c r="H76" s="131" cm="1">
        <f t="array" ref="H76">'Question_Bank'!H68</f>
        <v>0</v>
      </c>
      <c r="I76" s="131" cm="1">
        <f t="array" ref="I76">'Question_Bank'!I68</f>
        <v>0</v>
      </c>
      <c r="J76" s="131" cm="1">
        <f t="array" ref="J76">'Question_Bank'!J68</f>
        <v>0</v>
      </c>
      <c r="K76" s="131" cm="1">
        <f t="array" ref="K76">'Question_Bank'!K68</f>
        <v>0</v>
      </c>
      <c r="L76" s="131" cm="1">
        <f t="array" ref="L76">'Question_Bank'!L68</f>
        <v>0</v>
      </c>
      <c r="M76" s="132"/>
      <c r="N76" t="str" s="97" cm="1">
        <f t="array" ref="N76">IF(M76="","",IF(F76="MCQ",IF(UPPER(M76)=UPPER(L76),1,0),IF(O76="Yes",6-VALUE(M76),VALUE(M76))))</f>
      </c>
      <c r="O76" t="str" s="97" cm="1">
        <f t="array" ref="O76">'Question_Bank'!N68</f>
        <v>No</v>
      </c>
      <c r="P76" s="133" cm="1">
        <f t="array" ref="P76">IF(F76="MCQ",1,5)</f>
        <v>5</v>
      </c>
    </row>
    <row r="77" ht="42" customHeight="1">
      <c r="A77" t="str" s="130" cm="1">
        <f t="array" ref="A77">'Question_Bank'!A69</f>
        <v>NPI0065</v>
      </c>
      <c r="B77" t="str" s="97" cm="1">
        <f t="array" ref="B77">'Question_Bank'!B69</f>
        <v>8-12</v>
      </c>
      <c r="C77" t="str" s="97" cm="1">
        <f t="array" ref="C77">'Question_Bank'!C69</f>
        <v>RIASEC Interest</v>
      </c>
      <c r="D77" t="str" s="97" cm="1">
        <f t="array" ref="D77">'Question_Bank'!D69</f>
        <v>Enterprising</v>
      </c>
      <c r="E77" t="str" s="97" cm="1">
        <f t="array" ref="E77">'Question_Bank'!E69</f>
        <v>E</v>
      </c>
      <c r="F77" t="str" s="97" cm="1">
        <f t="array" ref="F77">'Question_Bank'!F69</f>
        <v>Likert</v>
      </c>
      <c r="G77" t="str" s="97" cm="1">
        <f t="array" ref="G77">'Question_Bank'!G69</f>
        <v>I enjoy activities involving business activities.</v>
      </c>
      <c r="H77" s="131" cm="1">
        <f t="array" ref="H77">'Question_Bank'!H69</f>
        <v>0</v>
      </c>
      <c r="I77" s="131" cm="1">
        <f t="array" ref="I77">'Question_Bank'!I69</f>
        <v>0</v>
      </c>
      <c r="J77" s="131" cm="1">
        <f t="array" ref="J77">'Question_Bank'!J69</f>
        <v>0</v>
      </c>
      <c r="K77" s="131" cm="1">
        <f t="array" ref="K77">'Question_Bank'!K69</f>
        <v>0</v>
      </c>
      <c r="L77" s="131" cm="1">
        <f t="array" ref="L77">'Question_Bank'!L69</f>
        <v>0</v>
      </c>
      <c r="M77" s="132"/>
      <c r="N77" t="str" s="97" cm="1">
        <f t="array" ref="N77">IF(M77="","",IF(F77="MCQ",IF(UPPER(M77)=UPPER(L77),1,0),IF(O77="Yes",6-VALUE(M77),VALUE(M77))))</f>
      </c>
      <c r="O77" t="str" s="97" cm="1">
        <f t="array" ref="O77">'Question_Bank'!N69</f>
        <v>No</v>
      </c>
      <c r="P77" s="133" cm="1">
        <f t="array" ref="P77">IF(F77="MCQ",1,5)</f>
        <v>5</v>
      </c>
    </row>
    <row r="78" ht="42" customHeight="1">
      <c r="A78" t="str" s="130" cm="1">
        <f t="array" ref="A78">'Question_Bank'!A70</f>
        <v>NPI0066</v>
      </c>
      <c r="B78" t="str" s="97" cm="1">
        <f t="array" ref="B78">'Question_Bank'!B70</f>
        <v>8-12</v>
      </c>
      <c r="C78" t="str" s="97" cm="1">
        <f t="array" ref="C78">'Question_Bank'!C70</f>
        <v>RIASEC Interest</v>
      </c>
      <c r="D78" t="str" s="97" cm="1">
        <f t="array" ref="D78">'Question_Bank'!D70</f>
        <v>Enterprising</v>
      </c>
      <c r="E78" t="str" s="97" cm="1">
        <f t="array" ref="E78">'Question_Bank'!E70</f>
        <v>E</v>
      </c>
      <c r="F78" t="str" s="97" cm="1">
        <f t="array" ref="F78">'Question_Bank'!F70</f>
        <v>Likert</v>
      </c>
      <c r="G78" t="str" s="97" cm="1">
        <f t="array" ref="G78">'Question_Bank'!G70</f>
        <v>I enjoy activities involving debates.</v>
      </c>
      <c r="H78" s="131" cm="1">
        <f t="array" ref="H78">'Question_Bank'!H70</f>
        <v>0</v>
      </c>
      <c r="I78" s="131" cm="1">
        <f t="array" ref="I78">'Question_Bank'!I70</f>
        <v>0</v>
      </c>
      <c r="J78" s="131" cm="1">
        <f t="array" ref="J78">'Question_Bank'!J70</f>
        <v>0</v>
      </c>
      <c r="K78" s="131" cm="1">
        <f t="array" ref="K78">'Question_Bank'!K70</f>
        <v>0</v>
      </c>
      <c r="L78" s="131" cm="1">
        <f t="array" ref="L78">'Question_Bank'!L70</f>
        <v>0</v>
      </c>
      <c r="M78" s="132"/>
      <c r="N78" t="str" s="97" cm="1">
        <f t="array" ref="N78">IF(M78="","",IF(F78="MCQ",IF(UPPER(M78)=UPPER(L78),1,0),IF(O78="Yes",6-VALUE(M78),VALUE(M78))))</f>
      </c>
      <c r="O78" t="str" s="97" cm="1">
        <f t="array" ref="O78">'Question_Bank'!N70</f>
        <v>No</v>
      </c>
      <c r="P78" s="133" cm="1">
        <f t="array" ref="P78">IF(F78="MCQ",1,5)</f>
        <v>5</v>
      </c>
    </row>
    <row r="79" ht="42" customHeight="1">
      <c r="A79" t="str" s="130" cm="1">
        <f t="array" ref="A79">'Question_Bank'!A71</f>
        <v>NPI0067</v>
      </c>
      <c r="B79" t="str" s="97" cm="1">
        <f t="array" ref="B79">'Question_Bank'!B71</f>
        <v>8-12</v>
      </c>
      <c r="C79" t="str" s="97" cm="1">
        <f t="array" ref="C79">'Question_Bank'!C71</f>
        <v>RIASEC Interest</v>
      </c>
      <c r="D79" t="str" s="97" cm="1">
        <f t="array" ref="D79">'Question_Bank'!D71</f>
        <v>Enterprising</v>
      </c>
      <c r="E79" t="str" s="97" cm="1">
        <f t="array" ref="E79">'Question_Bank'!E71</f>
        <v>E</v>
      </c>
      <c r="F79" t="str" s="97" cm="1">
        <f t="array" ref="F79">'Question_Bank'!F71</f>
        <v>Likert</v>
      </c>
      <c r="G79" t="str" s="97" cm="1">
        <f t="array" ref="G79">'Question_Bank'!G71</f>
        <v>I enjoy activities involving campaign planning.</v>
      </c>
      <c r="H79" s="131" cm="1">
        <f t="array" ref="H79">'Question_Bank'!H71</f>
        <v>0</v>
      </c>
      <c r="I79" s="131" cm="1">
        <f t="array" ref="I79">'Question_Bank'!I71</f>
        <v>0</v>
      </c>
      <c r="J79" s="131" cm="1">
        <f t="array" ref="J79">'Question_Bank'!J71</f>
        <v>0</v>
      </c>
      <c r="K79" s="131" cm="1">
        <f t="array" ref="K79">'Question_Bank'!K71</f>
        <v>0</v>
      </c>
      <c r="L79" s="131" cm="1">
        <f t="array" ref="L79">'Question_Bank'!L71</f>
        <v>0</v>
      </c>
      <c r="M79" s="132"/>
      <c r="N79" t="str" s="97" cm="1">
        <f t="array" ref="N79">IF(M79="","",IF(F79="MCQ",IF(UPPER(M79)=UPPER(L79),1,0),IF(O79="Yes",6-VALUE(M79),VALUE(M79))))</f>
      </c>
      <c r="O79" t="str" s="97" cm="1">
        <f t="array" ref="O79">'Question_Bank'!N71</f>
        <v>No</v>
      </c>
      <c r="P79" s="133" cm="1">
        <f t="array" ref="P79">IF(F79="MCQ",1,5)</f>
        <v>5</v>
      </c>
    </row>
    <row r="80" ht="42" customHeight="1">
      <c r="A80" t="str" s="130" cm="1">
        <f t="array" ref="A80">'Question_Bank'!A72</f>
        <v>NPI0068</v>
      </c>
      <c r="B80" t="str" s="97" cm="1">
        <f t="array" ref="B80">'Question_Bank'!B72</f>
        <v>8-12</v>
      </c>
      <c r="C80" t="str" s="97" cm="1">
        <f t="array" ref="C80">'Question_Bank'!C72</f>
        <v>RIASEC Interest</v>
      </c>
      <c r="D80" t="str" s="97" cm="1">
        <f t="array" ref="D80">'Question_Bank'!D72</f>
        <v>Enterprising</v>
      </c>
      <c r="E80" t="str" s="97" cm="1">
        <f t="array" ref="E80">'Question_Bank'!E72</f>
        <v>E</v>
      </c>
      <c r="F80" t="str" s="97" cm="1">
        <f t="array" ref="F80">'Question_Bank'!F72</f>
        <v>Likert</v>
      </c>
      <c r="G80" t="str" s="97" cm="1">
        <f t="array" ref="G80">'Question_Bank'!G72</f>
        <v>I enjoy activities involving decision-making.</v>
      </c>
      <c r="H80" s="131" cm="1">
        <f t="array" ref="H80">'Question_Bank'!H72</f>
        <v>0</v>
      </c>
      <c r="I80" s="131" cm="1">
        <f t="array" ref="I80">'Question_Bank'!I72</f>
        <v>0</v>
      </c>
      <c r="J80" s="131" cm="1">
        <f t="array" ref="J80">'Question_Bank'!J72</f>
        <v>0</v>
      </c>
      <c r="K80" s="131" cm="1">
        <f t="array" ref="K80">'Question_Bank'!K72</f>
        <v>0</v>
      </c>
      <c r="L80" s="131" cm="1">
        <f t="array" ref="L80">'Question_Bank'!L72</f>
        <v>0</v>
      </c>
      <c r="M80" s="132"/>
      <c r="N80" t="str" s="97" cm="1">
        <f t="array" ref="N80">IF(M80="","",IF(F80="MCQ",IF(UPPER(M80)=UPPER(L80),1,0),IF(O80="Yes",6-VALUE(M80),VALUE(M80))))</f>
      </c>
      <c r="O80" t="str" s="97" cm="1">
        <f t="array" ref="O80">'Question_Bank'!N72</f>
        <v>No</v>
      </c>
      <c r="P80" s="133" cm="1">
        <f t="array" ref="P80">IF(F80="MCQ",1,5)</f>
        <v>5</v>
      </c>
    </row>
    <row r="81" ht="42" customHeight="1">
      <c r="A81" t="str" s="130" cm="1">
        <f t="array" ref="A81">'Question_Bank'!A73</f>
        <v>NPI0069</v>
      </c>
      <c r="B81" t="str" s="97" cm="1">
        <f t="array" ref="B81">'Question_Bank'!B73</f>
        <v>8-12</v>
      </c>
      <c r="C81" t="str" s="97" cm="1">
        <f t="array" ref="C81">'Question_Bank'!C73</f>
        <v>RIASEC Interest</v>
      </c>
      <c r="D81" t="str" s="97" cm="1">
        <f t="array" ref="D81">'Question_Bank'!D73</f>
        <v>Enterprising</v>
      </c>
      <c r="E81" t="str" s="97" cm="1">
        <f t="array" ref="E81">'Question_Bank'!E73</f>
        <v>E</v>
      </c>
      <c r="F81" t="str" s="97" cm="1">
        <f t="array" ref="F81">'Question_Bank'!F73</f>
        <v>Likert</v>
      </c>
      <c r="G81" t="str" s="97" cm="1">
        <f t="array" ref="G81">'Question_Bank'!G73</f>
        <v>I enjoy activities involving entrepreneurship.</v>
      </c>
      <c r="H81" s="131" cm="1">
        <f t="array" ref="H81">'Question_Bank'!H73</f>
        <v>0</v>
      </c>
      <c r="I81" s="131" cm="1">
        <f t="array" ref="I81">'Question_Bank'!I73</f>
        <v>0</v>
      </c>
      <c r="J81" s="131" cm="1">
        <f t="array" ref="J81">'Question_Bank'!J73</f>
        <v>0</v>
      </c>
      <c r="K81" s="131" cm="1">
        <f t="array" ref="K81">'Question_Bank'!K73</f>
        <v>0</v>
      </c>
      <c r="L81" s="131" cm="1">
        <f t="array" ref="L81">'Question_Bank'!L73</f>
        <v>0</v>
      </c>
      <c r="M81" s="132"/>
      <c r="N81" t="str" s="97" cm="1">
        <f t="array" ref="N81">IF(M81="","",IF(F81="MCQ",IF(UPPER(M81)=UPPER(L81),1,0),IF(O81="Yes",6-VALUE(M81),VALUE(M81))))</f>
      </c>
      <c r="O81" t="str" s="97" cm="1">
        <f t="array" ref="O81">'Question_Bank'!N73</f>
        <v>No</v>
      </c>
      <c r="P81" s="133" cm="1">
        <f t="array" ref="P81">IF(F81="MCQ",1,5)</f>
        <v>5</v>
      </c>
    </row>
    <row r="82" ht="42" customHeight="1">
      <c r="A82" t="str" s="130" cm="1">
        <f t="array" ref="A82">'Question_Bank'!A74</f>
        <v>NPI0070</v>
      </c>
      <c r="B82" t="str" s="97" cm="1">
        <f t="array" ref="B82">'Question_Bank'!B74</f>
        <v>8-12</v>
      </c>
      <c r="C82" t="str" s="97" cm="1">
        <f t="array" ref="C82">'Question_Bank'!C74</f>
        <v>RIASEC Interest</v>
      </c>
      <c r="D82" t="str" s="97" cm="1">
        <f t="array" ref="D82">'Question_Bank'!D74</f>
        <v>Enterprising</v>
      </c>
      <c r="E82" t="str" s="97" cm="1">
        <f t="array" ref="E82">'Question_Bank'!E74</f>
        <v>E</v>
      </c>
      <c r="F82" t="str" s="97" cm="1">
        <f t="array" ref="F82">'Question_Bank'!F74</f>
        <v>Likert</v>
      </c>
      <c r="G82" t="str" s="97" cm="1">
        <f t="array" ref="G82">'Question_Bank'!G74</f>
        <v>I enjoy activities involving public speaking.</v>
      </c>
      <c r="H82" s="131" cm="1">
        <f t="array" ref="H82">'Question_Bank'!H74</f>
        <v>0</v>
      </c>
      <c r="I82" s="131" cm="1">
        <f t="array" ref="I82">'Question_Bank'!I74</f>
        <v>0</v>
      </c>
      <c r="J82" s="131" cm="1">
        <f t="array" ref="J82">'Question_Bank'!J74</f>
        <v>0</v>
      </c>
      <c r="K82" s="131" cm="1">
        <f t="array" ref="K82">'Question_Bank'!K74</f>
        <v>0</v>
      </c>
      <c r="L82" s="131" cm="1">
        <f t="array" ref="L82">'Question_Bank'!L74</f>
        <v>0</v>
      </c>
      <c r="M82" s="132"/>
      <c r="N82" t="str" s="97" cm="1">
        <f t="array" ref="N82">IF(M82="","",IF(F82="MCQ",IF(UPPER(M82)=UPPER(L82),1,0),IF(O82="Yes",6-VALUE(M82),VALUE(M82))))</f>
      </c>
      <c r="O82" t="str" s="97" cm="1">
        <f t="array" ref="O82">'Question_Bank'!N74</f>
        <v>No</v>
      </c>
      <c r="P82" s="133" cm="1">
        <f t="array" ref="P82">IF(F82="MCQ",1,5)</f>
        <v>5</v>
      </c>
    </row>
    <row r="83" ht="42" customHeight="1">
      <c r="A83" t="str" s="130" cm="1">
        <f t="array" ref="A83">'Question_Bank'!A75</f>
        <v>NPI0071</v>
      </c>
      <c r="B83" t="str" s="97" cm="1">
        <f t="array" ref="B83">'Question_Bank'!B75</f>
        <v>8-12</v>
      </c>
      <c r="C83" t="str" s="97" cm="1">
        <f t="array" ref="C83">'Question_Bank'!C75</f>
        <v>RIASEC Interest</v>
      </c>
      <c r="D83" t="str" s="97" cm="1">
        <f t="array" ref="D83">'Question_Bank'!D75</f>
        <v>Enterprising</v>
      </c>
      <c r="E83" t="str" s="97" cm="1">
        <f t="array" ref="E83">'Question_Bank'!E75</f>
        <v>E</v>
      </c>
      <c r="F83" t="str" s="97" cm="1">
        <f t="array" ref="F83">'Question_Bank'!F75</f>
        <v>Likert</v>
      </c>
      <c r="G83" t="str" s="97" cm="1">
        <f t="array" ref="G83">'Question_Bank'!G75</f>
        <v>I enjoy activities involving organizing events.</v>
      </c>
      <c r="H83" s="131" cm="1">
        <f t="array" ref="H83">'Question_Bank'!H75</f>
        <v>0</v>
      </c>
      <c r="I83" s="131" cm="1">
        <f t="array" ref="I83">'Question_Bank'!I75</f>
        <v>0</v>
      </c>
      <c r="J83" s="131" cm="1">
        <f t="array" ref="J83">'Question_Bank'!J75</f>
        <v>0</v>
      </c>
      <c r="K83" s="131" cm="1">
        <f t="array" ref="K83">'Question_Bank'!K75</f>
        <v>0</v>
      </c>
      <c r="L83" s="131" cm="1">
        <f t="array" ref="L83">'Question_Bank'!L75</f>
        <v>0</v>
      </c>
      <c r="M83" s="132"/>
      <c r="N83" t="str" s="97" cm="1">
        <f t="array" ref="N83">IF(M83="","",IF(F83="MCQ",IF(UPPER(M83)=UPPER(L83),1,0),IF(O83="Yes",6-VALUE(M83),VALUE(M83))))</f>
      </c>
      <c r="O83" t="str" s="97" cm="1">
        <f t="array" ref="O83">'Question_Bank'!N75</f>
        <v>No</v>
      </c>
      <c r="P83" s="133" cm="1">
        <f t="array" ref="P83">IF(F83="MCQ",1,5)</f>
        <v>5</v>
      </c>
    </row>
    <row r="84" ht="42" customHeight="1">
      <c r="A84" t="str" s="130" cm="1">
        <f t="array" ref="A84">'Question_Bank'!A76</f>
        <v>NPI0072</v>
      </c>
      <c r="B84" t="str" s="97" cm="1">
        <f t="array" ref="B84">'Question_Bank'!B76</f>
        <v>8-12</v>
      </c>
      <c r="C84" t="str" s="97" cm="1">
        <f t="array" ref="C84">'Question_Bank'!C76</f>
        <v>RIASEC Interest</v>
      </c>
      <c r="D84" t="str" s="97" cm="1">
        <f t="array" ref="D84">'Question_Bank'!D76</f>
        <v>Enterprising</v>
      </c>
      <c r="E84" t="str" s="97" cm="1">
        <f t="array" ref="E84">'Question_Bank'!E76</f>
        <v>E</v>
      </c>
      <c r="F84" t="str" s="97" cm="1">
        <f t="array" ref="F84">'Question_Bank'!F76</f>
        <v>Likert</v>
      </c>
      <c r="G84" t="str" s="97" cm="1">
        <f t="array" ref="G84">'Question_Bank'!G76</f>
        <v>I enjoy activities involving negotiating respectfully.</v>
      </c>
      <c r="H84" s="131" cm="1">
        <f t="array" ref="H84">'Question_Bank'!H76</f>
        <v>0</v>
      </c>
      <c r="I84" s="131" cm="1">
        <f t="array" ref="I84">'Question_Bank'!I76</f>
        <v>0</v>
      </c>
      <c r="J84" s="131" cm="1">
        <f t="array" ref="J84">'Question_Bank'!J76</f>
        <v>0</v>
      </c>
      <c r="K84" s="131" cm="1">
        <f t="array" ref="K84">'Question_Bank'!K76</f>
        <v>0</v>
      </c>
      <c r="L84" s="131" cm="1">
        <f t="array" ref="L84">'Question_Bank'!L76</f>
        <v>0</v>
      </c>
      <c r="M84" s="132"/>
      <c r="N84" t="str" s="97" cm="1">
        <f t="array" ref="N84">IF(M84="","",IF(F84="MCQ",IF(UPPER(M84)=UPPER(L84),1,0),IF(O84="Yes",6-VALUE(M84),VALUE(M84))))</f>
      </c>
      <c r="O84" t="str" s="97" cm="1">
        <f t="array" ref="O84">'Question_Bank'!N76</f>
        <v>No</v>
      </c>
      <c r="P84" s="133" cm="1">
        <f t="array" ref="P84">IF(F84="MCQ",1,5)</f>
        <v>5</v>
      </c>
    </row>
    <row r="85" ht="42" customHeight="1">
      <c r="A85" t="str" s="130" cm="1">
        <f t="array" ref="A85">'Question_Bank'!A77</f>
        <v>NPI0073</v>
      </c>
      <c r="B85" t="str" s="97" cm="1">
        <f t="array" ref="B85">'Question_Bank'!B77</f>
        <v>8-12</v>
      </c>
      <c r="C85" t="str" s="97" cm="1">
        <f t="array" ref="C85">'Question_Bank'!C77</f>
        <v>RIASEC Interest</v>
      </c>
      <c r="D85" t="str" s="97" cm="1">
        <f t="array" ref="D85">'Question_Bank'!D77</f>
        <v>Enterprising</v>
      </c>
      <c r="E85" t="str" s="97" cm="1">
        <f t="array" ref="E85">'Question_Bank'!E77</f>
        <v>E</v>
      </c>
      <c r="F85" t="str" s="97" cm="1">
        <f t="array" ref="F85">'Question_Bank'!F77</f>
        <v>Likert</v>
      </c>
      <c r="G85" t="str" s="97" cm="1">
        <f t="array" ref="G85">'Question_Bank'!G77</f>
        <v>I enjoy activities involving goal achievement.</v>
      </c>
      <c r="H85" s="131" cm="1">
        <f t="array" ref="H85">'Question_Bank'!H77</f>
        <v>0</v>
      </c>
      <c r="I85" s="131" cm="1">
        <f t="array" ref="I85">'Question_Bank'!I77</f>
        <v>0</v>
      </c>
      <c r="J85" s="131" cm="1">
        <f t="array" ref="J85">'Question_Bank'!J77</f>
        <v>0</v>
      </c>
      <c r="K85" s="131" cm="1">
        <f t="array" ref="K85">'Question_Bank'!K77</f>
        <v>0</v>
      </c>
      <c r="L85" s="131" cm="1">
        <f t="array" ref="L85">'Question_Bank'!L77</f>
        <v>0</v>
      </c>
      <c r="M85" s="132"/>
      <c r="N85" t="str" s="97" cm="1">
        <f t="array" ref="N85">IF(M85="","",IF(F85="MCQ",IF(UPPER(M85)=UPPER(L85),1,0),IF(O85="Yes",6-VALUE(M85),VALUE(M85))))</f>
      </c>
      <c r="O85" t="str" s="97" cm="1">
        <f t="array" ref="O85">'Question_Bank'!N77</f>
        <v>No</v>
      </c>
      <c r="P85" s="133" cm="1">
        <f t="array" ref="P85">IF(F85="MCQ",1,5)</f>
        <v>5</v>
      </c>
    </row>
    <row r="86" ht="42" customHeight="1">
      <c r="A86" t="str" s="130" cm="1">
        <f t="array" ref="A86">'Question_Bank'!A78</f>
        <v>NPI0074</v>
      </c>
      <c r="B86" t="str" s="97" cm="1">
        <f t="array" ref="B86">'Question_Bank'!B78</f>
        <v>8-12</v>
      </c>
      <c r="C86" t="str" s="97" cm="1">
        <f t="array" ref="C86">'Question_Bank'!C78</f>
        <v>RIASEC Interest</v>
      </c>
      <c r="D86" t="str" s="97" cm="1">
        <f t="array" ref="D86">'Question_Bank'!D78</f>
        <v>Enterprising</v>
      </c>
      <c r="E86" t="str" s="97" cm="1">
        <f t="array" ref="E86">'Question_Bank'!E78</f>
        <v>E</v>
      </c>
      <c r="F86" t="str" s="97" cm="1">
        <f t="array" ref="F86">'Question_Bank'!F78</f>
        <v>Likert</v>
      </c>
      <c r="G86" t="str" s="97" cm="1">
        <f t="array" ref="G86">'Question_Bank'!G78</f>
        <v>I enjoy activities involving taking initiative.</v>
      </c>
      <c r="H86" s="131" cm="1">
        <f t="array" ref="H86">'Question_Bank'!H78</f>
        <v>0</v>
      </c>
      <c r="I86" s="131" cm="1">
        <f t="array" ref="I86">'Question_Bank'!I78</f>
        <v>0</v>
      </c>
      <c r="J86" s="131" cm="1">
        <f t="array" ref="J86">'Question_Bank'!J78</f>
        <v>0</v>
      </c>
      <c r="K86" s="131" cm="1">
        <f t="array" ref="K86">'Question_Bank'!K78</f>
        <v>0</v>
      </c>
      <c r="L86" s="131" cm="1">
        <f t="array" ref="L86">'Question_Bank'!L78</f>
        <v>0</v>
      </c>
      <c r="M86" s="132"/>
      <c r="N86" t="str" s="97" cm="1">
        <f t="array" ref="N86">IF(M86="","",IF(F86="MCQ",IF(UPPER(M86)=UPPER(L86),1,0),IF(O86="Yes",6-VALUE(M86),VALUE(M86))))</f>
      </c>
      <c r="O86" t="str" s="97" cm="1">
        <f t="array" ref="O86">'Question_Bank'!N78</f>
        <v>No</v>
      </c>
      <c r="P86" s="133" cm="1">
        <f t="array" ref="P86">IF(F86="MCQ",1,5)</f>
        <v>5</v>
      </c>
    </row>
    <row r="87" ht="42" customHeight="1">
      <c r="A87" t="str" s="130" cm="1">
        <f t="array" ref="A87">'Question_Bank'!A79</f>
        <v>NPI0075</v>
      </c>
      <c r="B87" t="str" s="97" cm="1">
        <f t="array" ref="B87">'Question_Bank'!B79</f>
        <v>8-12</v>
      </c>
      <c r="C87" t="str" s="97" cm="1">
        <f t="array" ref="C87">'Question_Bank'!C79</f>
        <v>RIASEC Interest</v>
      </c>
      <c r="D87" t="str" s="97" cm="1">
        <f t="array" ref="D87">'Question_Bank'!D79</f>
        <v>Enterprising</v>
      </c>
      <c r="E87" t="str" s="97" cm="1">
        <f t="array" ref="E87">'Question_Bank'!E79</f>
        <v>E</v>
      </c>
      <c r="F87" t="str" s="97" cm="1">
        <f t="array" ref="F87">'Question_Bank'!F79</f>
        <v>Likert</v>
      </c>
      <c r="G87" t="str" s="97" cm="1">
        <f t="array" ref="G87">'Question_Bank'!G79</f>
        <v>I enjoy activities involving solving people-and-decision problems.</v>
      </c>
      <c r="H87" s="131" cm="1">
        <f t="array" ref="H87">'Question_Bank'!H79</f>
        <v>0</v>
      </c>
      <c r="I87" s="131" cm="1">
        <f t="array" ref="I87">'Question_Bank'!I79</f>
        <v>0</v>
      </c>
      <c r="J87" s="131" cm="1">
        <f t="array" ref="J87">'Question_Bank'!J79</f>
        <v>0</v>
      </c>
      <c r="K87" s="131" cm="1">
        <f t="array" ref="K87">'Question_Bank'!K79</f>
        <v>0</v>
      </c>
      <c r="L87" s="131" cm="1">
        <f t="array" ref="L87">'Question_Bank'!L79</f>
        <v>0</v>
      </c>
      <c r="M87" s="132"/>
      <c r="N87" t="str" s="97" cm="1">
        <f t="array" ref="N87">IF(M87="","",IF(F87="MCQ",IF(UPPER(M87)=UPPER(L87),1,0),IF(O87="Yes",6-VALUE(M87),VALUE(M87))))</f>
      </c>
      <c r="O87" t="str" s="97" cm="1">
        <f t="array" ref="O87">'Question_Bank'!N79</f>
        <v>No</v>
      </c>
      <c r="P87" s="133" cm="1">
        <f t="array" ref="P87">IF(F87="MCQ",1,5)</f>
        <v>5</v>
      </c>
    </row>
    <row r="88" ht="42" customHeight="1">
      <c r="A88" t="str" s="130" cm="1">
        <f t="array" ref="A88">'Question_Bank'!A80</f>
        <v>NPI0076</v>
      </c>
      <c r="B88" t="str" s="97" cm="1">
        <f t="array" ref="B88">'Question_Bank'!B80</f>
        <v>8-12</v>
      </c>
      <c r="C88" t="str" s="97" cm="1">
        <f t="array" ref="C88">'Question_Bank'!C80</f>
        <v>RIASEC Interest</v>
      </c>
      <c r="D88" t="str" s="97" cm="1">
        <f t="array" ref="D88">'Question_Bank'!D80</f>
        <v>Conventional</v>
      </c>
      <c r="E88" t="str" s="97" cm="1">
        <f t="array" ref="E88">'Question_Bank'!E80</f>
        <v>C</v>
      </c>
      <c r="F88" t="str" s="97" cm="1">
        <f t="array" ref="F88">'Question_Bank'!F80</f>
        <v>Likert</v>
      </c>
      <c r="G88" t="str" s="97" cm="1">
        <f t="array" ref="G88">'Question_Bank'!G80</f>
        <v>I enjoy activities involving organizing information.</v>
      </c>
      <c r="H88" s="131" cm="1">
        <f t="array" ref="H88">'Question_Bank'!H80</f>
        <v>0</v>
      </c>
      <c r="I88" s="131" cm="1">
        <f t="array" ref="I88">'Question_Bank'!I80</f>
        <v>0</v>
      </c>
      <c r="J88" s="131" cm="1">
        <f t="array" ref="J88">'Question_Bank'!J80</f>
        <v>0</v>
      </c>
      <c r="K88" s="131" cm="1">
        <f t="array" ref="K88">'Question_Bank'!K80</f>
        <v>0</v>
      </c>
      <c r="L88" s="131" cm="1">
        <f t="array" ref="L88">'Question_Bank'!L80</f>
        <v>0</v>
      </c>
      <c r="M88" s="132"/>
      <c r="N88" t="str" s="97" cm="1">
        <f t="array" ref="N88">IF(M88="","",IF(F88="MCQ",IF(UPPER(M88)=UPPER(L88),1,0),IF(O88="Yes",6-VALUE(M88),VALUE(M88))))</f>
      </c>
      <c r="O88" t="str" s="97" cm="1">
        <f t="array" ref="O88">'Question_Bank'!N80</f>
        <v>No</v>
      </c>
      <c r="P88" s="133" cm="1">
        <f t="array" ref="P88">IF(F88="MCQ",1,5)</f>
        <v>5</v>
      </c>
    </row>
    <row r="89" ht="42" customHeight="1">
      <c r="A89" t="str" s="130" cm="1">
        <f t="array" ref="A89">'Question_Bank'!A81</f>
        <v>NPI0077</v>
      </c>
      <c r="B89" t="str" s="97" cm="1">
        <f t="array" ref="B89">'Question_Bank'!B81</f>
        <v>8-12</v>
      </c>
      <c r="C89" t="str" s="97" cm="1">
        <f t="array" ref="C89">'Question_Bank'!C81</f>
        <v>RIASEC Interest</v>
      </c>
      <c r="D89" t="str" s="97" cm="1">
        <f t="array" ref="D89">'Question_Bank'!D81</f>
        <v>Conventional</v>
      </c>
      <c r="E89" t="str" s="97" cm="1">
        <f t="array" ref="E89">'Question_Bank'!E81</f>
        <v>C</v>
      </c>
      <c r="F89" t="str" s="97" cm="1">
        <f t="array" ref="F89">'Question_Bank'!F81</f>
        <v>Likert</v>
      </c>
      <c r="G89" t="str" s="97" cm="1">
        <f t="array" ref="G89">'Question_Bank'!G81</f>
        <v>I enjoy activities involving working with schedules.</v>
      </c>
      <c r="H89" s="131" cm="1">
        <f t="array" ref="H89">'Question_Bank'!H81</f>
        <v>0</v>
      </c>
      <c r="I89" s="131" cm="1">
        <f t="array" ref="I89">'Question_Bank'!I81</f>
        <v>0</v>
      </c>
      <c r="J89" s="131" cm="1">
        <f t="array" ref="J89">'Question_Bank'!J81</f>
        <v>0</v>
      </c>
      <c r="K89" s="131" cm="1">
        <f t="array" ref="K89">'Question_Bank'!K81</f>
        <v>0</v>
      </c>
      <c r="L89" s="131" cm="1">
        <f t="array" ref="L89">'Question_Bank'!L81</f>
        <v>0</v>
      </c>
      <c r="M89" s="132"/>
      <c r="N89" t="str" s="97" cm="1">
        <f t="array" ref="N89">IF(M89="","",IF(F89="MCQ",IF(UPPER(M89)=UPPER(L89),1,0),IF(O89="Yes",6-VALUE(M89),VALUE(M89))))</f>
      </c>
      <c r="O89" t="str" s="97" cm="1">
        <f t="array" ref="O89">'Question_Bank'!N81</f>
        <v>No</v>
      </c>
      <c r="P89" s="133" cm="1">
        <f t="array" ref="P89">IF(F89="MCQ",1,5)</f>
        <v>5</v>
      </c>
    </row>
    <row r="90" ht="42" customHeight="1">
      <c r="A90" t="str" s="130" cm="1">
        <f t="array" ref="A90">'Question_Bank'!A82</f>
        <v>NPI0078</v>
      </c>
      <c r="B90" t="str" s="97" cm="1">
        <f t="array" ref="B90">'Question_Bank'!B82</f>
        <v>8-12</v>
      </c>
      <c r="C90" t="str" s="97" cm="1">
        <f t="array" ref="C90">'Question_Bank'!C82</f>
        <v>RIASEC Interest</v>
      </c>
      <c r="D90" t="str" s="97" cm="1">
        <f t="array" ref="D90">'Question_Bank'!D82</f>
        <v>Conventional</v>
      </c>
      <c r="E90" t="str" s="97" cm="1">
        <f t="array" ref="E90">'Question_Bank'!E82</f>
        <v>C</v>
      </c>
      <c r="F90" t="str" s="97" cm="1">
        <f t="array" ref="F90">'Question_Bank'!F82</f>
        <v>Likert</v>
      </c>
      <c r="G90" t="str" s="97" cm="1">
        <f t="array" ref="G90">'Question_Bank'!G82</f>
        <v>I enjoy activities involving following instructions.</v>
      </c>
      <c r="H90" s="131" cm="1">
        <f t="array" ref="H90">'Question_Bank'!H82</f>
        <v>0</v>
      </c>
      <c r="I90" s="131" cm="1">
        <f t="array" ref="I90">'Question_Bank'!I82</f>
        <v>0</v>
      </c>
      <c r="J90" s="131" cm="1">
        <f t="array" ref="J90">'Question_Bank'!J82</f>
        <v>0</v>
      </c>
      <c r="K90" s="131" cm="1">
        <f t="array" ref="K90">'Question_Bank'!K82</f>
        <v>0</v>
      </c>
      <c r="L90" s="131" cm="1">
        <f t="array" ref="L90">'Question_Bank'!L82</f>
        <v>0</v>
      </c>
      <c r="M90" s="132"/>
      <c r="N90" t="str" s="97" cm="1">
        <f t="array" ref="N90">IF(M90="","",IF(F90="MCQ",IF(UPPER(M90)=UPPER(L90),1,0),IF(O90="Yes",6-VALUE(M90),VALUE(M90))))</f>
      </c>
      <c r="O90" t="str" s="97" cm="1">
        <f t="array" ref="O90">'Question_Bank'!N82</f>
        <v>No</v>
      </c>
      <c r="P90" s="133" cm="1">
        <f t="array" ref="P90">IF(F90="MCQ",1,5)</f>
        <v>5</v>
      </c>
    </row>
    <row r="91" ht="42" customHeight="1">
      <c r="A91" t="str" s="130" cm="1">
        <f t="array" ref="A91">'Question_Bank'!A83</f>
        <v>NPI0079</v>
      </c>
      <c r="B91" t="str" s="97" cm="1">
        <f t="array" ref="B91">'Question_Bank'!B83</f>
        <v>8-12</v>
      </c>
      <c r="C91" t="str" s="97" cm="1">
        <f t="array" ref="C91">'Question_Bank'!C83</f>
        <v>RIASEC Interest</v>
      </c>
      <c r="D91" t="str" s="97" cm="1">
        <f t="array" ref="D91">'Question_Bank'!D83</f>
        <v>Conventional</v>
      </c>
      <c r="E91" t="str" s="97" cm="1">
        <f t="array" ref="E91">'Question_Bank'!E83</f>
        <v>C</v>
      </c>
      <c r="F91" t="str" s="97" cm="1">
        <f t="array" ref="F91">'Question_Bank'!F83</f>
        <v>Likert</v>
      </c>
      <c r="G91" t="str" s="97" cm="1">
        <f t="array" ref="G91">'Question_Bank'!G83</f>
        <v>I enjoy activities involving accuracy and details.</v>
      </c>
      <c r="H91" s="131" cm="1">
        <f t="array" ref="H91">'Question_Bank'!H83</f>
        <v>0</v>
      </c>
      <c r="I91" s="131" cm="1">
        <f t="array" ref="I91">'Question_Bank'!I83</f>
        <v>0</v>
      </c>
      <c r="J91" s="131" cm="1">
        <f t="array" ref="J91">'Question_Bank'!J83</f>
        <v>0</v>
      </c>
      <c r="K91" s="131" cm="1">
        <f t="array" ref="K91">'Question_Bank'!K83</f>
        <v>0</v>
      </c>
      <c r="L91" s="131" cm="1">
        <f t="array" ref="L91">'Question_Bank'!L83</f>
        <v>0</v>
      </c>
      <c r="M91" s="132"/>
      <c r="N91" t="str" s="97" cm="1">
        <f t="array" ref="N91">IF(M91="","",IF(F91="MCQ",IF(UPPER(M91)=UPPER(L91),1,0),IF(O91="Yes",6-VALUE(M91),VALUE(M91))))</f>
      </c>
      <c r="O91" t="str" s="97" cm="1">
        <f t="array" ref="O91">'Question_Bank'!N83</f>
        <v>No</v>
      </c>
      <c r="P91" s="133" cm="1">
        <f t="array" ref="P91">IF(F91="MCQ",1,5)</f>
        <v>5</v>
      </c>
    </row>
    <row r="92" ht="42" customHeight="1">
      <c r="A92" t="str" s="130" cm="1">
        <f t="array" ref="A92">'Question_Bank'!A84</f>
        <v>NPI0080</v>
      </c>
      <c r="B92" t="str" s="97" cm="1">
        <f t="array" ref="B92">'Question_Bank'!B84</f>
        <v>8-12</v>
      </c>
      <c r="C92" t="str" s="97" cm="1">
        <f t="array" ref="C92">'Question_Bank'!C84</f>
        <v>RIASEC Interest</v>
      </c>
      <c r="D92" t="str" s="97" cm="1">
        <f t="array" ref="D92">'Question_Bank'!D84</f>
        <v>Conventional</v>
      </c>
      <c r="E92" t="str" s="97" cm="1">
        <f t="array" ref="E92">'Question_Bank'!E84</f>
        <v>C</v>
      </c>
      <c r="F92" t="str" s="97" cm="1">
        <f t="array" ref="F92">'Question_Bank'!F84</f>
        <v>Likert</v>
      </c>
      <c r="G92" t="str" s="97" cm="1">
        <f t="array" ref="G92">'Question_Bank'!G84</f>
        <v>I enjoy activities involving keeping records.</v>
      </c>
      <c r="H92" s="131" cm="1">
        <f t="array" ref="H92">'Question_Bank'!H84</f>
        <v>0</v>
      </c>
      <c r="I92" s="131" cm="1">
        <f t="array" ref="I92">'Question_Bank'!I84</f>
        <v>0</v>
      </c>
      <c r="J92" s="131" cm="1">
        <f t="array" ref="J92">'Question_Bank'!J84</f>
        <v>0</v>
      </c>
      <c r="K92" s="131" cm="1">
        <f t="array" ref="K92">'Question_Bank'!K84</f>
        <v>0</v>
      </c>
      <c r="L92" s="131" cm="1">
        <f t="array" ref="L92">'Question_Bank'!L84</f>
        <v>0</v>
      </c>
      <c r="M92" s="132"/>
      <c r="N92" t="str" s="97" cm="1">
        <f t="array" ref="N92">IF(M92="","",IF(F92="MCQ",IF(UPPER(M92)=UPPER(L92),1,0),IF(O92="Yes",6-VALUE(M92),VALUE(M92))))</f>
      </c>
      <c r="O92" t="str" s="97" cm="1">
        <f t="array" ref="O92">'Question_Bank'!N84</f>
        <v>No</v>
      </c>
      <c r="P92" s="133" cm="1">
        <f t="array" ref="P92">IF(F92="MCQ",1,5)</f>
        <v>5</v>
      </c>
    </row>
    <row r="93" ht="42" customHeight="1">
      <c r="A93" t="str" s="130" cm="1">
        <f t="array" ref="A93">'Question_Bank'!A85</f>
        <v>NPI0081</v>
      </c>
      <c r="B93" t="str" s="97" cm="1">
        <f t="array" ref="B93">'Question_Bank'!B85</f>
        <v>8-12</v>
      </c>
      <c r="C93" t="str" s="97" cm="1">
        <f t="array" ref="C93">'Question_Bank'!C85</f>
        <v>RIASEC Interest</v>
      </c>
      <c r="D93" t="str" s="97" cm="1">
        <f t="array" ref="D93">'Question_Bank'!D85</f>
        <v>Conventional</v>
      </c>
      <c r="E93" t="str" s="97" cm="1">
        <f t="array" ref="E93">'Question_Bank'!E85</f>
        <v>C</v>
      </c>
      <c r="F93" t="str" s="97" cm="1">
        <f t="array" ref="F93">'Question_Bank'!F85</f>
        <v>Likert</v>
      </c>
      <c r="G93" t="str" s="97" cm="1">
        <f t="array" ref="G93">'Question_Bank'!G85</f>
        <v>I enjoy activities involving spreadsheets.</v>
      </c>
      <c r="H93" s="131" cm="1">
        <f t="array" ref="H93">'Question_Bank'!H85</f>
        <v>0</v>
      </c>
      <c r="I93" s="131" cm="1">
        <f t="array" ref="I93">'Question_Bank'!I85</f>
        <v>0</v>
      </c>
      <c r="J93" s="131" cm="1">
        <f t="array" ref="J93">'Question_Bank'!J85</f>
        <v>0</v>
      </c>
      <c r="K93" s="131" cm="1">
        <f t="array" ref="K93">'Question_Bank'!K85</f>
        <v>0</v>
      </c>
      <c r="L93" s="131" cm="1">
        <f t="array" ref="L93">'Question_Bank'!L85</f>
        <v>0</v>
      </c>
      <c r="M93" s="132"/>
      <c r="N93" t="str" s="97" cm="1">
        <f t="array" ref="N93">IF(M93="","",IF(F93="MCQ",IF(UPPER(M93)=UPPER(L93),1,0),IF(O93="Yes",6-VALUE(M93),VALUE(M93))))</f>
      </c>
      <c r="O93" t="str" s="97" cm="1">
        <f t="array" ref="O93">'Question_Bank'!N85</f>
        <v>No</v>
      </c>
      <c r="P93" s="133" cm="1">
        <f t="array" ref="P93">IF(F93="MCQ",1,5)</f>
        <v>5</v>
      </c>
    </row>
    <row r="94" ht="42" customHeight="1">
      <c r="A94" t="str" s="130" cm="1">
        <f t="array" ref="A94">'Question_Bank'!A86</f>
        <v>NPI0082</v>
      </c>
      <c r="B94" t="str" s="97" cm="1">
        <f t="array" ref="B94">'Question_Bank'!B86</f>
        <v>8-12</v>
      </c>
      <c r="C94" t="str" s="97" cm="1">
        <f t="array" ref="C94">'Question_Bank'!C86</f>
        <v>RIASEC Interest</v>
      </c>
      <c r="D94" t="str" s="97" cm="1">
        <f t="array" ref="D94">'Question_Bank'!D86</f>
        <v>Conventional</v>
      </c>
      <c r="E94" t="str" s="97" cm="1">
        <f t="array" ref="E94">'Question_Bank'!E86</f>
        <v>C</v>
      </c>
      <c r="F94" t="str" s="97" cm="1">
        <f t="array" ref="F94">'Question_Bank'!F86</f>
        <v>Likert</v>
      </c>
      <c r="G94" t="str" s="97" cm="1">
        <f t="array" ref="G94">'Question_Bank'!G86</f>
        <v>I enjoy activities involving step-by-step work.</v>
      </c>
      <c r="H94" s="131" cm="1">
        <f t="array" ref="H94">'Question_Bank'!H86</f>
        <v>0</v>
      </c>
      <c r="I94" s="131" cm="1">
        <f t="array" ref="I94">'Question_Bank'!I86</f>
        <v>0</v>
      </c>
      <c r="J94" s="131" cm="1">
        <f t="array" ref="J94">'Question_Bank'!J86</f>
        <v>0</v>
      </c>
      <c r="K94" s="131" cm="1">
        <f t="array" ref="K94">'Question_Bank'!K86</f>
        <v>0</v>
      </c>
      <c r="L94" s="131" cm="1">
        <f t="array" ref="L94">'Question_Bank'!L86</f>
        <v>0</v>
      </c>
      <c r="M94" s="132"/>
      <c r="N94" t="str" s="97" cm="1">
        <f t="array" ref="N94">IF(M94="","",IF(F94="MCQ",IF(UPPER(M94)=UPPER(L94),1,0),IF(O94="Yes",6-VALUE(M94),VALUE(M94))))</f>
      </c>
      <c r="O94" t="str" s="97" cm="1">
        <f t="array" ref="O94">'Question_Bank'!N86</f>
        <v>No</v>
      </c>
      <c r="P94" s="133" cm="1">
        <f t="array" ref="P94">IF(F94="MCQ",1,5)</f>
        <v>5</v>
      </c>
    </row>
    <row r="95" ht="42" customHeight="1">
      <c r="A95" t="str" s="130" cm="1">
        <f t="array" ref="A95">'Question_Bank'!A87</f>
        <v>NPI0083</v>
      </c>
      <c r="B95" t="str" s="97" cm="1">
        <f t="array" ref="B95">'Question_Bank'!B87</f>
        <v>8-12</v>
      </c>
      <c r="C95" t="str" s="97" cm="1">
        <f t="array" ref="C95">'Question_Bank'!C87</f>
        <v>RIASEC Interest</v>
      </c>
      <c r="D95" t="str" s="97" cm="1">
        <f t="array" ref="D95">'Question_Bank'!D87</f>
        <v>Conventional</v>
      </c>
      <c r="E95" t="str" s="97" cm="1">
        <f t="array" ref="E95">'Question_Bank'!E87</f>
        <v>C</v>
      </c>
      <c r="F95" t="str" s="97" cm="1">
        <f t="array" ref="F95">'Question_Bank'!F87</f>
        <v>Likert</v>
      </c>
      <c r="G95" t="str" s="97" cm="1">
        <f t="array" ref="G95">'Question_Bank'!G87</f>
        <v>I enjoy activities involving checking work.</v>
      </c>
      <c r="H95" s="131" cm="1">
        <f t="array" ref="H95">'Question_Bank'!H87</f>
        <v>0</v>
      </c>
      <c r="I95" s="131" cm="1">
        <f t="array" ref="I95">'Question_Bank'!I87</f>
        <v>0</v>
      </c>
      <c r="J95" s="131" cm="1">
        <f t="array" ref="J95">'Question_Bank'!J87</f>
        <v>0</v>
      </c>
      <c r="K95" s="131" cm="1">
        <f t="array" ref="K95">'Question_Bank'!K87</f>
        <v>0</v>
      </c>
      <c r="L95" s="131" cm="1">
        <f t="array" ref="L95">'Question_Bank'!L87</f>
        <v>0</v>
      </c>
      <c r="M95" s="132"/>
      <c r="N95" t="str" s="97" cm="1">
        <f t="array" ref="N95">IF(M95="","",IF(F95="MCQ",IF(UPPER(M95)=UPPER(L95),1,0),IF(O95="Yes",6-VALUE(M95),VALUE(M95))))</f>
      </c>
      <c r="O95" t="str" s="97" cm="1">
        <f t="array" ref="O95">'Question_Bank'!N87</f>
        <v>No</v>
      </c>
      <c r="P95" s="133" cm="1">
        <f t="array" ref="P95">IF(F95="MCQ",1,5)</f>
        <v>5</v>
      </c>
    </row>
    <row r="96" ht="42" customHeight="1">
      <c r="A96" t="str" s="130" cm="1">
        <f t="array" ref="A96">'Question_Bank'!A88</f>
        <v>NPI0084</v>
      </c>
      <c r="B96" t="str" s="97" cm="1">
        <f t="array" ref="B96">'Question_Bank'!B88</f>
        <v>8-12</v>
      </c>
      <c r="C96" t="str" s="97" cm="1">
        <f t="array" ref="C96">'Question_Bank'!C88</f>
        <v>RIASEC Interest</v>
      </c>
      <c r="D96" t="str" s="97" cm="1">
        <f t="array" ref="D96">'Question_Bank'!D88</f>
        <v>Conventional</v>
      </c>
      <c r="E96" t="str" s="97" cm="1">
        <f t="array" ref="E96">'Question_Bank'!E88</f>
        <v>C</v>
      </c>
      <c r="F96" t="str" s="97" cm="1">
        <f t="array" ref="F96">'Question_Bank'!F88</f>
        <v>Likert</v>
      </c>
      <c r="G96" t="str" s="97" cm="1">
        <f t="array" ref="G96">'Question_Bank'!G88</f>
        <v>I enjoy activities involving structured routines.</v>
      </c>
      <c r="H96" s="131" cm="1">
        <f t="array" ref="H96">'Question_Bank'!H88</f>
        <v>0</v>
      </c>
      <c r="I96" s="131" cm="1">
        <f t="array" ref="I96">'Question_Bank'!I88</f>
        <v>0</v>
      </c>
      <c r="J96" s="131" cm="1">
        <f t="array" ref="J96">'Question_Bank'!J88</f>
        <v>0</v>
      </c>
      <c r="K96" s="131" cm="1">
        <f t="array" ref="K96">'Question_Bank'!K88</f>
        <v>0</v>
      </c>
      <c r="L96" s="131" cm="1">
        <f t="array" ref="L96">'Question_Bank'!L88</f>
        <v>0</v>
      </c>
      <c r="M96" s="132"/>
      <c r="N96" t="str" s="97" cm="1">
        <f t="array" ref="N96">IF(M96="","",IF(F96="MCQ",IF(UPPER(M96)=UPPER(L96),1,0),IF(O96="Yes",6-VALUE(M96),VALUE(M96))))</f>
      </c>
      <c r="O96" t="str" s="97" cm="1">
        <f t="array" ref="O96">'Question_Bank'!N88</f>
        <v>No</v>
      </c>
      <c r="P96" s="133" cm="1">
        <f t="array" ref="P96">IF(F96="MCQ",1,5)</f>
        <v>5</v>
      </c>
    </row>
    <row r="97" ht="42" customHeight="1">
      <c r="A97" t="str" s="130" cm="1">
        <f t="array" ref="A97">'Question_Bank'!A89</f>
        <v>NPI0085</v>
      </c>
      <c r="B97" t="str" s="97" cm="1">
        <f t="array" ref="B97">'Question_Bank'!B89</f>
        <v>8-12</v>
      </c>
      <c r="C97" t="str" s="97" cm="1">
        <f t="array" ref="C97">'Question_Bank'!C89</f>
        <v>RIASEC Interest</v>
      </c>
      <c r="D97" t="str" s="97" cm="1">
        <f t="array" ref="D97">'Question_Bank'!D89</f>
        <v>Conventional</v>
      </c>
      <c r="E97" t="str" s="97" cm="1">
        <f t="array" ref="E97">'Question_Bank'!E89</f>
        <v>C</v>
      </c>
      <c r="F97" t="str" s="97" cm="1">
        <f t="array" ref="F97">'Question_Bank'!F89</f>
        <v>Likert</v>
      </c>
      <c r="G97" t="str" s="97" cm="1">
        <f t="array" ref="G97">'Question_Bank'!G89</f>
        <v>I enjoy activities involving finance tasks.</v>
      </c>
      <c r="H97" s="131" cm="1">
        <f t="array" ref="H97">'Question_Bank'!H89</f>
        <v>0</v>
      </c>
      <c r="I97" s="131" cm="1">
        <f t="array" ref="I97">'Question_Bank'!I89</f>
        <v>0</v>
      </c>
      <c r="J97" s="131" cm="1">
        <f t="array" ref="J97">'Question_Bank'!J89</f>
        <v>0</v>
      </c>
      <c r="K97" s="131" cm="1">
        <f t="array" ref="K97">'Question_Bank'!K89</f>
        <v>0</v>
      </c>
      <c r="L97" s="131" cm="1">
        <f t="array" ref="L97">'Question_Bank'!L89</f>
        <v>0</v>
      </c>
      <c r="M97" s="132"/>
      <c r="N97" t="str" s="97" cm="1">
        <f t="array" ref="N97">IF(M97="","",IF(F97="MCQ",IF(UPPER(M97)=UPPER(L97),1,0),IF(O97="Yes",6-VALUE(M97),VALUE(M97))))</f>
      </c>
      <c r="O97" t="str" s="97" cm="1">
        <f t="array" ref="O97">'Question_Bank'!N89</f>
        <v>No</v>
      </c>
      <c r="P97" s="133" cm="1">
        <f t="array" ref="P97">IF(F97="MCQ",1,5)</f>
        <v>5</v>
      </c>
    </row>
    <row r="98" ht="42" customHeight="1">
      <c r="A98" t="str" s="130" cm="1">
        <f t="array" ref="A98">'Question_Bank'!A90</f>
        <v>NPI0086</v>
      </c>
      <c r="B98" t="str" s="97" cm="1">
        <f t="array" ref="B98">'Question_Bank'!B90</f>
        <v>8-12</v>
      </c>
      <c r="C98" t="str" s="97" cm="1">
        <f t="array" ref="C98">'Question_Bank'!C90</f>
        <v>RIASEC Interest</v>
      </c>
      <c r="D98" t="str" s="97" cm="1">
        <f t="array" ref="D98">'Question_Bank'!D90</f>
        <v>Conventional</v>
      </c>
      <c r="E98" t="str" s="97" cm="1">
        <f t="array" ref="E98">'Question_Bank'!E90</f>
        <v>C</v>
      </c>
      <c r="F98" t="str" s="97" cm="1">
        <f t="array" ref="F98">'Question_Bank'!F90</f>
        <v>Likert</v>
      </c>
      <c r="G98" t="str" s="97" cm="1">
        <f t="array" ref="G98">'Question_Bank'!G90</f>
        <v>I enjoy activities involving data entry.</v>
      </c>
      <c r="H98" s="131" cm="1">
        <f t="array" ref="H98">'Question_Bank'!H90</f>
        <v>0</v>
      </c>
      <c r="I98" s="131" cm="1">
        <f t="array" ref="I98">'Question_Bank'!I90</f>
        <v>0</v>
      </c>
      <c r="J98" s="131" cm="1">
        <f t="array" ref="J98">'Question_Bank'!J90</f>
        <v>0</v>
      </c>
      <c r="K98" s="131" cm="1">
        <f t="array" ref="K98">'Question_Bank'!K90</f>
        <v>0</v>
      </c>
      <c r="L98" s="131" cm="1">
        <f t="array" ref="L98">'Question_Bank'!L90</f>
        <v>0</v>
      </c>
      <c r="M98" s="132"/>
      <c r="N98" t="str" s="97" cm="1">
        <f t="array" ref="N98">IF(M98="","",IF(F98="MCQ",IF(UPPER(M98)=UPPER(L98),1,0),IF(O98="Yes",6-VALUE(M98),VALUE(M98))))</f>
      </c>
      <c r="O98" t="str" s="97" cm="1">
        <f t="array" ref="O98">'Question_Bank'!N90</f>
        <v>No</v>
      </c>
      <c r="P98" s="133" cm="1">
        <f t="array" ref="P98">IF(F98="MCQ",1,5)</f>
        <v>5</v>
      </c>
    </row>
    <row r="99" ht="42" customHeight="1">
      <c r="A99" t="str" s="130" cm="1">
        <f t="array" ref="A99">'Question_Bank'!A91</f>
        <v>NPI0087</v>
      </c>
      <c r="B99" t="str" s="97" cm="1">
        <f t="array" ref="B99">'Question_Bank'!B91</f>
        <v>8-12</v>
      </c>
      <c r="C99" t="str" s="97" cm="1">
        <f t="array" ref="C99">'Question_Bank'!C91</f>
        <v>RIASEC Interest</v>
      </c>
      <c r="D99" t="str" s="97" cm="1">
        <f t="array" ref="D99">'Question_Bank'!D91</f>
        <v>Conventional</v>
      </c>
      <c r="E99" t="str" s="97" cm="1">
        <f t="array" ref="E99">'Question_Bank'!E91</f>
        <v>C</v>
      </c>
      <c r="F99" t="str" s="97" cm="1">
        <f t="array" ref="F99">'Question_Bank'!F91</f>
        <v>Likert</v>
      </c>
      <c r="G99" t="str" s="97" cm="1">
        <f t="array" ref="G99">'Question_Bank'!G91</f>
        <v>I enjoy activities involving procedures.</v>
      </c>
      <c r="H99" s="131" cm="1">
        <f t="array" ref="H99">'Question_Bank'!H91</f>
        <v>0</v>
      </c>
      <c r="I99" s="131" cm="1">
        <f t="array" ref="I99">'Question_Bank'!I91</f>
        <v>0</v>
      </c>
      <c r="J99" s="131" cm="1">
        <f t="array" ref="J99">'Question_Bank'!J91</f>
        <v>0</v>
      </c>
      <c r="K99" s="131" cm="1">
        <f t="array" ref="K99">'Question_Bank'!K91</f>
        <v>0</v>
      </c>
      <c r="L99" s="131" cm="1">
        <f t="array" ref="L99">'Question_Bank'!L91</f>
        <v>0</v>
      </c>
      <c r="M99" s="132"/>
      <c r="N99" t="str" s="97" cm="1">
        <f t="array" ref="N99">IF(M99="","",IF(F99="MCQ",IF(UPPER(M99)=UPPER(L99),1,0),IF(O99="Yes",6-VALUE(M99),VALUE(M99))))</f>
      </c>
      <c r="O99" t="str" s="97" cm="1">
        <f t="array" ref="O99">'Question_Bank'!N91</f>
        <v>No</v>
      </c>
      <c r="P99" s="133" cm="1">
        <f t="array" ref="P99">IF(F99="MCQ",1,5)</f>
        <v>5</v>
      </c>
    </row>
    <row r="100" ht="42" customHeight="1">
      <c r="A100" t="str" s="130" cm="1">
        <f t="array" ref="A100">'Question_Bank'!A92</f>
        <v>NPI0088</v>
      </c>
      <c r="B100" t="str" s="97" cm="1">
        <f t="array" ref="B100">'Question_Bank'!B92</f>
        <v>8-12</v>
      </c>
      <c r="C100" t="str" s="97" cm="1">
        <f t="array" ref="C100">'Question_Bank'!C92</f>
        <v>RIASEC Interest</v>
      </c>
      <c r="D100" t="str" s="97" cm="1">
        <f t="array" ref="D100">'Question_Bank'!D92</f>
        <v>Conventional</v>
      </c>
      <c r="E100" t="str" s="97" cm="1">
        <f t="array" ref="E100">'Question_Bank'!E92</f>
        <v>C</v>
      </c>
      <c r="F100" t="str" s="97" cm="1">
        <f t="array" ref="F100">'Question_Bank'!F92</f>
        <v>Likert</v>
      </c>
      <c r="G100" t="str" s="97" cm="1">
        <f t="array" ref="G100">'Question_Bank'!G92</f>
        <v>I enjoy activities involving planning ahead.</v>
      </c>
      <c r="H100" s="131" cm="1">
        <f t="array" ref="H100">'Question_Bank'!H92</f>
        <v>0</v>
      </c>
      <c r="I100" s="131" cm="1">
        <f t="array" ref="I100">'Question_Bank'!I92</f>
        <v>0</v>
      </c>
      <c r="J100" s="131" cm="1">
        <f t="array" ref="J100">'Question_Bank'!J92</f>
        <v>0</v>
      </c>
      <c r="K100" s="131" cm="1">
        <f t="array" ref="K100">'Question_Bank'!K92</f>
        <v>0</v>
      </c>
      <c r="L100" s="131" cm="1">
        <f t="array" ref="L100">'Question_Bank'!L92</f>
        <v>0</v>
      </c>
      <c r="M100" s="132"/>
      <c r="N100" t="str" s="97" cm="1">
        <f t="array" ref="N100">IF(M100="","",IF(F100="MCQ",IF(UPPER(M100)=UPPER(L100),1,0),IF(O100="Yes",6-VALUE(M100),VALUE(M100))))</f>
      </c>
      <c r="O100" t="str" s="97" cm="1">
        <f t="array" ref="O100">'Question_Bank'!N92</f>
        <v>No</v>
      </c>
      <c r="P100" s="133" cm="1">
        <f t="array" ref="P100">IF(F100="MCQ",1,5)</f>
        <v>5</v>
      </c>
    </row>
    <row r="101" ht="42" customHeight="1">
      <c r="A101" t="str" s="130" cm="1">
        <f t="array" ref="A101">'Question_Bank'!A93</f>
        <v>NPI0089</v>
      </c>
      <c r="B101" t="str" s="97" cm="1">
        <f t="array" ref="B101">'Question_Bank'!B93</f>
        <v>8-12</v>
      </c>
      <c r="C101" t="str" s="97" cm="1">
        <f t="array" ref="C101">'Question_Bank'!C93</f>
        <v>RIASEC Interest</v>
      </c>
      <c r="D101" t="str" s="97" cm="1">
        <f t="array" ref="D101">'Question_Bank'!D93</f>
        <v>Conventional</v>
      </c>
      <c r="E101" t="str" s="97" cm="1">
        <f t="array" ref="E101">'Question_Bank'!E93</f>
        <v>C</v>
      </c>
      <c r="F101" t="str" s="97" cm="1">
        <f t="array" ref="F101">'Question_Bank'!F93</f>
        <v>Likert</v>
      </c>
      <c r="G101" t="str" s="97" cm="1">
        <f t="array" ref="G101">'Question_Bank'!G93</f>
        <v>I enjoy activities involving administration.</v>
      </c>
      <c r="H101" s="131" cm="1">
        <f t="array" ref="H101">'Question_Bank'!H93</f>
        <v>0</v>
      </c>
      <c r="I101" s="131" cm="1">
        <f t="array" ref="I101">'Question_Bank'!I93</f>
        <v>0</v>
      </c>
      <c r="J101" s="131" cm="1">
        <f t="array" ref="J101">'Question_Bank'!J93</f>
        <v>0</v>
      </c>
      <c r="K101" s="131" cm="1">
        <f t="array" ref="K101">'Question_Bank'!K93</f>
        <v>0</v>
      </c>
      <c r="L101" s="131" cm="1">
        <f t="array" ref="L101">'Question_Bank'!L93</f>
        <v>0</v>
      </c>
      <c r="M101" s="132"/>
      <c r="N101" t="str" s="97" cm="1">
        <f t="array" ref="N101">IF(M101="","",IF(F101="MCQ",IF(UPPER(M101)=UPPER(L101),1,0),IF(O101="Yes",6-VALUE(M101),VALUE(M101))))</f>
      </c>
      <c r="O101" t="str" s="97" cm="1">
        <f t="array" ref="O101">'Question_Bank'!N93</f>
        <v>No</v>
      </c>
      <c r="P101" s="133" cm="1">
        <f t="array" ref="P101">IF(F101="MCQ",1,5)</f>
        <v>5</v>
      </c>
    </row>
    <row r="102" ht="42" customHeight="1">
      <c r="A102" t="str" s="130" cm="1">
        <f t="array" ref="A102">'Question_Bank'!A94</f>
        <v>NPI0090</v>
      </c>
      <c r="B102" t="str" s="97" cm="1">
        <f t="array" ref="B102">'Question_Bank'!B94</f>
        <v>8-12</v>
      </c>
      <c r="C102" t="str" s="97" cm="1">
        <f t="array" ref="C102">'Question_Bank'!C94</f>
        <v>RIASEC Interest</v>
      </c>
      <c r="D102" t="str" s="97" cm="1">
        <f t="array" ref="D102">'Question_Bank'!D94</f>
        <v>Conventional</v>
      </c>
      <c r="E102" t="str" s="97" cm="1">
        <f t="array" ref="E102">'Question_Bank'!E94</f>
        <v>C</v>
      </c>
      <c r="F102" t="str" s="97" cm="1">
        <f t="array" ref="F102">'Question_Bank'!F94</f>
        <v>Likert</v>
      </c>
      <c r="G102" t="str" s="97" cm="1">
        <f t="array" ref="G102">'Question_Bank'!G94</f>
        <v>I enjoy activities involving clear rules.</v>
      </c>
      <c r="H102" s="131" cm="1">
        <f t="array" ref="H102">'Question_Bank'!H94</f>
        <v>0</v>
      </c>
      <c r="I102" s="131" cm="1">
        <f t="array" ref="I102">'Question_Bank'!I94</f>
        <v>0</v>
      </c>
      <c r="J102" s="131" cm="1">
        <f t="array" ref="J102">'Question_Bank'!J94</f>
        <v>0</v>
      </c>
      <c r="K102" s="131" cm="1">
        <f t="array" ref="K102">'Question_Bank'!K94</f>
        <v>0</v>
      </c>
      <c r="L102" s="131" cm="1">
        <f t="array" ref="L102">'Question_Bank'!L94</f>
        <v>0</v>
      </c>
      <c r="M102" s="132"/>
      <c r="N102" t="str" s="97" cm="1">
        <f t="array" ref="N102">IF(M102="","",IF(F102="MCQ",IF(UPPER(M102)=UPPER(L102),1,0),IF(O102="Yes",6-VALUE(M102),VALUE(M102))))</f>
      </c>
      <c r="O102" t="str" s="97" cm="1">
        <f t="array" ref="O102">'Question_Bank'!N94</f>
        <v>No</v>
      </c>
      <c r="P102" s="133" cm="1">
        <f t="array" ref="P102">IF(F102="MCQ",1,5)</f>
        <v>5</v>
      </c>
    </row>
    <row r="103" ht="42" customHeight="1">
      <c r="A103" t="str" s="130" cm="1">
        <f t="array" ref="A103">'Question_Bank'!A95</f>
        <v>NPI0091</v>
      </c>
      <c r="B103" t="str" s="97" cm="1">
        <f t="array" ref="B103">'Question_Bank'!B95</f>
        <v>8-12</v>
      </c>
      <c r="C103" t="str" s="97" cm="1">
        <f t="array" ref="C103">'Question_Bank'!C95</f>
        <v>Big Five Personality</v>
      </c>
      <c r="D103" t="str" s="97" cm="1">
        <f t="array" ref="D103">'Question_Bank'!D95</f>
        <v>Openness</v>
      </c>
      <c r="E103" t="str" s="97" cm="1">
        <f t="array" ref="E103">'Question_Bank'!E95</f>
        <v>Openness</v>
      </c>
      <c r="F103" t="str" s="97" cm="1">
        <f t="array" ref="F103">'Question_Bank'!F95</f>
        <v>Likert</v>
      </c>
      <c r="G103" t="str" s="97" cm="1">
        <f t="array" ref="G103">'Question_Bank'!G95</f>
        <v>I enjoy trying new learning methods.</v>
      </c>
      <c r="H103" s="131" cm="1">
        <f t="array" ref="H103">'Question_Bank'!H95</f>
        <v>0</v>
      </c>
      <c r="I103" s="131" cm="1">
        <f t="array" ref="I103">'Question_Bank'!I95</f>
        <v>0</v>
      </c>
      <c r="J103" s="131" cm="1">
        <f t="array" ref="J103">'Question_Bank'!J95</f>
        <v>0</v>
      </c>
      <c r="K103" s="131" cm="1">
        <f t="array" ref="K103">'Question_Bank'!K95</f>
        <v>0</v>
      </c>
      <c r="L103" s="131" cm="1">
        <f t="array" ref="L103">'Question_Bank'!L95</f>
        <v>0</v>
      </c>
      <c r="M103" s="132"/>
      <c r="N103" t="str" s="97" cm="1">
        <f t="array" ref="N103">IF(M103="","",IF(F103="MCQ",IF(UPPER(M103)=UPPER(L103),1,0),IF(O103="Yes",6-VALUE(M103),VALUE(M103))))</f>
      </c>
      <c r="O103" t="str" s="97" cm="1">
        <f t="array" ref="O103">'Question_Bank'!N95</f>
        <v>No</v>
      </c>
      <c r="P103" s="133" cm="1">
        <f t="array" ref="P103">IF(F103="MCQ",1,5)</f>
        <v>5</v>
      </c>
    </row>
    <row r="104" ht="42" customHeight="1">
      <c r="A104" t="str" s="130" cm="1">
        <f t="array" ref="A104">'Question_Bank'!A96</f>
        <v>NPI0092</v>
      </c>
      <c r="B104" t="str" s="97" cm="1">
        <f t="array" ref="B104">'Question_Bank'!B96</f>
        <v>8-12</v>
      </c>
      <c r="C104" t="str" s="97" cm="1">
        <f t="array" ref="C104">'Question_Bank'!C96</f>
        <v>Big Five Personality</v>
      </c>
      <c r="D104" t="str" s="97" cm="1">
        <f t="array" ref="D104">'Question_Bank'!D96</f>
        <v>Openness</v>
      </c>
      <c r="E104" t="str" s="97" cm="1">
        <f t="array" ref="E104">'Question_Bank'!E96</f>
        <v>Openness</v>
      </c>
      <c r="F104" t="str" s="97" cm="1">
        <f t="array" ref="F104">'Question_Bank'!F96</f>
        <v>Likert</v>
      </c>
      <c r="G104" t="str" s="97" cm="1">
        <f t="array" ref="G104">'Question_Bank'!G96</f>
        <v>I enjoy exploring unfamiliar ideas.</v>
      </c>
      <c r="H104" s="131" cm="1">
        <f t="array" ref="H104">'Question_Bank'!H96</f>
        <v>0</v>
      </c>
      <c r="I104" s="131" cm="1">
        <f t="array" ref="I104">'Question_Bank'!I96</f>
        <v>0</v>
      </c>
      <c r="J104" s="131" cm="1">
        <f t="array" ref="J104">'Question_Bank'!J96</f>
        <v>0</v>
      </c>
      <c r="K104" s="131" cm="1">
        <f t="array" ref="K104">'Question_Bank'!K96</f>
        <v>0</v>
      </c>
      <c r="L104" s="131" cm="1">
        <f t="array" ref="L104">'Question_Bank'!L96</f>
        <v>0</v>
      </c>
      <c r="M104" s="132"/>
      <c r="N104" t="str" s="97" cm="1">
        <f t="array" ref="N104">IF(M104="","",IF(F104="MCQ",IF(UPPER(M104)=UPPER(L104),1,0),IF(O104="Yes",6-VALUE(M104),VALUE(M104))))</f>
      </c>
      <c r="O104" t="str" s="97" cm="1">
        <f t="array" ref="O104">'Question_Bank'!N96</f>
        <v>No</v>
      </c>
      <c r="P104" s="133" cm="1">
        <f t="array" ref="P104">IF(F104="MCQ",1,5)</f>
        <v>5</v>
      </c>
    </row>
    <row r="105" ht="42" customHeight="1">
      <c r="A105" t="str" s="130" cm="1">
        <f t="array" ref="A105">'Question_Bank'!A97</f>
        <v>NPI0093</v>
      </c>
      <c r="B105" t="str" s="97" cm="1">
        <f t="array" ref="B105">'Question_Bank'!B97</f>
        <v>8-12</v>
      </c>
      <c r="C105" t="str" s="97" cm="1">
        <f t="array" ref="C105">'Question_Bank'!C97</f>
        <v>Big Five Personality</v>
      </c>
      <c r="D105" t="str" s="97" cm="1">
        <f t="array" ref="D105">'Question_Bank'!D97</f>
        <v>Openness</v>
      </c>
      <c r="E105" t="str" s="97" cm="1">
        <f t="array" ref="E105">'Question_Bank'!E97</f>
        <v>Openness</v>
      </c>
      <c r="F105" t="str" s="97" cm="1">
        <f t="array" ref="F105">'Question_Bank'!F97</f>
        <v>Likert</v>
      </c>
      <c r="G105" t="str" s="97" cm="1">
        <f t="array" ref="G105">'Question_Bank'!G97</f>
        <v>I enjoy creative assignments.</v>
      </c>
      <c r="H105" s="131" cm="1">
        <f t="array" ref="H105">'Question_Bank'!H97</f>
        <v>0</v>
      </c>
      <c r="I105" s="131" cm="1">
        <f t="array" ref="I105">'Question_Bank'!I97</f>
        <v>0</v>
      </c>
      <c r="J105" s="131" cm="1">
        <f t="array" ref="J105">'Question_Bank'!J97</f>
        <v>0</v>
      </c>
      <c r="K105" s="131" cm="1">
        <f t="array" ref="K105">'Question_Bank'!K97</f>
        <v>0</v>
      </c>
      <c r="L105" s="131" cm="1">
        <f t="array" ref="L105">'Question_Bank'!L97</f>
        <v>0</v>
      </c>
      <c r="M105" s="132"/>
      <c r="N105" t="str" s="97" cm="1">
        <f t="array" ref="N105">IF(M105="","",IF(F105="MCQ",IF(UPPER(M105)=UPPER(L105),1,0),IF(O105="Yes",6-VALUE(M105),VALUE(M105))))</f>
      </c>
      <c r="O105" t="str" s="97" cm="1">
        <f t="array" ref="O105">'Question_Bank'!N97</f>
        <v>No</v>
      </c>
      <c r="P105" s="133" cm="1">
        <f t="array" ref="P105">IF(F105="MCQ",1,5)</f>
        <v>5</v>
      </c>
    </row>
    <row r="106" ht="42" customHeight="1">
      <c r="A106" t="str" s="130" cm="1">
        <f t="array" ref="A106">'Question_Bank'!A98</f>
        <v>NPI0094</v>
      </c>
      <c r="B106" t="str" s="97" cm="1">
        <f t="array" ref="B106">'Question_Bank'!B98</f>
        <v>8-12</v>
      </c>
      <c r="C106" t="str" s="97" cm="1">
        <f t="array" ref="C106">'Question_Bank'!C98</f>
        <v>Big Five Personality</v>
      </c>
      <c r="D106" t="str" s="97" cm="1">
        <f t="array" ref="D106">'Question_Bank'!D98</f>
        <v>Openness</v>
      </c>
      <c r="E106" t="str" s="97" cm="1">
        <f t="array" ref="E106">'Question_Bank'!E98</f>
        <v>Openness</v>
      </c>
      <c r="F106" t="str" s="97" cm="1">
        <f t="array" ref="F106">'Question_Bank'!F98</f>
        <v>Likert</v>
      </c>
      <c r="G106" t="str" s="97" cm="1">
        <f t="array" ref="G106">'Question_Bank'!G98</f>
        <v>I enjoy thinking about future possibilities.</v>
      </c>
      <c r="H106" s="131" cm="1">
        <f t="array" ref="H106">'Question_Bank'!H98</f>
        <v>0</v>
      </c>
      <c r="I106" s="131" cm="1">
        <f t="array" ref="I106">'Question_Bank'!I98</f>
        <v>0</v>
      </c>
      <c r="J106" s="131" cm="1">
        <f t="array" ref="J106">'Question_Bank'!J98</f>
        <v>0</v>
      </c>
      <c r="K106" s="131" cm="1">
        <f t="array" ref="K106">'Question_Bank'!K98</f>
        <v>0</v>
      </c>
      <c r="L106" s="131" cm="1">
        <f t="array" ref="L106">'Question_Bank'!L98</f>
        <v>0</v>
      </c>
      <c r="M106" s="132"/>
      <c r="N106" t="str" s="97" cm="1">
        <f t="array" ref="N106">IF(M106="","",IF(F106="MCQ",IF(UPPER(M106)=UPPER(L106),1,0),IF(O106="Yes",6-VALUE(M106),VALUE(M106))))</f>
      </c>
      <c r="O106" t="str" s="97" cm="1">
        <f t="array" ref="O106">'Question_Bank'!N98</f>
        <v>No</v>
      </c>
      <c r="P106" s="133" cm="1">
        <f t="array" ref="P106">IF(F106="MCQ",1,5)</f>
        <v>5</v>
      </c>
    </row>
    <row r="107" ht="42" customHeight="1">
      <c r="A107" t="str" s="130" cm="1">
        <f t="array" ref="A107">'Question_Bank'!A99</f>
        <v>NPI0095</v>
      </c>
      <c r="B107" t="str" s="97" cm="1">
        <f t="array" ref="B107">'Question_Bank'!B99</f>
        <v>8-12</v>
      </c>
      <c r="C107" t="str" s="97" cm="1">
        <f t="array" ref="C107">'Question_Bank'!C99</f>
        <v>Big Five Personality</v>
      </c>
      <c r="D107" t="str" s="97" cm="1">
        <f t="array" ref="D107">'Question_Bank'!D99</f>
        <v>Openness</v>
      </c>
      <c r="E107" t="str" s="97" cm="1">
        <f t="array" ref="E107">'Question_Bank'!E99</f>
        <v>Openness</v>
      </c>
      <c r="F107" t="str" s="97" cm="1">
        <f t="array" ref="F107">'Question_Bank'!F99</f>
        <v>Likert</v>
      </c>
      <c r="G107" t="str" s="97" cm="1">
        <f t="array" ref="G107">'Question_Bank'!G99</f>
        <v>I enjoy connecting different subjects.</v>
      </c>
      <c r="H107" s="131" cm="1">
        <f t="array" ref="H107">'Question_Bank'!H99</f>
        <v>0</v>
      </c>
      <c r="I107" s="131" cm="1">
        <f t="array" ref="I107">'Question_Bank'!I99</f>
        <v>0</v>
      </c>
      <c r="J107" s="131" cm="1">
        <f t="array" ref="J107">'Question_Bank'!J99</f>
        <v>0</v>
      </c>
      <c r="K107" s="131" cm="1">
        <f t="array" ref="K107">'Question_Bank'!K99</f>
        <v>0</v>
      </c>
      <c r="L107" s="131" cm="1">
        <f t="array" ref="L107">'Question_Bank'!L99</f>
        <v>0</v>
      </c>
      <c r="M107" s="132"/>
      <c r="N107" t="str" s="97" cm="1">
        <f t="array" ref="N107">IF(M107="","",IF(F107="MCQ",IF(UPPER(M107)=UPPER(L107),1,0),IF(O107="Yes",6-VALUE(M107),VALUE(M107))))</f>
      </c>
      <c r="O107" t="str" s="97" cm="1">
        <f t="array" ref="O107">'Question_Bank'!N99</f>
        <v>No</v>
      </c>
      <c r="P107" s="133" cm="1">
        <f t="array" ref="P107">IF(F107="MCQ",1,5)</f>
        <v>5</v>
      </c>
    </row>
    <row r="108" ht="42" customHeight="1">
      <c r="A108" t="str" s="130" cm="1">
        <f t="array" ref="A108">'Question_Bank'!A100</f>
        <v>NPI0096</v>
      </c>
      <c r="B108" t="str" s="97" cm="1">
        <f t="array" ref="B108">'Question_Bank'!B100</f>
        <v>8-12</v>
      </c>
      <c r="C108" t="str" s="97" cm="1">
        <f t="array" ref="C108">'Question_Bank'!C100</f>
        <v>Big Five Personality</v>
      </c>
      <c r="D108" t="str" s="97" cm="1">
        <f t="array" ref="D108">'Question_Bank'!D100</f>
        <v>Openness</v>
      </c>
      <c r="E108" t="str" s="97" cm="1">
        <f t="array" ref="E108">'Question_Bank'!E100</f>
        <v>Openness</v>
      </c>
      <c r="F108" t="str" s="97" cm="1">
        <f t="array" ref="F108">'Question_Bank'!F100</f>
        <v>Likert</v>
      </c>
      <c r="G108" t="str" s="97" cm="1">
        <f t="array" ref="G108">'Question_Bank'!G100</f>
        <v>I enjoy asking unusual questions.</v>
      </c>
      <c r="H108" s="131" cm="1">
        <f t="array" ref="H108">'Question_Bank'!H100</f>
        <v>0</v>
      </c>
      <c r="I108" s="131" cm="1">
        <f t="array" ref="I108">'Question_Bank'!I100</f>
        <v>0</v>
      </c>
      <c r="J108" s="131" cm="1">
        <f t="array" ref="J108">'Question_Bank'!J100</f>
        <v>0</v>
      </c>
      <c r="K108" s="131" cm="1">
        <f t="array" ref="K108">'Question_Bank'!K100</f>
        <v>0</v>
      </c>
      <c r="L108" s="131" cm="1">
        <f t="array" ref="L108">'Question_Bank'!L100</f>
        <v>0</v>
      </c>
      <c r="M108" s="132"/>
      <c r="N108" t="str" s="97" cm="1">
        <f t="array" ref="N108">IF(M108="","",IF(F108="MCQ",IF(UPPER(M108)=UPPER(L108),1,0),IF(O108="Yes",6-VALUE(M108),VALUE(M108))))</f>
      </c>
      <c r="O108" t="str" s="97" cm="1">
        <f t="array" ref="O108">'Question_Bank'!N100</f>
        <v>No</v>
      </c>
      <c r="P108" s="133" cm="1">
        <f t="array" ref="P108">IF(F108="MCQ",1,5)</f>
        <v>5</v>
      </c>
    </row>
    <row r="109" ht="42" customHeight="1">
      <c r="A109" t="str" s="130" cm="1">
        <f t="array" ref="A109">'Question_Bank'!A101</f>
        <v>NPI0097</v>
      </c>
      <c r="B109" t="str" s="97" cm="1">
        <f t="array" ref="B109">'Question_Bank'!B101</f>
        <v>8-12</v>
      </c>
      <c r="C109" t="str" s="97" cm="1">
        <f t="array" ref="C109">'Question_Bank'!C101</f>
        <v>Big Five Personality</v>
      </c>
      <c r="D109" t="str" s="97" cm="1">
        <f t="array" ref="D109">'Question_Bank'!D101</f>
        <v>Openness</v>
      </c>
      <c r="E109" t="str" s="97" cm="1">
        <f t="array" ref="E109">'Question_Bank'!E101</f>
        <v>Openness</v>
      </c>
      <c r="F109" t="str" s="97" cm="1">
        <f t="array" ref="F109">'Question_Bank'!F101</f>
        <v>Likert</v>
      </c>
      <c r="G109" t="str" s="97" cm="1">
        <f t="array" ref="G109">'Question_Bank'!G101</f>
        <v>I enjoy learning beyond the textbook.</v>
      </c>
      <c r="H109" s="131" cm="1">
        <f t="array" ref="H109">'Question_Bank'!H101</f>
        <v>0</v>
      </c>
      <c r="I109" s="131" cm="1">
        <f t="array" ref="I109">'Question_Bank'!I101</f>
        <v>0</v>
      </c>
      <c r="J109" s="131" cm="1">
        <f t="array" ref="J109">'Question_Bank'!J101</f>
        <v>0</v>
      </c>
      <c r="K109" s="131" cm="1">
        <f t="array" ref="K109">'Question_Bank'!K101</f>
        <v>0</v>
      </c>
      <c r="L109" s="131" cm="1">
        <f t="array" ref="L109">'Question_Bank'!L101</f>
        <v>0</v>
      </c>
      <c r="M109" s="132"/>
      <c r="N109" t="str" s="97" cm="1">
        <f t="array" ref="N109">IF(M109="","",IF(F109="MCQ",IF(UPPER(M109)=UPPER(L109),1,0),IF(O109="Yes",6-VALUE(M109),VALUE(M109))))</f>
      </c>
      <c r="O109" t="str" s="97" cm="1">
        <f t="array" ref="O109">'Question_Bank'!N101</f>
        <v>No</v>
      </c>
      <c r="P109" s="133" cm="1">
        <f t="array" ref="P109">IF(F109="MCQ",1,5)</f>
        <v>5</v>
      </c>
    </row>
    <row r="110" ht="42" customHeight="1">
      <c r="A110" t="str" s="130" cm="1">
        <f t="array" ref="A110">'Question_Bank'!A102</f>
        <v>NPI0098</v>
      </c>
      <c r="B110" t="str" s="97" cm="1">
        <f t="array" ref="B110">'Question_Bank'!B102</f>
        <v>8-12</v>
      </c>
      <c r="C110" t="str" s="97" cm="1">
        <f t="array" ref="C110">'Question_Bank'!C102</f>
        <v>Big Five Personality</v>
      </c>
      <c r="D110" t="str" s="97" cm="1">
        <f t="array" ref="D110">'Question_Bank'!D102</f>
        <v>Openness</v>
      </c>
      <c r="E110" t="str" s="97" cm="1">
        <f t="array" ref="E110">'Question_Bank'!E102</f>
        <v>Openness</v>
      </c>
      <c r="F110" t="str" s="97" cm="1">
        <f t="array" ref="F110">'Question_Bank'!F102</f>
        <v>Likert</v>
      </c>
      <c r="G110" t="str" s="97" cm="1">
        <f t="array" ref="G110">'Question_Bank'!G102</f>
        <v>I enjoy innovation and discovery.</v>
      </c>
      <c r="H110" s="131" cm="1">
        <f t="array" ref="H110">'Question_Bank'!H102</f>
        <v>0</v>
      </c>
      <c r="I110" s="131" cm="1">
        <f t="array" ref="I110">'Question_Bank'!I102</f>
        <v>0</v>
      </c>
      <c r="J110" s="131" cm="1">
        <f t="array" ref="J110">'Question_Bank'!J102</f>
        <v>0</v>
      </c>
      <c r="K110" s="131" cm="1">
        <f t="array" ref="K110">'Question_Bank'!K102</f>
        <v>0</v>
      </c>
      <c r="L110" s="131" cm="1">
        <f t="array" ref="L110">'Question_Bank'!L102</f>
        <v>0</v>
      </c>
      <c r="M110" s="132"/>
      <c r="N110" t="str" s="97" cm="1">
        <f t="array" ref="N110">IF(M110="","",IF(F110="MCQ",IF(UPPER(M110)=UPPER(L110),1,0),IF(O110="Yes",6-VALUE(M110),VALUE(M110))))</f>
      </c>
      <c r="O110" t="str" s="97" cm="1">
        <f t="array" ref="O110">'Question_Bank'!N102</f>
        <v>No</v>
      </c>
      <c r="P110" s="133" cm="1">
        <f t="array" ref="P110">IF(F110="MCQ",1,5)</f>
        <v>5</v>
      </c>
    </row>
    <row r="111" ht="42" customHeight="1">
      <c r="A111" t="str" s="130" cm="1">
        <f t="array" ref="A111">'Question_Bank'!A103</f>
        <v>NPI0099</v>
      </c>
      <c r="B111" t="str" s="97" cm="1">
        <f t="array" ref="B111">'Question_Bank'!B103</f>
        <v>8-12</v>
      </c>
      <c r="C111" t="str" s="97" cm="1">
        <f t="array" ref="C111">'Question_Bank'!C103</f>
        <v>Big Five Personality</v>
      </c>
      <c r="D111" t="str" s="97" cm="1">
        <f t="array" ref="D111">'Question_Bank'!D103</f>
        <v>Openness</v>
      </c>
      <c r="E111" t="str" s="97" cm="1">
        <f t="array" ref="E111">'Question_Bank'!E103</f>
        <v>Openness</v>
      </c>
      <c r="F111" t="str" s="97" cm="1">
        <f t="array" ref="F111">'Question_Bank'!F103</f>
        <v>Likert</v>
      </c>
      <c r="G111" t="str" s="97" cm="1">
        <f t="array" ref="G111">'Question_Bank'!G103</f>
        <v>I enjoy imagining new solutions.</v>
      </c>
      <c r="H111" s="131" cm="1">
        <f t="array" ref="H111">'Question_Bank'!H103</f>
        <v>0</v>
      </c>
      <c r="I111" s="131" cm="1">
        <f t="array" ref="I111">'Question_Bank'!I103</f>
        <v>0</v>
      </c>
      <c r="J111" s="131" cm="1">
        <f t="array" ref="J111">'Question_Bank'!J103</f>
        <v>0</v>
      </c>
      <c r="K111" s="131" cm="1">
        <f t="array" ref="K111">'Question_Bank'!K103</f>
        <v>0</v>
      </c>
      <c r="L111" s="131" cm="1">
        <f t="array" ref="L111">'Question_Bank'!L103</f>
        <v>0</v>
      </c>
      <c r="M111" s="132"/>
      <c r="N111" t="str" s="97" cm="1">
        <f t="array" ref="N111">IF(M111="","",IF(F111="MCQ",IF(UPPER(M111)=UPPER(L111),1,0),IF(O111="Yes",6-VALUE(M111),VALUE(M111))))</f>
      </c>
      <c r="O111" t="str" s="97" cm="1">
        <f t="array" ref="O111">'Question_Bank'!N103</f>
        <v>No</v>
      </c>
      <c r="P111" s="133" cm="1">
        <f t="array" ref="P111">IF(F111="MCQ",1,5)</f>
        <v>5</v>
      </c>
    </row>
    <row r="112" ht="42" customHeight="1">
      <c r="A112" t="str" s="130" cm="1">
        <f t="array" ref="A112">'Question_Bank'!A104</f>
        <v>NPI0100</v>
      </c>
      <c r="B112" t="str" s="97" cm="1">
        <f t="array" ref="B112">'Question_Bank'!B104</f>
        <v>8-12</v>
      </c>
      <c r="C112" t="str" s="97" cm="1">
        <f t="array" ref="C112">'Question_Bank'!C104</f>
        <v>Big Five Personality</v>
      </c>
      <c r="D112" t="str" s="97" cm="1">
        <f t="array" ref="D112">'Question_Bank'!D104</f>
        <v>Openness</v>
      </c>
      <c r="E112" t="str" s="97" cm="1">
        <f t="array" ref="E112">'Question_Bank'!E104</f>
        <v>Openness</v>
      </c>
      <c r="F112" t="str" s="97" cm="1">
        <f t="array" ref="F112">'Question_Bank'!F104</f>
        <v>Likert</v>
      </c>
      <c r="G112" t="str" s="97" cm="1">
        <f t="array" ref="G112">'Question_Bank'!G104</f>
        <v>I enjoy understanding different viewpoints.</v>
      </c>
      <c r="H112" s="131" cm="1">
        <f t="array" ref="H112">'Question_Bank'!H104</f>
        <v>0</v>
      </c>
      <c r="I112" s="131" cm="1">
        <f t="array" ref="I112">'Question_Bank'!I104</f>
        <v>0</v>
      </c>
      <c r="J112" s="131" cm="1">
        <f t="array" ref="J112">'Question_Bank'!J104</f>
        <v>0</v>
      </c>
      <c r="K112" s="131" cm="1">
        <f t="array" ref="K112">'Question_Bank'!K104</f>
        <v>0</v>
      </c>
      <c r="L112" s="131" cm="1">
        <f t="array" ref="L112">'Question_Bank'!L104</f>
        <v>0</v>
      </c>
      <c r="M112" s="132"/>
      <c r="N112" t="str" s="97" cm="1">
        <f t="array" ref="N112">IF(M112="","",IF(F112="MCQ",IF(UPPER(M112)=UPPER(L112),1,0),IF(O112="Yes",6-VALUE(M112),VALUE(M112))))</f>
      </c>
      <c r="O112" t="str" s="97" cm="1">
        <f t="array" ref="O112">'Question_Bank'!N104</f>
        <v>No</v>
      </c>
      <c r="P112" s="133" cm="1">
        <f t="array" ref="P112">IF(F112="MCQ",1,5)</f>
        <v>5</v>
      </c>
    </row>
    <row r="113" ht="42" customHeight="1">
      <c r="A113" t="str" s="130" cm="1">
        <f t="array" ref="A113">'Question_Bank'!A105</f>
        <v>NPI0101</v>
      </c>
      <c r="B113" t="str" s="97" cm="1">
        <f t="array" ref="B113">'Question_Bank'!B105</f>
        <v>8-12</v>
      </c>
      <c r="C113" t="str" s="97" cm="1">
        <f t="array" ref="C113">'Question_Bank'!C105</f>
        <v>Big Five Personality</v>
      </c>
      <c r="D113" t="str" s="97" cm="1">
        <f t="array" ref="D113">'Question_Bank'!D105</f>
        <v>Openness</v>
      </c>
      <c r="E113" t="str" s="97" cm="1">
        <f t="array" ref="E113">'Question_Bank'!E105</f>
        <v>Openness</v>
      </c>
      <c r="F113" t="str" s="97" cm="1">
        <f t="array" ref="F113">'Question_Bank'!F105</f>
        <v>Likert</v>
      </c>
      <c r="G113" t="str" s="97" cm="1">
        <f t="array" ref="G113">'Question_Bank'!G105</f>
        <v>I enjoy open-ended projects.</v>
      </c>
      <c r="H113" s="131" cm="1">
        <f t="array" ref="H113">'Question_Bank'!H105</f>
        <v>0</v>
      </c>
      <c r="I113" s="131" cm="1">
        <f t="array" ref="I113">'Question_Bank'!I105</f>
        <v>0</v>
      </c>
      <c r="J113" s="131" cm="1">
        <f t="array" ref="J113">'Question_Bank'!J105</f>
        <v>0</v>
      </c>
      <c r="K113" s="131" cm="1">
        <f t="array" ref="K113">'Question_Bank'!K105</f>
        <v>0</v>
      </c>
      <c r="L113" s="131" cm="1">
        <f t="array" ref="L113">'Question_Bank'!L105</f>
        <v>0</v>
      </c>
      <c r="M113" s="132"/>
      <c r="N113" t="str" s="97" cm="1">
        <f t="array" ref="N113">IF(M113="","",IF(F113="MCQ",IF(UPPER(M113)=UPPER(L113),1,0),IF(O113="Yes",6-VALUE(M113),VALUE(M113))))</f>
      </c>
      <c r="O113" t="str" s="97" cm="1">
        <f t="array" ref="O113">'Question_Bank'!N105</f>
        <v>No</v>
      </c>
      <c r="P113" s="133" cm="1">
        <f t="array" ref="P113">IF(F113="MCQ",1,5)</f>
        <v>5</v>
      </c>
    </row>
    <row r="114" ht="42" customHeight="1">
      <c r="A114" t="str" s="130" cm="1">
        <f t="array" ref="A114">'Question_Bank'!A106</f>
        <v>NPI0102</v>
      </c>
      <c r="B114" t="str" s="97" cm="1">
        <f t="array" ref="B114">'Question_Bank'!B106</f>
        <v>8-12</v>
      </c>
      <c r="C114" t="str" s="97" cm="1">
        <f t="array" ref="C114">'Question_Bank'!C106</f>
        <v>Big Five Personality</v>
      </c>
      <c r="D114" t="str" s="97" cm="1">
        <f t="array" ref="D114">'Question_Bank'!D106</f>
        <v>Openness</v>
      </c>
      <c r="E114" t="str" s="97" cm="1">
        <f t="array" ref="E114">'Question_Bank'!E106</f>
        <v>Openness</v>
      </c>
      <c r="F114" t="str" s="97" cm="1">
        <f t="array" ref="F114">'Question_Bank'!F106</f>
        <v>Likert</v>
      </c>
      <c r="G114" t="str" s="97" cm="1">
        <f t="array" ref="G114">'Question_Bank'!G106</f>
        <v>I enjoy new hobbies.</v>
      </c>
      <c r="H114" s="131" cm="1">
        <f t="array" ref="H114">'Question_Bank'!H106</f>
        <v>0</v>
      </c>
      <c r="I114" s="131" cm="1">
        <f t="array" ref="I114">'Question_Bank'!I106</f>
        <v>0</v>
      </c>
      <c r="J114" s="131" cm="1">
        <f t="array" ref="J114">'Question_Bank'!J106</f>
        <v>0</v>
      </c>
      <c r="K114" s="131" cm="1">
        <f t="array" ref="K114">'Question_Bank'!K106</f>
        <v>0</v>
      </c>
      <c r="L114" s="131" cm="1">
        <f t="array" ref="L114">'Question_Bank'!L106</f>
        <v>0</v>
      </c>
      <c r="M114" s="132"/>
      <c r="N114" t="str" s="97" cm="1">
        <f t="array" ref="N114">IF(M114="","",IF(F114="MCQ",IF(UPPER(M114)=UPPER(L114),1,0),IF(O114="Yes",6-VALUE(M114),VALUE(M114))))</f>
      </c>
      <c r="O114" t="str" s="97" cm="1">
        <f t="array" ref="O114">'Question_Bank'!N106</f>
        <v>No</v>
      </c>
      <c r="P114" s="133" cm="1">
        <f t="array" ref="P114">IF(F114="MCQ",1,5)</f>
        <v>5</v>
      </c>
    </row>
    <row r="115" ht="42" customHeight="1">
      <c r="A115" t="str" s="130" cm="1">
        <f t="array" ref="A115">'Question_Bank'!A107</f>
        <v>NPI0103</v>
      </c>
      <c r="B115" t="str" s="97" cm="1">
        <f t="array" ref="B115">'Question_Bank'!B107</f>
        <v>8-12</v>
      </c>
      <c r="C115" t="str" s="97" cm="1">
        <f t="array" ref="C115">'Question_Bank'!C107</f>
        <v>Big Five Personality</v>
      </c>
      <c r="D115" t="str" s="97" cm="1">
        <f t="array" ref="D115">'Question_Bank'!D107</f>
        <v>Openness</v>
      </c>
      <c r="E115" t="str" s="97" cm="1">
        <f t="array" ref="E115">'Question_Bank'!E107</f>
        <v>Openness</v>
      </c>
      <c r="F115" t="str" s="97" cm="1">
        <f t="array" ref="F115">'Question_Bank'!F107</f>
        <v>Likert</v>
      </c>
      <c r="G115" t="str" s="97" cm="1">
        <f t="array" ref="G115">'Question_Bank'!G107</f>
        <v>I enjoy reading about new topics.</v>
      </c>
      <c r="H115" s="131" cm="1">
        <f t="array" ref="H115">'Question_Bank'!H107</f>
        <v>0</v>
      </c>
      <c r="I115" s="131" cm="1">
        <f t="array" ref="I115">'Question_Bank'!I107</f>
        <v>0</v>
      </c>
      <c r="J115" s="131" cm="1">
        <f t="array" ref="J115">'Question_Bank'!J107</f>
        <v>0</v>
      </c>
      <c r="K115" s="131" cm="1">
        <f t="array" ref="K115">'Question_Bank'!K107</f>
        <v>0</v>
      </c>
      <c r="L115" s="131" cm="1">
        <f t="array" ref="L115">'Question_Bank'!L107</f>
        <v>0</v>
      </c>
      <c r="M115" s="132"/>
      <c r="N115" t="str" s="97" cm="1">
        <f t="array" ref="N115">IF(M115="","",IF(F115="MCQ",IF(UPPER(M115)=UPPER(L115),1,0),IF(O115="Yes",6-VALUE(M115),VALUE(M115))))</f>
      </c>
      <c r="O115" t="str" s="97" cm="1">
        <f t="array" ref="O115">'Question_Bank'!N107</f>
        <v>No</v>
      </c>
      <c r="P115" s="133" cm="1">
        <f t="array" ref="P115">IF(F115="MCQ",1,5)</f>
        <v>5</v>
      </c>
    </row>
    <row r="116" ht="42" customHeight="1">
      <c r="A116" t="str" s="130" cm="1">
        <f t="array" ref="A116">'Question_Bank'!A108</f>
        <v>NPI0104</v>
      </c>
      <c r="B116" t="str" s="97" cm="1">
        <f t="array" ref="B116">'Question_Bank'!B108</f>
        <v>8-12</v>
      </c>
      <c r="C116" t="str" s="97" cm="1">
        <f t="array" ref="C116">'Question_Bank'!C108</f>
        <v>Big Five Personality</v>
      </c>
      <c r="D116" t="str" s="97" cm="1">
        <f t="array" ref="D116">'Question_Bank'!D108</f>
        <v>Openness</v>
      </c>
      <c r="E116" t="str" s="97" cm="1">
        <f t="array" ref="E116">'Question_Bank'!E108</f>
        <v>Openness</v>
      </c>
      <c r="F116" t="str" s="97" cm="1">
        <f t="array" ref="F116">'Question_Bank'!F108</f>
        <v>Likert</v>
      </c>
      <c r="G116" t="str" s="97" cm="1">
        <f t="array" ref="G116">'Question_Bank'!G108</f>
        <v>I enjoy designing new approaches.</v>
      </c>
      <c r="H116" s="131" cm="1">
        <f t="array" ref="H116">'Question_Bank'!H108</f>
        <v>0</v>
      </c>
      <c r="I116" s="131" cm="1">
        <f t="array" ref="I116">'Question_Bank'!I108</f>
        <v>0</v>
      </c>
      <c r="J116" s="131" cm="1">
        <f t="array" ref="J116">'Question_Bank'!J108</f>
        <v>0</v>
      </c>
      <c r="K116" s="131" cm="1">
        <f t="array" ref="K116">'Question_Bank'!K108</f>
        <v>0</v>
      </c>
      <c r="L116" s="131" cm="1">
        <f t="array" ref="L116">'Question_Bank'!L108</f>
        <v>0</v>
      </c>
      <c r="M116" s="132"/>
      <c r="N116" t="str" s="97" cm="1">
        <f t="array" ref="N116">IF(M116="","",IF(F116="MCQ",IF(UPPER(M116)=UPPER(L116),1,0),IF(O116="Yes",6-VALUE(M116),VALUE(M116))))</f>
      </c>
      <c r="O116" t="str" s="97" cm="1">
        <f t="array" ref="O116">'Question_Bank'!N108</f>
        <v>No</v>
      </c>
      <c r="P116" s="133" cm="1">
        <f t="array" ref="P116">IF(F116="MCQ",1,5)</f>
        <v>5</v>
      </c>
    </row>
    <row r="117" ht="42" customHeight="1">
      <c r="A117" t="str" s="130" cm="1">
        <f t="array" ref="A117">'Question_Bank'!A109</f>
        <v>NPI0105</v>
      </c>
      <c r="B117" t="str" s="97" cm="1">
        <f t="array" ref="B117">'Question_Bank'!B109</f>
        <v>8-12</v>
      </c>
      <c r="C117" t="str" s="97" cm="1">
        <f t="array" ref="C117">'Question_Bank'!C109</f>
        <v>Big Five Personality</v>
      </c>
      <c r="D117" t="str" s="97" cm="1">
        <f t="array" ref="D117">'Question_Bank'!D109</f>
        <v>Openness</v>
      </c>
      <c r="E117" t="str" s="97" cm="1">
        <f t="array" ref="E117">'Question_Bank'!E109</f>
        <v>Openness</v>
      </c>
      <c r="F117" t="str" s="97" cm="1">
        <f t="array" ref="F117">'Question_Bank'!F109</f>
        <v>Likert</v>
      </c>
      <c r="G117" t="str" s="97" cm="1">
        <f t="array" ref="G117">'Question_Bank'!G109</f>
        <v>I enjoy changing my opinion when evidence changes.</v>
      </c>
      <c r="H117" s="131" cm="1">
        <f t="array" ref="H117">'Question_Bank'!H109</f>
        <v>0</v>
      </c>
      <c r="I117" s="131" cm="1">
        <f t="array" ref="I117">'Question_Bank'!I109</f>
        <v>0</v>
      </c>
      <c r="J117" s="131" cm="1">
        <f t="array" ref="J117">'Question_Bank'!J109</f>
        <v>0</v>
      </c>
      <c r="K117" s="131" cm="1">
        <f t="array" ref="K117">'Question_Bank'!K109</f>
        <v>0</v>
      </c>
      <c r="L117" s="131" cm="1">
        <f t="array" ref="L117">'Question_Bank'!L109</f>
        <v>0</v>
      </c>
      <c r="M117" s="132"/>
      <c r="N117" t="str" s="97" cm="1">
        <f t="array" ref="N117">IF(M117="","",IF(F117="MCQ",IF(UPPER(M117)=UPPER(L117),1,0),IF(O117="Yes",6-VALUE(M117),VALUE(M117))))</f>
      </c>
      <c r="O117" t="str" s="97" cm="1">
        <f t="array" ref="O117">'Question_Bank'!N109</f>
        <v>No</v>
      </c>
      <c r="P117" s="133" cm="1">
        <f t="array" ref="P117">IF(F117="MCQ",1,5)</f>
        <v>5</v>
      </c>
    </row>
    <row r="118" ht="42" customHeight="1">
      <c r="A118" t="str" s="130" cm="1">
        <f t="array" ref="A118">'Question_Bank'!A110</f>
        <v>NPI0106</v>
      </c>
      <c r="B118" t="str" s="97" cm="1">
        <f t="array" ref="B118">'Question_Bank'!B110</f>
        <v>8-12</v>
      </c>
      <c r="C118" t="str" s="97" cm="1">
        <f t="array" ref="C118">'Question_Bank'!C110</f>
        <v>Big Five Personality</v>
      </c>
      <c r="D118" t="str" s="97" cm="1">
        <f t="array" ref="D118">'Question_Bank'!D110</f>
        <v>Openness</v>
      </c>
      <c r="E118" t="str" s="97" cm="1">
        <f t="array" ref="E118">'Question_Bank'!E110</f>
        <v>Openness</v>
      </c>
      <c r="F118" t="str" s="97" cm="1">
        <f t="array" ref="F118">'Question_Bank'!F110</f>
        <v>Likert</v>
      </c>
      <c r="G118" t="str" s="97" cm="1">
        <f t="array" ref="G118">'Question_Bank'!G110</f>
        <v>I enjoy curious discussions.</v>
      </c>
      <c r="H118" s="131" cm="1">
        <f t="array" ref="H118">'Question_Bank'!H110</f>
        <v>0</v>
      </c>
      <c r="I118" s="131" cm="1">
        <f t="array" ref="I118">'Question_Bank'!I110</f>
        <v>0</v>
      </c>
      <c r="J118" s="131" cm="1">
        <f t="array" ref="J118">'Question_Bank'!J110</f>
        <v>0</v>
      </c>
      <c r="K118" s="131" cm="1">
        <f t="array" ref="K118">'Question_Bank'!K110</f>
        <v>0</v>
      </c>
      <c r="L118" s="131" cm="1">
        <f t="array" ref="L118">'Question_Bank'!L110</f>
        <v>0</v>
      </c>
      <c r="M118" s="132"/>
      <c r="N118" t="str" s="97" cm="1">
        <f t="array" ref="N118">IF(M118="","",IF(F118="MCQ",IF(UPPER(M118)=UPPER(L118),1,0),IF(O118="Yes",6-VALUE(M118),VALUE(M118))))</f>
      </c>
      <c r="O118" t="str" s="97" cm="1">
        <f t="array" ref="O118">'Question_Bank'!N110</f>
        <v>No</v>
      </c>
      <c r="P118" s="133" cm="1">
        <f t="array" ref="P118">IF(F118="MCQ",1,5)</f>
        <v>5</v>
      </c>
    </row>
    <row r="119" ht="42" customHeight="1">
      <c r="A119" t="str" s="130" cm="1">
        <f t="array" ref="A119">'Question_Bank'!A111</f>
        <v>NPI0107</v>
      </c>
      <c r="B119" t="str" s="97" cm="1">
        <f t="array" ref="B119">'Question_Bank'!B111</f>
        <v>8-12</v>
      </c>
      <c r="C119" t="str" s="97" cm="1">
        <f t="array" ref="C119">'Question_Bank'!C111</f>
        <v>Big Five Personality</v>
      </c>
      <c r="D119" t="str" s="97" cm="1">
        <f t="array" ref="D119">'Question_Bank'!D111</f>
        <v>Openness</v>
      </c>
      <c r="E119" t="str" s="97" cm="1">
        <f t="array" ref="E119">'Question_Bank'!E111</f>
        <v>Openness</v>
      </c>
      <c r="F119" t="str" s="97" cm="1">
        <f t="array" ref="F119">'Question_Bank'!F111</f>
        <v>Likert</v>
      </c>
      <c r="G119" t="str" s="97" cm="1">
        <f t="array" ref="G119">'Question_Bank'!G111</f>
        <v>I enjoy creative problem-solving.</v>
      </c>
      <c r="H119" s="131" cm="1">
        <f t="array" ref="H119">'Question_Bank'!H111</f>
        <v>0</v>
      </c>
      <c r="I119" s="131" cm="1">
        <f t="array" ref="I119">'Question_Bank'!I111</f>
        <v>0</v>
      </c>
      <c r="J119" s="131" cm="1">
        <f t="array" ref="J119">'Question_Bank'!J111</f>
        <v>0</v>
      </c>
      <c r="K119" s="131" cm="1">
        <f t="array" ref="K119">'Question_Bank'!K111</f>
        <v>0</v>
      </c>
      <c r="L119" s="131" cm="1">
        <f t="array" ref="L119">'Question_Bank'!L111</f>
        <v>0</v>
      </c>
      <c r="M119" s="132"/>
      <c r="N119" t="str" s="97" cm="1">
        <f t="array" ref="N119">IF(M119="","",IF(F119="MCQ",IF(UPPER(M119)=UPPER(L119),1,0),IF(O119="Yes",6-VALUE(M119),VALUE(M119))))</f>
      </c>
      <c r="O119" t="str" s="97" cm="1">
        <f t="array" ref="O119">'Question_Bank'!N111</f>
        <v>No</v>
      </c>
      <c r="P119" s="133" cm="1">
        <f t="array" ref="P119">IF(F119="MCQ",1,5)</f>
        <v>5</v>
      </c>
    </row>
    <row r="120" ht="42" customHeight="1">
      <c r="A120" t="str" s="130" cm="1">
        <f t="array" ref="A120">'Question_Bank'!A112</f>
        <v>NPI0108</v>
      </c>
      <c r="B120" t="str" s="97" cm="1">
        <f t="array" ref="B120">'Question_Bank'!B112</f>
        <v>8-12</v>
      </c>
      <c r="C120" t="str" s="97" cm="1">
        <f t="array" ref="C120">'Question_Bank'!C112</f>
        <v>Big Five Personality</v>
      </c>
      <c r="D120" t="str" s="97" cm="1">
        <f t="array" ref="D120">'Question_Bank'!D112</f>
        <v>Openness</v>
      </c>
      <c r="E120" t="str" s="97" cm="1">
        <f t="array" ref="E120">'Question_Bank'!E112</f>
        <v>Openness</v>
      </c>
      <c r="F120" t="str" s="97" cm="1">
        <f t="array" ref="F120">'Question_Bank'!F112</f>
        <v>Likert</v>
      </c>
      <c r="G120" t="str" s="97" cm="1">
        <f t="array" ref="G120">'Question_Bank'!G112</f>
        <v>I enjoy exploring career possibilities.</v>
      </c>
      <c r="H120" s="131" cm="1">
        <f t="array" ref="H120">'Question_Bank'!H112</f>
        <v>0</v>
      </c>
      <c r="I120" s="131" cm="1">
        <f t="array" ref="I120">'Question_Bank'!I112</f>
        <v>0</v>
      </c>
      <c r="J120" s="131" cm="1">
        <f t="array" ref="J120">'Question_Bank'!J112</f>
        <v>0</v>
      </c>
      <c r="K120" s="131" cm="1">
        <f t="array" ref="K120">'Question_Bank'!K112</f>
        <v>0</v>
      </c>
      <c r="L120" s="131" cm="1">
        <f t="array" ref="L120">'Question_Bank'!L112</f>
        <v>0</v>
      </c>
      <c r="M120" s="132"/>
      <c r="N120" t="str" s="97" cm="1">
        <f t="array" ref="N120">IF(M120="","",IF(F120="MCQ",IF(UPPER(M120)=UPPER(L120),1,0),IF(O120="Yes",6-VALUE(M120),VALUE(M120))))</f>
      </c>
      <c r="O120" t="str" s="97" cm="1">
        <f t="array" ref="O120">'Question_Bank'!N112</f>
        <v>No</v>
      </c>
      <c r="P120" s="133" cm="1">
        <f t="array" ref="P120">IF(F120="MCQ",1,5)</f>
        <v>5</v>
      </c>
    </row>
    <row r="121" ht="42" customHeight="1">
      <c r="A121" t="str" s="130" cm="1">
        <f t="array" ref="A121">'Question_Bank'!A113</f>
        <v>NPI0109</v>
      </c>
      <c r="B121" t="str" s="97" cm="1">
        <f t="array" ref="B121">'Question_Bank'!B113</f>
        <v>8-12</v>
      </c>
      <c r="C121" t="str" s="97" cm="1">
        <f t="array" ref="C121">'Question_Bank'!C113</f>
        <v>Big Five Personality</v>
      </c>
      <c r="D121" t="str" s="97" cm="1">
        <f t="array" ref="D121">'Question_Bank'!D113</f>
        <v>Openness</v>
      </c>
      <c r="E121" t="str" s="97" cm="1">
        <f t="array" ref="E121">'Question_Bank'!E113</f>
        <v>Openness</v>
      </c>
      <c r="F121" t="str" s="97" cm="1">
        <f t="array" ref="F121">'Question_Bank'!F113</f>
        <v>Likert</v>
      </c>
      <c r="G121" t="str" s="97" cm="1">
        <f t="array" ref="G121">'Question_Bank'!G113</f>
        <v>I prefer only familiar methods.</v>
      </c>
      <c r="H121" s="131" cm="1">
        <f t="array" ref="H121">'Question_Bank'!H113</f>
        <v>0</v>
      </c>
      <c r="I121" s="131" cm="1">
        <f t="array" ref="I121">'Question_Bank'!I113</f>
        <v>0</v>
      </c>
      <c r="J121" s="131" cm="1">
        <f t="array" ref="J121">'Question_Bank'!J113</f>
        <v>0</v>
      </c>
      <c r="K121" s="131" cm="1">
        <f t="array" ref="K121">'Question_Bank'!K113</f>
        <v>0</v>
      </c>
      <c r="L121" s="131" cm="1">
        <f t="array" ref="L121">'Question_Bank'!L113</f>
        <v>0</v>
      </c>
      <c r="M121" s="132"/>
      <c r="N121" t="str" s="97" cm="1">
        <f t="array" ref="N121">IF(M121="","",IF(F121="MCQ",IF(UPPER(M121)=UPPER(L121),1,0),IF(O121="Yes",6-VALUE(M121),VALUE(M121))))</f>
      </c>
      <c r="O121" t="str" s="97" cm="1">
        <f t="array" ref="O121">'Question_Bank'!N113</f>
        <v>Yes</v>
      </c>
      <c r="P121" s="133" cm="1">
        <f t="array" ref="P121">IF(F121="MCQ",1,5)</f>
        <v>5</v>
      </c>
    </row>
    <row r="122" ht="42" customHeight="1">
      <c r="A122" t="str" s="130" cm="1">
        <f t="array" ref="A122">'Question_Bank'!A114</f>
        <v>NPI0110</v>
      </c>
      <c r="B122" t="str" s="97" cm="1">
        <f t="array" ref="B122">'Question_Bank'!B114</f>
        <v>8-12</v>
      </c>
      <c r="C122" t="str" s="97" cm="1">
        <f t="array" ref="C122">'Question_Bank'!C114</f>
        <v>Big Five Personality</v>
      </c>
      <c r="D122" t="str" s="97" cm="1">
        <f t="array" ref="D122">'Question_Bank'!D114</f>
        <v>Openness</v>
      </c>
      <c r="E122" t="str" s="97" cm="1">
        <f t="array" ref="E122">'Question_Bank'!E114</f>
        <v>Openness</v>
      </c>
      <c r="F122" t="str" s="97" cm="1">
        <f t="array" ref="F122">'Question_Bank'!F114</f>
        <v>Likert</v>
      </c>
      <c r="G122" t="str" s="97" cm="1">
        <f t="array" ref="G122">'Question_Bank'!G114</f>
        <v>I prefer fixed answers always.</v>
      </c>
      <c r="H122" s="131" cm="1">
        <f t="array" ref="H122">'Question_Bank'!H114</f>
        <v>0</v>
      </c>
      <c r="I122" s="131" cm="1">
        <f t="array" ref="I122">'Question_Bank'!I114</f>
        <v>0</v>
      </c>
      <c r="J122" s="131" cm="1">
        <f t="array" ref="J122">'Question_Bank'!J114</f>
        <v>0</v>
      </c>
      <c r="K122" s="131" cm="1">
        <f t="array" ref="K122">'Question_Bank'!K114</f>
        <v>0</v>
      </c>
      <c r="L122" s="131" cm="1">
        <f t="array" ref="L122">'Question_Bank'!L114</f>
        <v>0</v>
      </c>
      <c r="M122" s="132"/>
      <c r="N122" t="str" s="97" cm="1">
        <f t="array" ref="N122">IF(M122="","",IF(F122="MCQ",IF(UPPER(M122)=UPPER(L122),1,0),IF(O122="Yes",6-VALUE(M122),VALUE(M122))))</f>
      </c>
      <c r="O122" t="str" s="97" cm="1">
        <f t="array" ref="O122">'Question_Bank'!N114</f>
        <v>Yes</v>
      </c>
      <c r="P122" s="133" cm="1">
        <f t="array" ref="P122">IF(F122="MCQ",1,5)</f>
        <v>5</v>
      </c>
    </row>
    <row r="123" ht="42" customHeight="1">
      <c r="A123" t="str" s="130" cm="1">
        <f t="array" ref="A123">'Question_Bank'!A115</f>
        <v>NPI0111</v>
      </c>
      <c r="B123" t="str" s="97" cm="1">
        <f t="array" ref="B123">'Question_Bank'!B115</f>
        <v>8-12</v>
      </c>
      <c r="C123" t="str" s="97" cm="1">
        <f t="array" ref="C123">'Question_Bank'!C115</f>
        <v>Big Five Personality</v>
      </c>
      <c r="D123" t="str" s="97" cm="1">
        <f t="array" ref="D123">'Question_Bank'!D115</f>
        <v>Openness</v>
      </c>
      <c r="E123" t="str" s="97" cm="1">
        <f t="array" ref="E123">'Question_Bank'!E115</f>
        <v>Openness</v>
      </c>
      <c r="F123" t="str" s="97" cm="1">
        <f t="array" ref="F123">'Question_Bank'!F115</f>
        <v>Likert</v>
      </c>
      <c r="G123" t="str" s="97" cm="1">
        <f t="array" ref="G123">'Question_Bank'!G115</f>
        <v>I prefer avoiding unfamiliar topics.</v>
      </c>
      <c r="H123" s="131" cm="1">
        <f t="array" ref="H123">'Question_Bank'!H115</f>
        <v>0</v>
      </c>
      <c r="I123" s="131" cm="1">
        <f t="array" ref="I123">'Question_Bank'!I115</f>
        <v>0</v>
      </c>
      <c r="J123" s="131" cm="1">
        <f t="array" ref="J123">'Question_Bank'!J115</f>
        <v>0</v>
      </c>
      <c r="K123" s="131" cm="1">
        <f t="array" ref="K123">'Question_Bank'!K115</f>
        <v>0</v>
      </c>
      <c r="L123" s="131" cm="1">
        <f t="array" ref="L123">'Question_Bank'!L115</f>
        <v>0</v>
      </c>
      <c r="M123" s="132"/>
      <c r="N123" t="str" s="97" cm="1">
        <f t="array" ref="N123">IF(M123="","",IF(F123="MCQ",IF(UPPER(M123)=UPPER(L123),1,0),IF(O123="Yes",6-VALUE(M123),VALUE(M123))))</f>
      </c>
      <c r="O123" t="str" s="97" cm="1">
        <f t="array" ref="O123">'Question_Bank'!N115</f>
        <v>Yes</v>
      </c>
      <c r="P123" s="133" cm="1">
        <f t="array" ref="P123">IF(F123="MCQ",1,5)</f>
        <v>5</v>
      </c>
    </row>
    <row r="124" ht="42" customHeight="1">
      <c r="A124" t="str" s="130" cm="1">
        <f t="array" ref="A124">'Question_Bank'!A116</f>
        <v>NPI0112</v>
      </c>
      <c r="B124" t="str" s="97" cm="1">
        <f t="array" ref="B124">'Question_Bank'!B116</f>
        <v>8-12</v>
      </c>
      <c r="C124" t="str" s="97" cm="1">
        <f t="array" ref="C124">'Question_Bank'!C116</f>
        <v>Big Five Personality</v>
      </c>
      <c r="D124" t="str" s="97" cm="1">
        <f t="array" ref="D124">'Question_Bank'!D116</f>
        <v>Openness</v>
      </c>
      <c r="E124" t="str" s="97" cm="1">
        <f t="array" ref="E124">'Question_Bank'!E116</f>
        <v>Openness</v>
      </c>
      <c r="F124" t="str" s="97" cm="1">
        <f t="array" ref="F124">'Question_Bank'!F116</f>
        <v>Likert</v>
      </c>
      <c r="G124" t="str" s="97" cm="1">
        <f t="array" ref="G124">'Question_Bank'!G116</f>
        <v>I prefer routine tasks only.</v>
      </c>
      <c r="H124" s="131" cm="1">
        <f t="array" ref="H124">'Question_Bank'!H116</f>
        <v>0</v>
      </c>
      <c r="I124" s="131" cm="1">
        <f t="array" ref="I124">'Question_Bank'!I116</f>
        <v>0</v>
      </c>
      <c r="J124" s="131" cm="1">
        <f t="array" ref="J124">'Question_Bank'!J116</f>
        <v>0</v>
      </c>
      <c r="K124" s="131" cm="1">
        <f t="array" ref="K124">'Question_Bank'!K116</f>
        <v>0</v>
      </c>
      <c r="L124" s="131" cm="1">
        <f t="array" ref="L124">'Question_Bank'!L116</f>
        <v>0</v>
      </c>
      <c r="M124" s="132"/>
      <c r="N124" t="str" s="97" cm="1">
        <f t="array" ref="N124">IF(M124="","",IF(F124="MCQ",IF(UPPER(M124)=UPPER(L124),1,0),IF(O124="Yes",6-VALUE(M124),VALUE(M124))))</f>
      </c>
      <c r="O124" t="str" s="97" cm="1">
        <f t="array" ref="O124">'Question_Bank'!N116</f>
        <v>Yes</v>
      </c>
      <c r="P124" s="133" cm="1">
        <f t="array" ref="P124">IF(F124="MCQ",1,5)</f>
        <v>5</v>
      </c>
    </row>
    <row r="125" ht="42" customHeight="1">
      <c r="A125" t="str" s="130" cm="1">
        <f t="array" ref="A125">'Question_Bank'!A117</f>
        <v>NPI0113</v>
      </c>
      <c r="B125" t="str" s="97" cm="1">
        <f t="array" ref="B125">'Question_Bank'!B117</f>
        <v>8-12</v>
      </c>
      <c r="C125" t="str" s="97" cm="1">
        <f t="array" ref="C125">'Question_Bank'!C117</f>
        <v>Big Five Personality</v>
      </c>
      <c r="D125" t="str" s="97" cm="1">
        <f t="array" ref="D125">'Question_Bank'!D117</f>
        <v>Openness</v>
      </c>
      <c r="E125" t="str" s="97" cm="1">
        <f t="array" ref="E125">'Question_Bank'!E117</f>
        <v>Openness</v>
      </c>
      <c r="F125" t="str" s="97" cm="1">
        <f t="array" ref="F125">'Question_Bank'!F117</f>
        <v>Likert</v>
      </c>
      <c r="G125" t="str" s="97" cm="1">
        <f t="array" ref="G125">'Question_Bank'!G117</f>
        <v>I prefer not trying new methods.</v>
      </c>
      <c r="H125" s="131" cm="1">
        <f t="array" ref="H125">'Question_Bank'!H117</f>
        <v>0</v>
      </c>
      <c r="I125" s="131" cm="1">
        <f t="array" ref="I125">'Question_Bank'!I117</f>
        <v>0</v>
      </c>
      <c r="J125" s="131" cm="1">
        <f t="array" ref="J125">'Question_Bank'!J117</f>
        <v>0</v>
      </c>
      <c r="K125" s="131" cm="1">
        <f t="array" ref="K125">'Question_Bank'!K117</f>
        <v>0</v>
      </c>
      <c r="L125" s="131" cm="1">
        <f t="array" ref="L125">'Question_Bank'!L117</f>
        <v>0</v>
      </c>
      <c r="M125" s="132"/>
      <c r="N125" t="str" s="97" cm="1">
        <f t="array" ref="N125">IF(M125="","",IF(F125="MCQ",IF(UPPER(M125)=UPPER(L125),1,0),IF(O125="Yes",6-VALUE(M125),VALUE(M125))))</f>
      </c>
      <c r="O125" t="str" s="97" cm="1">
        <f t="array" ref="O125">'Question_Bank'!N117</f>
        <v>Yes</v>
      </c>
      <c r="P125" s="133" cm="1">
        <f t="array" ref="P125">IF(F125="MCQ",1,5)</f>
        <v>5</v>
      </c>
    </row>
    <row r="126" ht="42" customHeight="1">
      <c r="A126" t="str" s="130" cm="1">
        <f t="array" ref="A126">'Question_Bank'!A118</f>
        <v>NPI0114</v>
      </c>
      <c r="B126" t="str" s="97" cm="1">
        <f t="array" ref="B126">'Question_Bank'!B118</f>
        <v>8-12</v>
      </c>
      <c r="C126" t="str" s="97" cm="1">
        <f t="array" ref="C126">'Question_Bank'!C118</f>
        <v>Big Five Personality</v>
      </c>
      <c r="D126" t="str" s="97" cm="1">
        <f t="array" ref="D126">'Question_Bank'!D118</f>
        <v>Openness</v>
      </c>
      <c r="E126" t="str" s="97" cm="1">
        <f t="array" ref="E126">'Question_Bank'!E118</f>
        <v>Openness</v>
      </c>
      <c r="F126" t="str" s="97" cm="1">
        <f t="array" ref="F126">'Question_Bank'!F118</f>
        <v>Likert</v>
      </c>
      <c r="G126" t="str" s="97" cm="1">
        <f t="array" ref="G126">'Question_Bank'!G118</f>
        <v>I prefer avoiding creative expression.</v>
      </c>
      <c r="H126" s="131" cm="1">
        <f t="array" ref="H126">'Question_Bank'!H118</f>
        <v>0</v>
      </c>
      <c r="I126" s="131" cm="1">
        <f t="array" ref="I126">'Question_Bank'!I118</f>
        <v>0</v>
      </c>
      <c r="J126" s="131" cm="1">
        <f t="array" ref="J126">'Question_Bank'!J118</f>
        <v>0</v>
      </c>
      <c r="K126" s="131" cm="1">
        <f t="array" ref="K126">'Question_Bank'!K118</f>
        <v>0</v>
      </c>
      <c r="L126" s="131" cm="1">
        <f t="array" ref="L126">'Question_Bank'!L118</f>
        <v>0</v>
      </c>
      <c r="M126" s="132"/>
      <c r="N126" t="str" s="97" cm="1">
        <f t="array" ref="N126">IF(M126="","",IF(F126="MCQ",IF(UPPER(M126)=UPPER(L126),1,0),IF(O126="Yes",6-VALUE(M126),VALUE(M126))))</f>
      </c>
      <c r="O126" t="str" s="97" cm="1">
        <f t="array" ref="O126">'Question_Bank'!N118</f>
        <v>Yes</v>
      </c>
      <c r="P126" s="133" cm="1">
        <f t="array" ref="P126">IF(F126="MCQ",1,5)</f>
        <v>5</v>
      </c>
    </row>
    <row r="127" ht="42" customHeight="1">
      <c r="A127" t="str" s="130" cm="1">
        <f t="array" ref="A127">'Question_Bank'!A119</f>
        <v>NPI0115</v>
      </c>
      <c r="B127" t="str" s="97" cm="1">
        <f t="array" ref="B127">'Question_Bank'!B119</f>
        <v>8-12</v>
      </c>
      <c r="C127" t="str" s="97" cm="1">
        <f t="array" ref="C127">'Question_Bank'!C119</f>
        <v>Big Five Personality</v>
      </c>
      <c r="D127" t="str" s="97" cm="1">
        <f t="array" ref="D127">'Question_Bank'!D119</f>
        <v>Openness</v>
      </c>
      <c r="E127" t="str" s="97" cm="1">
        <f t="array" ref="E127">'Question_Bank'!E119</f>
        <v>Openness</v>
      </c>
      <c r="F127" t="str" s="97" cm="1">
        <f t="array" ref="F127">'Question_Bank'!F119</f>
        <v>Likert</v>
      </c>
      <c r="G127" t="str" s="97" cm="1">
        <f t="array" ref="G127">'Question_Bank'!G119</f>
        <v>I prefer not changing my view even with evidence.</v>
      </c>
      <c r="H127" s="131" cm="1">
        <f t="array" ref="H127">'Question_Bank'!H119</f>
        <v>0</v>
      </c>
      <c r="I127" s="131" cm="1">
        <f t="array" ref="I127">'Question_Bank'!I119</f>
        <v>0</v>
      </c>
      <c r="J127" s="131" cm="1">
        <f t="array" ref="J127">'Question_Bank'!J119</f>
        <v>0</v>
      </c>
      <c r="K127" s="131" cm="1">
        <f t="array" ref="K127">'Question_Bank'!K119</f>
        <v>0</v>
      </c>
      <c r="L127" s="131" cm="1">
        <f t="array" ref="L127">'Question_Bank'!L119</f>
        <v>0</v>
      </c>
      <c r="M127" s="132"/>
      <c r="N127" t="str" s="97" cm="1">
        <f t="array" ref="N127">IF(M127="","",IF(F127="MCQ",IF(UPPER(M127)=UPPER(L127),1,0),IF(O127="Yes",6-VALUE(M127),VALUE(M127))))</f>
      </c>
      <c r="O127" t="str" s="97" cm="1">
        <f t="array" ref="O127">'Question_Bank'!N119</f>
        <v>Yes</v>
      </c>
      <c r="P127" s="133" cm="1">
        <f t="array" ref="P127">IF(F127="MCQ",1,5)</f>
        <v>5</v>
      </c>
    </row>
    <row r="128" ht="42" customHeight="1">
      <c r="A128" t="str" s="130" cm="1">
        <f t="array" ref="A128">'Question_Bank'!A120</f>
        <v>NPI0116</v>
      </c>
      <c r="B128" t="str" s="97" cm="1">
        <f t="array" ref="B128">'Question_Bank'!B120</f>
        <v>8-12</v>
      </c>
      <c r="C128" t="str" s="97" cm="1">
        <f t="array" ref="C128">'Question_Bank'!C120</f>
        <v>Big Five Personality</v>
      </c>
      <c r="D128" t="str" s="97" cm="1">
        <f t="array" ref="D128">'Question_Bank'!D120</f>
        <v>Conscientiousness</v>
      </c>
      <c r="E128" t="str" s="97" cm="1">
        <f t="array" ref="E128">'Question_Bank'!E120</f>
        <v>Conscientiousness</v>
      </c>
      <c r="F128" t="str" s="97" cm="1">
        <f t="array" ref="F128">'Question_Bank'!F120</f>
        <v>Likert</v>
      </c>
      <c r="G128" t="str" s="97" cm="1">
        <f t="array" ref="G128">'Question_Bank'!G120</f>
        <v>I complete assignments on time.</v>
      </c>
      <c r="H128" s="131" cm="1">
        <f t="array" ref="H128">'Question_Bank'!H120</f>
        <v>0</v>
      </c>
      <c r="I128" s="131" cm="1">
        <f t="array" ref="I128">'Question_Bank'!I120</f>
        <v>0</v>
      </c>
      <c r="J128" s="131" cm="1">
        <f t="array" ref="J128">'Question_Bank'!J120</f>
        <v>0</v>
      </c>
      <c r="K128" s="131" cm="1">
        <f t="array" ref="K128">'Question_Bank'!K120</f>
        <v>0</v>
      </c>
      <c r="L128" s="131" cm="1">
        <f t="array" ref="L128">'Question_Bank'!L120</f>
        <v>0</v>
      </c>
      <c r="M128" s="132"/>
      <c r="N128" t="str" s="97" cm="1">
        <f t="array" ref="N128">IF(M128="","",IF(F128="MCQ",IF(UPPER(M128)=UPPER(L128),1,0),IF(O128="Yes",6-VALUE(M128),VALUE(M128))))</f>
      </c>
      <c r="O128" t="str" s="97" cm="1">
        <f t="array" ref="O128">'Question_Bank'!N120</f>
        <v>No</v>
      </c>
      <c r="P128" s="133" cm="1">
        <f t="array" ref="P128">IF(F128="MCQ",1,5)</f>
        <v>5</v>
      </c>
    </row>
    <row r="129" ht="42" customHeight="1">
      <c r="A129" t="str" s="130" cm="1">
        <f t="array" ref="A129">'Question_Bank'!A121</f>
        <v>NPI0117</v>
      </c>
      <c r="B129" t="str" s="97" cm="1">
        <f t="array" ref="B129">'Question_Bank'!B121</f>
        <v>8-12</v>
      </c>
      <c r="C129" t="str" s="97" cm="1">
        <f t="array" ref="C129">'Question_Bank'!C121</f>
        <v>Big Five Personality</v>
      </c>
      <c r="D129" t="str" s="97" cm="1">
        <f t="array" ref="D129">'Question_Bank'!D121</f>
        <v>Conscientiousness</v>
      </c>
      <c r="E129" t="str" s="97" cm="1">
        <f t="array" ref="E129">'Question_Bank'!E121</f>
        <v>Conscientiousness</v>
      </c>
      <c r="F129" t="str" s="97" cm="1">
        <f t="array" ref="F129">'Question_Bank'!F121</f>
        <v>Likert</v>
      </c>
      <c r="G129" t="str" s="97" cm="1">
        <f t="array" ref="G129">'Question_Bank'!G121</f>
        <v>I plan before important tasks.</v>
      </c>
      <c r="H129" s="131" cm="1">
        <f t="array" ref="H129">'Question_Bank'!H121</f>
        <v>0</v>
      </c>
      <c r="I129" s="131" cm="1">
        <f t="array" ref="I129">'Question_Bank'!I121</f>
        <v>0</v>
      </c>
      <c r="J129" s="131" cm="1">
        <f t="array" ref="J129">'Question_Bank'!J121</f>
        <v>0</v>
      </c>
      <c r="K129" s="131" cm="1">
        <f t="array" ref="K129">'Question_Bank'!K121</f>
        <v>0</v>
      </c>
      <c r="L129" s="131" cm="1">
        <f t="array" ref="L129">'Question_Bank'!L121</f>
        <v>0</v>
      </c>
      <c r="M129" s="132"/>
      <c r="N129" t="str" s="97" cm="1">
        <f t="array" ref="N129">IF(M129="","",IF(F129="MCQ",IF(UPPER(M129)=UPPER(L129),1,0),IF(O129="Yes",6-VALUE(M129),VALUE(M129))))</f>
      </c>
      <c r="O129" t="str" s="97" cm="1">
        <f t="array" ref="O129">'Question_Bank'!N121</f>
        <v>No</v>
      </c>
      <c r="P129" s="133" cm="1">
        <f t="array" ref="P129">IF(F129="MCQ",1,5)</f>
        <v>5</v>
      </c>
    </row>
    <row r="130" ht="42" customHeight="1">
      <c r="A130" t="str" s="130" cm="1">
        <f t="array" ref="A130">'Question_Bank'!A122</f>
        <v>NPI0118</v>
      </c>
      <c r="B130" t="str" s="97" cm="1">
        <f t="array" ref="B130">'Question_Bank'!B122</f>
        <v>8-12</v>
      </c>
      <c r="C130" t="str" s="97" cm="1">
        <f t="array" ref="C130">'Question_Bank'!C122</f>
        <v>Big Five Personality</v>
      </c>
      <c r="D130" t="str" s="97" cm="1">
        <f t="array" ref="D130">'Question_Bank'!D122</f>
        <v>Conscientiousness</v>
      </c>
      <c r="E130" t="str" s="97" cm="1">
        <f t="array" ref="E130">'Question_Bank'!E122</f>
        <v>Conscientiousness</v>
      </c>
      <c r="F130" t="str" s="97" cm="1">
        <f t="array" ref="F130">'Question_Bank'!F122</f>
        <v>Likert</v>
      </c>
      <c r="G130" t="str" s="97" cm="1">
        <f t="array" ref="G130">'Question_Bank'!G122</f>
        <v>I keep study materials organized.</v>
      </c>
      <c r="H130" s="131" cm="1">
        <f t="array" ref="H130">'Question_Bank'!H122</f>
        <v>0</v>
      </c>
      <c r="I130" s="131" cm="1">
        <f t="array" ref="I130">'Question_Bank'!I122</f>
        <v>0</v>
      </c>
      <c r="J130" s="131" cm="1">
        <f t="array" ref="J130">'Question_Bank'!J122</f>
        <v>0</v>
      </c>
      <c r="K130" s="131" cm="1">
        <f t="array" ref="K130">'Question_Bank'!K122</f>
        <v>0</v>
      </c>
      <c r="L130" s="131" cm="1">
        <f t="array" ref="L130">'Question_Bank'!L122</f>
        <v>0</v>
      </c>
      <c r="M130" s="132"/>
      <c r="N130" t="str" s="97" cm="1">
        <f t="array" ref="N130">IF(M130="","",IF(F130="MCQ",IF(UPPER(M130)=UPPER(L130),1,0),IF(O130="Yes",6-VALUE(M130),VALUE(M130))))</f>
      </c>
      <c r="O130" t="str" s="97" cm="1">
        <f t="array" ref="O130">'Question_Bank'!N122</f>
        <v>No</v>
      </c>
      <c r="P130" s="133" cm="1">
        <f t="array" ref="P130">IF(F130="MCQ",1,5)</f>
        <v>5</v>
      </c>
    </row>
    <row r="131" ht="42" customHeight="1">
      <c r="A131" t="str" s="130" cm="1">
        <f t="array" ref="A131">'Question_Bank'!A123</f>
        <v>NPI0119</v>
      </c>
      <c r="B131" t="str" s="97" cm="1">
        <f t="array" ref="B131">'Question_Bank'!B123</f>
        <v>8-12</v>
      </c>
      <c r="C131" t="str" s="97" cm="1">
        <f t="array" ref="C131">'Question_Bank'!C123</f>
        <v>Big Five Personality</v>
      </c>
      <c r="D131" t="str" s="97" cm="1">
        <f t="array" ref="D131">'Question_Bank'!D123</f>
        <v>Conscientiousness</v>
      </c>
      <c r="E131" t="str" s="97" cm="1">
        <f t="array" ref="E131">'Question_Bank'!E123</f>
        <v>Conscientiousness</v>
      </c>
      <c r="F131" t="str" s="97" cm="1">
        <f t="array" ref="F131">'Question_Bank'!F123</f>
        <v>Likert</v>
      </c>
      <c r="G131" t="str" s="97" cm="1">
        <f t="array" ref="G131">'Question_Bank'!G123</f>
        <v>I check my work for mistakes.</v>
      </c>
      <c r="H131" s="131" cm="1">
        <f t="array" ref="H131">'Question_Bank'!H123</f>
        <v>0</v>
      </c>
      <c r="I131" s="131" cm="1">
        <f t="array" ref="I131">'Question_Bank'!I123</f>
        <v>0</v>
      </c>
      <c r="J131" s="131" cm="1">
        <f t="array" ref="J131">'Question_Bank'!J123</f>
        <v>0</v>
      </c>
      <c r="K131" s="131" cm="1">
        <f t="array" ref="K131">'Question_Bank'!K123</f>
        <v>0</v>
      </c>
      <c r="L131" s="131" cm="1">
        <f t="array" ref="L131">'Question_Bank'!L123</f>
        <v>0</v>
      </c>
      <c r="M131" s="132"/>
      <c r="N131" t="str" s="97" cm="1">
        <f t="array" ref="N131">IF(M131="","",IF(F131="MCQ",IF(UPPER(M131)=UPPER(L131),1,0),IF(O131="Yes",6-VALUE(M131),VALUE(M131))))</f>
      </c>
      <c r="O131" t="str" s="97" cm="1">
        <f t="array" ref="O131">'Question_Bank'!N123</f>
        <v>No</v>
      </c>
      <c r="P131" s="133" cm="1">
        <f t="array" ref="P131">IF(F131="MCQ",1,5)</f>
        <v>5</v>
      </c>
    </row>
    <row r="132" ht="42" customHeight="1">
      <c r="A132" t="str" s="130" cm="1">
        <f t="array" ref="A132">'Question_Bank'!A124</f>
        <v>NPI0120</v>
      </c>
      <c r="B132" t="str" s="97" cm="1">
        <f t="array" ref="B132">'Question_Bank'!B124</f>
        <v>8-12</v>
      </c>
      <c r="C132" t="str" s="97" cm="1">
        <f t="array" ref="C132">'Question_Bank'!C124</f>
        <v>Big Five Personality</v>
      </c>
      <c r="D132" t="str" s="97" cm="1">
        <f t="array" ref="D132">'Question_Bank'!D124</f>
        <v>Conscientiousness</v>
      </c>
      <c r="E132" t="str" s="97" cm="1">
        <f t="array" ref="E132">'Question_Bank'!E124</f>
        <v>Conscientiousness</v>
      </c>
      <c r="F132" t="str" s="97" cm="1">
        <f t="array" ref="F132">'Question_Bank'!F124</f>
        <v>Likert</v>
      </c>
      <c r="G132" t="str" s="97" cm="1">
        <f t="array" ref="G132">'Question_Bank'!G124</f>
        <v>I follow a study schedule.</v>
      </c>
      <c r="H132" s="131" cm="1">
        <f t="array" ref="H132">'Question_Bank'!H124</f>
        <v>0</v>
      </c>
      <c r="I132" s="131" cm="1">
        <f t="array" ref="I132">'Question_Bank'!I124</f>
        <v>0</v>
      </c>
      <c r="J132" s="131" cm="1">
        <f t="array" ref="J132">'Question_Bank'!J124</f>
        <v>0</v>
      </c>
      <c r="K132" s="131" cm="1">
        <f t="array" ref="K132">'Question_Bank'!K124</f>
        <v>0</v>
      </c>
      <c r="L132" s="131" cm="1">
        <f t="array" ref="L132">'Question_Bank'!L124</f>
        <v>0</v>
      </c>
      <c r="M132" s="132"/>
      <c r="N132" t="str" s="97" cm="1">
        <f t="array" ref="N132">IF(M132="","",IF(F132="MCQ",IF(UPPER(M132)=UPPER(L132),1,0),IF(O132="Yes",6-VALUE(M132),VALUE(M132))))</f>
      </c>
      <c r="O132" t="str" s="97" cm="1">
        <f t="array" ref="O132">'Question_Bank'!N124</f>
        <v>No</v>
      </c>
      <c r="P132" s="133" cm="1">
        <f t="array" ref="P132">IF(F132="MCQ",1,5)</f>
        <v>5</v>
      </c>
    </row>
    <row r="133" ht="42" customHeight="1">
      <c r="A133" t="str" s="130" cm="1">
        <f t="array" ref="A133">'Question_Bank'!A125</f>
        <v>NPI0121</v>
      </c>
      <c r="B133" t="str" s="97" cm="1">
        <f t="array" ref="B133">'Question_Bank'!B125</f>
        <v>8-12</v>
      </c>
      <c r="C133" t="str" s="97" cm="1">
        <f t="array" ref="C133">'Question_Bank'!C125</f>
        <v>Big Five Personality</v>
      </c>
      <c r="D133" t="str" s="97" cm="1">
        <f t="array" ref="D133">'Question_Bank'!D125</f>
        <v>Conscientiousness</v>
      </c>
      <c r="E133" t="str" s="97" cm="1">
        <f t="array" ref="E133">'Question_Bank'!E125</f>
        <v>Conscientiousness</v>
      </c>
      <c r="F133" t="str" s="97" cm="1">
        <f t="array" ref="F133">'Question_Bank'!F125</f>
        <v>Likert</v>
      </c>
      <c r="G133" t="str" s="97" cm="1">
        <f t="array" ref="G133">'Question_Bank'!G125</f>
        <v>I break big tasks into steps.</v>
      </c>
      <c r="H133" s="131" cm="1">
        <f t="array" ref="H133">'Question_Bank'!H125</f>
        <v>0</v>
      </c>
      <c r="I133" s="131" cm="1">
        <f t="array" ref="I133">'Question_Bank'!I125</f>
        <v>0</v>
      </c>
      <c r="J133" s="131" cm="1">
        <f t="array" ref="J133">'Question_Bank'!J125</f>
        <v>0</v>
      </c>
      <c r="K133" s="131" cm="1">
        <f t="array" ref="K133">'Question_Bank'!K125</f>
        <v>0</v>
      </c>
      <c r="L133" s="131" cm="1">
        <f t="array" ref="L133">'Question_Bank'!L125</f>
        <v>0</v>
      </c>
      <c r="M133" s="132"/>
      <c r="N133" t="str" s="97" cm="1">
        <f t="array" ref="N133">IF(M133="","",IF(F133="MCQ",IF(UPPER(M133)=UPPER(L133),1,0),IF(O133="Yes",6-VALUE(M133),VALUE(M133))))</f>
      </c>
      <c r="O133" t="str" s="97" cm="1">
        <f t="array" ref="O133">'Question_Bank'!N125</f>
        <v>No</v>
      </c>
      <c r="P133" s="133" cm="1">
        <f t="array" ref="P133">IF(F133="MCQ",1,5)</f>
        <v>5</v>
      </c>
    </row>
    <row r="134" ht="42" customHeight="1">
      <c r="A134" t="str" s="130" cm="1">
        <f t="array" ref="A134">'Question_Bank'!A126</f>
        <v>NPI0122</v>
      </c>
      <c r="B134" t="str" s="97" cm="1">
        <f t="array" ref="B134">'Question_Bank'!B126</f>
        <v>8-12</v>
      </c>
      <c r="C134" t="str" s="97" cm="1">
        <f t="array" ref="C134">'Question_Bank'!C126</f>
        <v>Big Five Personality</v>
      </c>
      <c r="D134" t="str" s="97" cm="1">
        <f t="array" ref="D134">'Question_Bank'!D126</f>
        <v>Conscientiousness</v>
      </c>
      <c r="E134" t="str" s="97" cm="1">
        <f t="array" ref="E134">'Question_Bank'!E126</f>
        <v>Conscientiousness</v>
      </c>
      <c r="F134" t="str" s="97" cm="1">
        <f t="array" ref="F134">'Question_Bank'!F126</f>
        <v>Likert</v>
      </c>
      <c r="G134" t="str" s="97" cm="1">
        <f t="array" ref="G134">'Question_Bank'!G126</f>
        <v>I prepare for tests in advance.</v>
      </c>
      <c r="H134" s="131" cm="1">
        <f t="array" ref="H134">'Question_Bank'!H126</f>
        <v>0</v>
      </c>
      <c r="I134" s="131" cm="1">
        <f t="array" ref="I134">'Question_Bank'!I126</f>
        <v>0</v>
      </c>
      <c r="J134" s="131" cm="1">
        <f t="array" ref="J134">'Question_Bank'!J126</f>
        <v>0</v>
      </c>
      <c r="K134" s="131" cm="1">
        <f t="array" ref="K134">'Question_Bank'!K126</f>
        <v>0</v>
      </c>
      <c r="L134" s="131" cm="1">
        <f t="array" ref="L134">'Question_Bank'!L126</f>
        <v>0</v>
      </c>
      <c r="M134" s="132"/>
      <c r="N134" t="str" s="97" cm="1">
        <f t="array" ref="N134">IF(M134="","",IF(F134="MCQ",IF(UPPER(M134)=UPPER(L134),1,0),IF(O134="Yes",6-VALUE(M134),VALUE(M134))))</f>
      </c>
      <c r="O134" t="str" s="97" cm="1">
        <f t="array" ref="O134">'Question_Bank'!N126</f>
        <v>No</v>
      </c>
      <c r="P134" s="133" cm="1">
        <f t="array" ref="P134">IF(F134="MCQ",1,5)</f>
        <v>5</v>
      </c>
    </row>
    <row r="135" ht="42" customHeight="1">
      <c r="A135" t="str" s="130" cm="1">
        <f t="array" ref="A135">'Question_Bank'!A127</f>
        <v>NPI0123</v>
      </c>
      <c r="B135" t="str" s="97" cm="1">
        <f t="array" ref="B135">'Question_Bank'!B127</f>
        <v>8-12</v>
      </c>
      <c r="C135" t="str" s="97" cm="1">
        <f t="array" ref="C135">'Question_Bank'!C127</f>
        <v>Big Five Personality</v>
      </c>
      <c r="D135" t="str" s="97" cm="1">
        <f t="array" ref="D135">'Question_Bank'!D127</f>
        <v>Conscientiousness</v>
      </c>
      <c r="E135" t="str" s="97" cm="1">
        <f t="array" ref="E135">'Question_Bank'!E127</f>
        <v>Conscientiousness</v>
      </c>
      <c r="F135" t="str" s="97" cm="1">
        <f t="array" ref="F135">'Question_Bank'!F127</f>
        <v>Likert</v>
      </c>
      <c r="G135" t="str" s="97" cm="1">
        <f t="array" ref="G135">'Question_Bank'!G127</f>
        <v>I manage time well.</v>
      </c>
      <c r="H135" s="131" cm="1">
        <f t="array" ref="H135">'Question_Bank'!H127</f>
        <v>0</v>
      </c>
      <c r="I135" s="131" cm="1">
        <f t="array" ref="I135">'Question_Bank'!I127</f>
        <v>0</v>
      </c>
      <c r="J135" s="131" cm="1">
        <f t="array" ref="J135">'Question_Bank'!J127</f>
        <v>0</v>
      </c>
      <c r="K135" s="131" cm="1">
        <f t="array" ref="K135">'Question_Bank'!K127</f>
        <v>0</v>
      </c>
      <c r="L135" s="131" cm="1">
        <f t="array" ref="L135">'Question_Bank'!L127</f>
        <v>0</v>
      </c>
      <c r="M135" s="132"/>
      <c r="N135" t="str" s="97" cm="1">
        <f t="array" ref="N135">IF(M135="","",IF(F135="MCQ",IF(UPPER(M135)=UPPER(L135),1,0),IF(O135="Yes",6-VALUE(M135),VALUE(M135))))</f>
      </c>
      <c r="O135" t="str" s="97" cm="1">
        <f t="array" ref="O135">'Question_Bank'!N127</f>
        <v>No</v>
      </c>
      <c r="P135" s="133" cm="1">
        <f t="array" ref="P135">IF(F135="MCQ",1,5)</f>
        <v>5</v>
      </c>
    </row>
    <row r="136" ht="42" customHeight="1">
      <c r="A136" t="str" s="130" cm="1">
        <f t="array" ref="A136">'Question_Bank'!A128</f>
        <v>NPI0124</v>
      </c>
      <c r="B136" t="str" s="97" cm="1">
        <f t="array" ref="B136">'Question_Bank'!B128</f>
        <v>8-12</v>
      </c>
      <c r="C136" t="str" s="97" cm="1">
        <f t="array" ref="C136">'Question_Bank'!C128</f>
        <v>Big Five Personality</v>
      </c>
      <c r="D136" t="str" s="97" cm="1">
        <f t="array" ref="D136">'Question_Bank'!D128</f>
        <v>Conscientiousness</v>
      </c>
      <c r="E136" t="str" s="97" cm="1">
        <f t="array" ref="E136">'Question_Bank'!E128</f>
        <v>Conscientiousness</v>
      </c>
      <c r="F136" t="str" s="97" cm="1">
        <f t="array" ref="F136">'Question_Bank'!F128</f>
        <v>Likert</v>
      </c>
      <c r="G136" t="str" s="97" cm="1">
        <f t="array" ref="G136">'Question_Bank'!G128</f>
        <v>I set goals for myself.</v>
      </c>
      <c r="H136" s="131" cm="1">
        <f t="array" ref="H136">'Question_Bank'!H128</f>
        <v>0</v>
      </c>
      <c r="I136" s="131" cm="1">
        <f t="array" ref="I136">'Question_Bank'!I128</f>
        <v>0</v>
      </c>
      <c r="J136" s="131" cm="1">
        <f t="array" ref="J136">'Question_Bank'!J128</f>
        <v>0</v>
      </c>
      <c r="K136" s="131" cm="1">
        <f t="array" ref="K136">'Question_Bank'!K128</f>
        <v>0</v>
      </c>
      <c r="L136" s="131" cm="1">
        <f t="array" ref="L136">'Question_Bank'!L128</f>
        <v>0</v>
      </c>
      <c r="M136" s="132"/>
      <c r="N136" t="str" s="97" cm="1">
        <f t="array" ref="N136">IF(M136="","",IF(F136="MCQ",IF(UPPER(M136)=UPPER(L136),1,0),IF(O136="Yes",6-VALUE(M136),VALUE(M136))))</f>
      </c>
      <c r="O136" t="str" s="97" cm="1">
        <f t="array" ref="O136">'Question_Bank'!N128</f>
        <v>No</v>
      </c>
      <c r="P136" s="133" cm="1">
        <f t="array" ref="P136">IF(F136="MCQ",1,5)</f>
        <v>5</v>
      </c>
    </row>
    <row r="137" ht="42" customHeight="1">
      <c r="A137" t="str" s="130" cm="1">
        <f t="array" ref="A137">'Question_Bank'!A129</f>
        <v>NPI0125</v>
      </c>
      <c r="B137" t="str" s="97" cm="1">
        <f t="array" ref="B137">'Question_Bank'!B129</f>
        <v>8-12</v>
      </c>
      <c r="C137" t="str" s="97" cm="1">
        <f t="array" ref="C137">'Question_Bank'!C129</f>
        <v>Big Five Personality</v>
      </c>
      <c r="D137" t="str" s="97" cm="1">
        <f t="array" ref="D137">'Question_Bank'!D129</f>
        <v>Conscientiousness</v>
      </c>
      <c r="E137" t="str" s="97" cm="1">
        <f t="array" ref="E137">'Question_Bank'!E129</f>
        <v>Conscientiousness</v>
      </c>
      <c r="F137" t="str" s="97" cm="1">
        <f t="array" ref="F137">'Question_Bank'!F129</f>
        <v>Likert</v>
      </c>
      <c r="G137" t="str" s="97" cm="1">
        <f t="array" ref="G137">'Question_Bank'!G129</f>
        <v>I keep responsibilities.</v>
      </c>
      <c r="H137" s="131" cm="1">
        <f t="array" ref="H137">'Question_Bank'!H129</f>
        <v>0</v>
      </c>
      <c r="I137" s="131" cm="1">
        <f t="array" ref="I137">'Question_Bank'!I129</f>
        <v>0</v>
      </c>
      <c r="J137" s="131" cm="1">
        <f t="array" ref="J137">'Question_Bank'!J129</f>
        <v>0</v>
      </c>
      <c r="K137" s="131" cm="1">
        <f t="array" ref="K137">'Question_Bank'!K129</f>
        <v>0</v>
      </c>
      <c r="L137" s="131" cm="1">
        <f t="array" ref="L137">'Question_Bank'!L129</f>
        <v>0</v>
      </c>
      <c r="M137" s="132"/>
      <c r="N137" t="str" s="97" cm="1">
        <f t="array" ref="N137">IF(M137="","",IF(F137="MCQ",IF(UPPER(M137)=UPPER(L137),1,0),IF(O137="Yes",6-VALUE(M137),VALUE(M137))))</f>
      </c>
      <c r="O137" t="str" s="97" cm="1">
        <f t="array" ref="O137">'Question_Bank'!N129</f>
        <v>No</v>
      </c>
      <c r="P137" s="133" cm="1">
        <f t="array" ref="P137">IF(F137="MCQ",1,5)</f>
        <v>5</v>
      </c>
    </row>
    <row r="138" ht="42" customHeight="1">
      <c r="A138" t="str" s="130" cm="1">
        <f t="array" ref="A138">'Question_Bank'!A130</f>
        <v>NPI0126</v>
      </c>
      <c r="B138" t="str" s="97" cm="1">
        <f t="array" ref="B138">'Question_Bank'!B130</f>
        <v>8-12</v>
      </c>
      <c r="C138" t="str" s="97" cm="1">
        <f t="array" ref="C138">'Question_Bank'!C130</f>
        <v>Big Five Personality</v>
      </c>
      <c r="D138" t="str" s="97" cm="1">
        <f t="array" ref="D138">'Question_Bank'!D130</f>
        <v>Conscientiousness</v>
      </c>
      <c r="E138" t="str" s="97" cm="1">
        <f t="array" ref="E138">'Question_Bank'!E130</f>
        <v>Conscientiousness</v>
      </c>
      <c r="F138" t="str" s="97" cm="1">
        <f t="array" ref="F138">'Question_Bank'!F130</f>
        <v>Likert</v>
      </c>
      <c r="G138" t="str" s="97" cm="1">
        <f t="array" ref="G138">'Question_Bank'!G130</f>
        <v>I make to-do lists.</v>
      </c>
      <c r="H138" s="131" cm="1">
        <f t="array" ref="H138">'Question_Bank'!H130</f>
        <v>0</v>
      </c>
      <c r="I138" s="131" cm="1">
        <f t="array" ref="I138">'Question_Bank'!I130</f>
        <v>0</v>
      </c>
      <c r="J138" s="131" cm="1">
        <f t="array" ref="J138">'Question_Bank'!J130</f>
        <v>0</v>
      </c>
      <c r="K138" s="131" cm="1">
        <f t="array" ref="K138">'Question_Bank'!K130</f>
        <v>0</v>
      </c>
      <c r="L138" s="131" cm="1">
        <f t="array" ref="L138">'Question_Bank'!L130</f>
        <v>0</v>
      </c>
      <c r="M138" s="132"/>
      <c r="N138" t="str" s="97" cm="1">
        <f t="array" ref="N138">IF(M138="","",IF(F138="MCQ",IF(UPPER(M138)=UPPER(L138),1,0),IF(O138="Yes",6-VALUE(M138),VALUE(M138))))</f>
      </c>
      <c r="O138" t="str" s="97" cm="1">
        <f t="array" ref="O138">'Question_Bank'!N130</f>
        <v>No</v>
      </c>
      <c r="P138" s="133" cm="1">
        <f t="array" ref="P138">IF(F138="MCQ",1,5)</f>
        <v>5</v>
      </c>
    </row>
    <row r="139" ht="42" customHeight="1">
      <c r="A139" t="str" s="130" cm="1">
        <f t="array" ref="A139">'Question_Bank'!A131</f>
        <v>NPI0127</v>
      </c>
      <c r="B139" t="str" s="97" cm="1">
        <f t="array" ref="B139">'Question_Bank'!B131</f>
        <v>8-12</v>
      </c>
      <c r="C139" t="str" s="97" cm="1">
        <f t="array" ref="C139">'Question_Bank'!C131</f>
        <v>Big Five Personality</v>
      </c>
      <c r="D139" t="str" s="97" cm="1">
        <f t="array" ref="D139">'Question_Bank'!D131</f>
        <v>Conscientiousness</v>
      </c>
      <c r="E139" t="str" s="97" cm="1">
        <f t="array" ref="E139">'Question_Bank'!E131</f>
        <v>Conscientiousness</v>
      </c>
      <c r="F139" t="str" s="97" cm="1">
        <f t="array" ref="F139">'Question_Bank'!F131</f>
        <v>Likert</v>
      </c>
      <c r="G139" t="str" s="97" cm="1">
        <f t="array" ref="G139">'Question_Bank'!G131</f>
        <v>I stay consistent.</v>
      </c>
      <c r="H139" s="131" cm="1">
        <f t="array" ref="H139">'Question_Bank'!H131</f>
        <v>0</v>
      </c>
      <c r="I139" s="131" cm="1">
        <f t="array" ref="I139">'Question_Bank'!I131</f>
        <v>0</v>
      </c>
      <c r="J139" s="131" cm="1">
        <f t="array" ref="J139">'Question_Bank'!J131</f>
        <v>0</v>
      </c>
      <c r="K139" s="131" cm="1">
        <f t="array" ref="K139">'Question_Bank'!K131</f>
        <v>0</v>
      </c>
      <c r="L139" s="131" cm="1">
        <f t="array" ref="L139">'Question_Bank'!L131</f>
        <v>0</v>
      </c>
      <c r="M139" s="132"/>
      <c r="N139" t="str" s="97" cm="1">
        <f t="array" ref="N139">IF(M139="","",IF(F139="MCQ",IF(UPPER(M139)=UPPER(L139),1,0),IF(O139="Yes",6-VALUE(M139),VALUE(M139))))</f>
      </c>
      <c r="O139" t="str" s="97" cm="1">
        <f t="array" ref="O139">'Question_Bank'!N131</f>
        <v>No</v>
      </c>
      <c r="P139" s="133" cm="1">
        <f t="array" ref="P139">IF(F139="MCQ",1,5)</f>
        <v>5</v>
      </c>
    </row>
    <row r="140" ht="42" customHeight="1">
      <c r="A140" t="str" s="130" cm="1">
        <f t="array" ref="A140">'Question_Bank'!A132</f>
        <v>NPI0128</v>
      </c>
      <c r="B140" t="str" s="97" cm="1">
        <f t="array" ref="B140">'Question_Bank'!B132</f>
        <v>8-12</v>
      </c>
      <c r="C140" t="str" s="97" cm="1">
        <f t="array" ref="C140">'Question_Bank'!C132</f>
        <v>Big Five Personality</v>
      </c>
      <c r="D140" t="str" s="97" cm="1">
        <f t="array" ref="D140">'Question_Bank'!D132</f>
        <v>Conscientiousness</v>
      </c>
      <c r="E140" t="str" s="97" cm="1">
        <f t="array" ref="E140">'Question_Bank'!E132</f>
        <v>Conscientiousness</v>
      </c>
      <c r="F140" t="str" s="97" cm="1">
        <f t="array" ref="F140">'Question_Bank'!F132</f>
        <v>Likert</v>
      </c>
      <c r="G140" t="str" s="97" cm="1">
        <f t="array" ref="G140">'Question_Bank'!G132</f>
        <v>I revise regularly.</v>
      </c>
      <c r="H140" s="131" cm="1">
        <f t="array" ref="H140">'Question_Bank'!H132</f>
        <v>0</v>
      </c>
      <c r="I140" s="131" cm="1">
        <f t="array" ref="I140">'Question_Bank'!I132</f>
        <v>0</v>
      </c>
      <c r="J140" s="131" cm="1">
        <f t="array" ref="J140">'Question_Bank'!J132</f>
        <v>0</v>
      </c>
      <c r="K140" s="131" cm="1">
        <f t="array" ref="K140">'Question_Bank'!K132</f>
        <v>0</v>
      </c>
      <c r="L140" s="131" cm="1">
        <f t="array" ref="L140">'Question_Bank'!L132</f>
        <v>0</v>
      </c>
      <c r="M140" s="132"/>
      <c r="N140" t="str" s="97" cm="1">
        <f t="array" ref="N140">IF(M140="","",IF(F140="MCQ",IF(UPPER(M140)=UPPER(L140),1,0),IF(O140="Yes",6-VALUE(M140),VALUE(M140))))</f>
      </c>
      <c r="O140" t="str" s="97" cm="1">
        <f t="array" ref="O140">'Question_Bank'!N132</f>
        <v>No</v>
      </c>
      <c r="P140" s="133" cm="1">
        <f t="array" ref="P140">IF(F140="MCQ",1,5)</f>
        <v>5</v>
      </c>
    </row>
    <row r="141" ht="42" customHeight="1">
      <c r="A141" t="str" s="130" cm="1">
        <f t="array" ref="A141">'Question_Bank'!A133</f>
        <v>NPI0129</v>
      </c>
      <c r="B141" t="str" s="97" cm="1">
        <f t="array" ref="B141">'Question_Bank'!B133</f>
        <v>8-12</v>
      </c>
      <c r="C141" t="str" s="97" cm="1">
        <f t="array" ref="C141">'Question_Bank'!C133</f>
        <v>Big Five Personality</v>
      </c>
      <c r="D141" t="str" s="97" cm="1">
        <f t="array" ref="D141">'Question_Bank'!D133</f>
        <v>Conscientiousness</v>
      </c>
      <c r="E141" t="str" s="97" cm="1">
        <f t="array" ref="E141">'Question_Bank'!E133</f>
        <v>Conscientiousness</v>
      </c>
      <c r="F141" t="str" s="97" cm="1">
        <f t="array" ref="F141">'Question_Bank'!F133</f>
        <v>Likert</v>
      </c>
      <c r="G141" t="str" s="97" cm="1">
        <f t="array" ref="G141">'Question_Bank'!G133</f>
        <v>I take responsibility for performance.</v>
      </c>
      <c r="H141" s="131" cm="1">
        <f t="array" ref="H141">'Question_Bank'!H133</f>
        <v>0</v>
      </c>
      <c r="I141" s="131" cm="1">
        <f t="array" ref="I141">'Question_Bank'!I133</f>
        <v>0</v>
      </c>
      <c r="J141" s="131" cm="1">
        <f t="array" ref="J141">'Question_Bank'!J133</f>
        <v>0</v>
      </c>
      <c r="K141" s="131" cm="1">
        <f t="array" ref="K141">'Question_Bank'!K133</f>
        <v>0</v>
      </c>
      <c r="L141" s="131" cm="1">
        <f t="array" ref="L141">'Question_Bank'!L133</f>
        <v>0</v>
      </c>
      <c r="M141" s="132"/>
      <c r="N141" t="str" s="97" cm="1">
        <f t="array" ref="N141">IF(M141="","",IF(F141="MCQ",IF(UPPER(M141)=UPPER(L141),1,0),IF(O141="Yes",6-VALUE(M141),VALUE(M141))))</f>
      </c>
      <c r="O141" t="str" s="97" cm="1">
        <f t="array" ref="O141">'Question_Bank'!N133</f>
        <v>No</v>
      </c>
      <c r="P141" s="133" cm="1">
        <f t="array" ref="P141">IF(F141="MCQ",1,5)</f>
        <v>5</v>
      </c>
    </row>
    <row r="142" ht="42" customHeight="1">
      <c r="A142" t="str" s="130" cm="1">
        <f t="array" ref="A142">'Question_Bank'!A134</f>
        <v>NPI0130</v>
      </c>
      <c r="B142" t="str" s="97" cm="1">
        <f t="array" ref="B142">'Question_Bank'!B134</f>
        <v>8-12</v>
      </c>
      <c r="C142" t="str" s="97" cm="1">
        <f t="array" ref="C142">'Question_Bank'!C134</f>
        <v>Big Five Personality</v>
      </c>
      <c r="D142" t="str" s="97" cm="1">
        <f t="array" ref="D142">'Question_Bank'!D134</f>
        <v>Conscientiousness</v>
      </c>
      <c r="E142" t="str" s="97" cm="1">
        <f t="array" ref="E142">'Question_Bank'!E134</f>
        <v>Conscientiousness</v>
      </c>
      <c r="F142" t="str" s="97" cm="1">
        <f t="array" ref="F142">'Question_Bank'!F134</f>
        <v>Likert</v>
      </c>
      <c r="G142" t="str" s="97" cm="1">
        <f t="array" ref="G142">'Question_Bank'!G134</f>
        <v>I organize my day.</v>
      </c>
      <c r="H142" s="131" cm="1">
        <f t="array" ref="H142">'Question_Bank'!H134</f>
        <v>0</v>
      </c>
      <c r="I142" s="131" cm="1">
        <f t="array" ref="I142">'Question_Bank'!I134</f>
        <v>0</v>
      </c>
      <c r="J142" s="131" cm="1">
        <f t="array" ref="J142">'Question_Bank'!J134</f>
        <v>0</v>
      </c>
      <c r="K142" s="131" cm="1">
        <f t="array" ref="K142">'Question_Bank'!K134</f>
        <v>0</v>
      </c>
      <c r="L142" s="131" cm="1">
        <f t="array" ref="L142">'Question_Bank'!L134</f>
        <v>0</v>
      </c>
      <c r="M142" s="132"/>
      <c r="N142" t="str" s="97" cm="1">
        <f t="array" ref="N142">IF(M142="","",IF(F142="MCQ",IF(UPPER(M142)=UPPER(L142),1,0),IF(O142="Yes",6-VALUE(M142),VALUE(M142))))</f>
      </c>
      <c r="O142" t="str" s="97" cm="1">
        <f t="array" ref="O142">'Question_Bank'!N134</f>
        <v>No</v>
      </c>
      <c r="P142" s="133" cm="1">
        <f t="array" ref="P142">IF(F142="MCQ",1,5)</f>
        <v>5</v>
      </c>
    </row>
    <row r="143" ht="42" customHeight="1">
      <c r="A143" t="str" s="130" cm="1">
        <f t="array" ref="A143">'Question_Bank'!A135</f>
        <v>NPI0131</v>
      </c>
      <c r="B143" t="str" s="97" cm="1">
        <f t="array" ref="B143">'Question_Bank'!B135</f>
        <v>8-12</v>
      </c>
      <c r="C143" t="str" s="97" cm="1">
        <f t="array" ref="C143">'Question_Bank'!C135</f>
        <v>Big Five Personality</v>
      </c>
      <c r="D143" t="str" s="97" cm="1">
        <f t="array" ref="D143">'Question_Bank'!D135</f>
        <v>Conscientiousness</v>
      </c>
      <c r="E143" t="str" s="97" cm="1">
        <f t="array" ref="E143">'Question_Bank'!E135</f>
        <v>Conscientiousness</v>
      </c>
      <c r="F143" t="str" s="97" cm="1">
        <f t="array" ref="F143">'Question_Bank'!F135</f>
        <v>Likert</v>
      </c>
      <c r="G143" t="str" s="97" cm="1">
        <f t="array" ref="G143">'Question_Bank'!G135</f>
        <v>I finish one task before another.</v>
      </c>
      <c r="H143" s="131" cm="1">
        <f t="array" ref="H143">'Question_Bank'!H135</f>
        <v>0</v>
      </c>
      <c r="I143" s="131" cm="1">
        <f t="array" ref="I143">'Question_Bank'!I135</f>
        <v>0</v>
      </c>
      <c r="J143" s="131" cm="1">
        <f t="array" ref="J143">'Question_Bank'!J135</f>
        <v>0</v>
      </c>
      <c r="K143" s="131" cm="1">
        <f t="array" ref="K143">'Question_Bank'!K135</f>
        <v>0</v>
      </c>
      <c r="L143" s="131" cm="1">
        <f t="array" ref="L143">'Question_Bank'!L135</f>
        <v>0</v>
      </c>
      <c r="M143" s="132"/>
      <c r="N143" t="str" s="97" cm="1">
        <f t="array" ref="N143">IF(M143="","",IF(F143="MCQ",IF(UPPER(M143)=UPPER(L143),1,0),IF(O143="Yes",6-VALUE(M143),VALUE(M143))))</f>
      </c>
      <c r="O143" t="str" s="97" cm="1">
        <f t="array" ref="O143">'Question_Bank'!N135</f>
        <v>No</v>
      </c>
      <c r="P143" s="133" cm="1">
        <f t="array" ref="P143">IF(F143="MCQ",1,5)</f>
        <v>5</v>
      </c>
    </row>
    <row r="144" ht="42" customHeight="1">
      <c r="A144" t="str" s="130" cm="1">
        <f t="array" ref="A144">'Question_Bank'!A136</f>
        <v>NPI0132</v>
      </c>
      <c r="B144" t="str" s="97" cm="1">
        <f t="array" ref="B144">'Question_Bank'!B136</f>
        <v>8-12</v>
      </c>
      <c r="C144" t="str" s="97" cm="1">
        <f t="array" ref="C144">'Question_Bank'!C136</f>
        <v>Big Five Personality</v>
      </c>
      <c r="D144" t="str" s="97" cm="1">
        <f t="array" ref="D144">'Question_Bank'!D136</f>
        <v>Conscientiousness</v>
      </c>
      <c r="E144" t="str" s="97" cm="1">
        <f t="array" ref="E144">'Question_Bank'!E136</f>
        <v>Conscientiousness</v>
      </c>
      <c r="F144" t="str" s="97" cm="1">
        <f t="array" ref="F144">'Question_Bank'!F136</f>
        <v>Likert</v>
      </c>
      <c r="G144" t="str" s="97" cm="1">
        <f t="array" ref="G144">'Question_Bank'!G136</f>
        <v>I track deadlines.</v>
      </c>
      <c r="H144" s="131" cm="1">
        <f t="array" ref="H144">'Question_Bank'!H136</f>
        <v>0</v>
      </c>
      <c r="I144" s="131" cm="1">
        <f t="array" ref="I144">'Question_Bank'!I136</f>
        <v>0</v>
      </c>
      <c r="J144" s="131" cm="1">
        <f t="array" ref="J144">'Question_Bank'!J136</f>
        <v>0</v>
      </c>
      <c r="K144" s="131" cm="1">
        <f t="array" ref="K144">'Question_Bank'!K136</f>
        <v>0</v>
      </c>
      <c r="L144" s="131" cm="1">
        <f t="array" ref="L144">'Question_Bank'!L136</f>
        <v>0</v>
      </c>
      <c r="M144" s="132"/>
      <c r="N144" t="str" s="97" cm="1">
        <f t="array" ref="N144">IF(M144="","",IF(F144="MCQ",IF(UPPER(M144)=UPPER(L144),1,0),IF(O144="Yes",6-VALUE(M144),VALUE(M144))))</f>
      </c>
      <c r="O144" t="str" s="97" cm="1">
        <f t="array" ref="O144">'Question_Bank'!N136</f>
        <v>No</v>
      </c>
      <c r="P144" s="133" cm="1">
        <f t="array" ref="P144">IF(F144="MCQ",1,5)</f>
        <v>5</v>
      </c>
    </row>
    <row r="145" ht="42" customHeight="1">
      <c r="A145" t="str" s="130" cm="1">
        <f t="array" ref="A145">'Question_Bank'!A137</f>
        <v>NPI0133</v>
      </c>
      <c r="B145" t="str" s="97" cm="1">
        <f t="array" ref="B145">'Question_Bank'!B137</f>
        <v>8-12</v>
      </c>
      <c r="C145" t="str" s="97" cm="1">
        <f t="array" ref="C145">'Question_Bank'!C137</f>
        <v>Big Five Personality</v>
      </c>
      <c r="D145" t="str" s="97" cm="1">
        <f t="array" ref="D145">'Question_Bank'!D137</f>
        <v>Conscientiousness</v>
      </c>
      <c r="E145" t="str" s="97" cm="1">
        <f t="array" ref="E145">'Question_Bank'!E137</f>
        <v>Conscientiousness</v>
      </c>
      <c r="F145" t="str" s="97" cm="1">
        <f t="array" ref="F145">'Question_Bank'!F137</f>
        <v>Likert</v>
      </c>
      <c r="G145" t="str" s="97" cm="1">
        <f t="array" ref="G145">'Question_Bank'!G137</f>
        <v>I use routines.</v>
      </c>
      <c r="H145" s="131" cm="1">
        <f t="array" ref="H145">'Question_Bank'!H137</f>
        <v>0</v>
      </c>
      <c r="I145" s="131" cm="1">
        <f t="array" ref="I145">'Question_Bank'!I137</f>
        <v>0</v>
      </c>
      <c r="J145" s="131" cm="1">
        <f t="array" ref="J145">'Question_Bank'!J137</f>
        <v>0</v>
      </c>
      <c r="K145" s="131" cm="1">
        <f t="array" ref="K145">'Question_Bank'!K137</f>
        <v>0</v>
      </c>
      <c r="L145" s="131" cm="1">
        <f t="array" ref="L145">'Question_Bank'!L137</f>
        <v>0</v>
      </c>
      <c r="M145" s="132"/>
      <c r="N145" t="str" s="97" cm="1">
        <f t="array" ref="N145">IF(M145="","",IF(F145="MCQ",IF(UPPER(M145)=UPPER(L145),1,0),IF(O145="Yes",6-VALUE(M145),VALUE(M145))))</f>
      </c>
      <c r="O145" t="str" s="97" cm="1">
        <f t="array" ref="O145">'Question_Bank'!N137</f>
        <v>No</v>
      </c>
      <c r="P145" s="133" cm="1">
        <f t="array" ref="P145">IF(F145="MCQ",1,5)</f>
        <v>5</v>
      </c>
    </row>
    <row r="146" ht="42" customHeight="1">
      <c r="A146" t="str" s="130" cm="1">
        <f t="array" ref="A146">'Question_Bank'!A138</f>
        <v>NPI0134</v>
      </c>
      <c r="B146" t="str" s="97" cm="1">
        <f t="array" ref="B146">'Question_Bank'!B138</f>
        <v>8-12</v>
      </c>
      <c r="C146" t="str" s="97" cm="1">
        <f t="array" ref="C146">'Question_Bank'!C138</f>
        <v>Big Five Personality</v>
      </c>
      <c r="D146" t="str" s="97" cm="1">
        <f t="array" ref="D146">'Question_Bank'!D138</f>
        <v>Conscientiousness</v>
      </c>
      <c r="E146" t="str" s="97" cm="1">
        <f t="array" ref="E146">'Question_Bank'!E138</f>
        <v>Conscientiousness</v>
      </c>
      <c r="F146" t="str" s="97" cm="1">
        <f t="array" ref="F146">'Question_Bank'!F138</f>
        <v>Likert</v>
      </c>
      <c r="G146" t="str" s="97" cm="1">
        <f t="array" ref="G146">'Question_Bank'!G138</f>
        <v>I delay work until the last moment.</v>
      </c>
      <c r="H146" s="131" cm="1">
        <f t="array" ref="H146">'Question_Bank'!H138</f>
        <v>0</v>
      </c>
      <c r="I146" s="131" cm="1">
        <f t="array" ref="I146">'Question_Bank'!I138</f>
        <v>0</v>
      </c>
      <c r="J146" s="131" cm="1">
        <f t="array" ref="J146">'Question_Bank'!J138</f>
        <v>0</v>
      </c>
      <c r="K146" s="131" cm="1">
        <f t="array" ref="K146">'Question_Bank'!K138</f>
        <v>0</v>
      </c>
      <c r="L146" s="131" cm="1">
        <f t="array" ref="L146">'Question_Bank'!L138</f>
        <v>0</v>
      </c>
      <c r="M146" s="132"/>
      <c r="N146" t="str" s="97" cm="1">
        <f t="array" ref="N146">IF(M146="","",IF(F146="MCQ",IF(UPPER(M146)=UPPER(L146),1,0),IF(O146="Yes",6-VALUE(M146),VALUE(M146))))</f>
      </c>
      <c r="O146" t="str" s="97" cm="1">
        <f t="array" ref="O146">'Question_Bank'!N138</f>
        <v>Yes</v>
      </c>
      <c r="P146" s="133" cm="1">
        <f t="array" ref="P146">IF(F146="MCQ",1,5)</f>
        <v>5</v>
      </c>
    </row>
    <row r="147" ht="42" customHeight="1">
      <c r="A147" t="str" s="130" cm="1">
        <f t="array" ref="A147">'Question_Bank'!A139</f>
        <v>NPI0135</v>
      </c>
      <c r="B147" t="str" s="97" cm="1">
        <f t="array" ref="B147">'Question_Bank'!B139</f>
        <v>8-12</v>
      </c>
      <c r="C147" t="str" s="97" cm="1">
        <f t="array" ref="C147">'Question_Bank'!C139</f>
        <v>Big Five Personality</v>
      </c>
      <c r="D147" t="str" s="97" cm="1">
        <f t="array" ref="D147">'Question_Bank'!D139</f>
        <v>Conscientiousness</v>
      </c>
      <c r="E147" t="str" s="97" cm="1">
        <f t="array" ref="E147">'Question_Bank'!E139</f>
        <v>Conscientiousness</v>
      </c>
      <c r="F147" t="str" s="97" cm="1">
        <f t="array" ref="F147">'Question_Bank'!F139</f>
        <v>Likert</v>
      </c>
      <c r="G147" t="str" s="97" cm="1">
        <f t="array" ref="G147">'Question_Bank'!G139</f>
        <v>I lose track of deadlines.</v>
      </c>
      <c r="H147" s="131" cm="1">
        <f t="array" ref="H147">'Question_Bank'!H139</f>
        <v>0</v>
      </c>
      <c r="I147" s="131" cm="1">
        <f t="array" ref="I147">'Question_Bank'!I139</f>
        <v>0</v>
      </c>
      <c r="J147" s="131" cm="1">
        <f t="array" ref="J147">'Question_Bank'!J139</f>
        <v>0</v>
      </c>
      <c r="K147" s="131" cm="1">
        <f t="array" ref="K147">'Question_Bank'!K139</f>
        <v>0</v>
      </c>
      <c r="L147" s="131" cm="1">
        <f t="array" ref="L147">'Question_Bank'!L139</f>
        <v>0</v>
      </c>
      <c r="M147" s="132"/>
      <c r="N147" t="str" s="97" cm="1">
        <f t="array" ref="N147">IF(M147="","",IF(F147="MCQ",IF(UPPER(M147)=UPPER(L147),1,0),IF(O147="Yes",6-VALUE(M147),VALUE(M147))))</f>
      </c>
      <c r="O147" t="str" s="97" cm="1">
        <f t="array" ref="O147">'Question_Bank'!N139</f>
        <v>Yes</v>
      </c>
      <c r="P147" s="133" cm="1">
        <f t="array" ref="P147">IF(F147="MCQ",1,5)</f>
        <v>5</v>
      </c>
    </row>
    <row r="148" ht="42" customHeight="1">
      <c r="A148" t="str" s="130" cm="1">
        <f t="array" ref="A148">'Question_Bank'!A140</f>
        <v>NPI0136</v>
      </c>
      <c r="B148" t="str" s="97" cm="1">
        <f t="array" ref="B148">'Question_Bank'!B140</f>
        <v>8-12</v>
      </c>
      <c r="C148" t="str" s="97" cm="1">
        <f t="array" ref="C148">'Question_Bank'!C140</f>
        <v>Big Five Personality</v>
      </c>
      <c r="D148" t="str" s="97" cm="1">
        <f t="array" ref="D148">'Question_Bank'!D140</f>
        <v>Conscientiousness</v>
      </c>
      <c r="E148" t="str" s="97" cm="1">
        <f t="array" ref="E148">'Question_Bank'!E140</f>
        <v>Conscientiousness</v>
      </c>
      <c r="F148" t="str" s="97" cm="1">
        <f t="array" ref="F148">'Question_Bank'!F140</f>
        <v>Likert</v>
      </c>
      <c r="G148" t="str" s="97" cm="1">
        <f t="array" ref="G148">'Question_Bank'!G140</f>
        <v>I leave tasks incomplete.</v>
      </c>
      <c r="H148" s="131" cm="1">
        <f t="array" ref="H148">'Question_Bank'!H140</f>
        <v>0</v>
      </c>
      <c r="I148" s="131" cm="1">
        <f t="array" ref="I148">'Question_Bank'!I140</f>
        <v>0</v>
      </c>
      <c r="J148" s="131" cm="1">
        <f t="array" ref="J148">'Question_Bank'!J140</f>
        <v>0</v>
      </c>
      <c r="K148" s="131" cm="1">
        <f t="array" ref="K148">'Question_Bank'!K140</f>
        <v>0</v>
      </c>
      <c r="L148" s="131" cm="1">
        <f t="array" ref="L148">'Question_Bank'!L140</f>
        <v>0</v>
      </c>
      <c r="M148" s="132"/>
      <c r="N148" t="str" s="97" cm="1">
        <f t="array" ref="N148">IF(M148="","",IF(F148="MCQ",IF(UPPER(M148)=UPPER(L148),1,0),IF(O148="Yes",6-VALUE(M148),VALUE(M148))))</f>
      </c>
      <c r="O148" t="str" s="97" cm="1">
        <f t="array" ref="O148">'Question_Bank'!N140</f>
        <v>Yes</v>
      </c>
      <c r="P148" s="133" cm="1">
        <f t="array" ref="P148">IF(F148="MCQ",1,5)</f>
        <v>5</v>
      </c>
    </row>
    <row r="149" ht="42" customHeight="1">
      <c r="A149" t="str" s="130" cm="1">
        <f t="array" ref="A149">'Question_Bank'!A141</f>
        <v>NPI0137</v>
      </c>
      <c r="B149" t="str" s="97" cm="1">
        <f t="array" ref="B149">'Question_Bank'!B141</f>
        <v>8-12</v>
      </c>
      <c r="C149" t="str" s="97" cm="1">
        <f t="array" ref="C149">'Question_Bank'!C141</f>
        <v>Big Five Personality</v>
      </c>
      <c r="D149" t="str" s="97" cm="1">
        <f t="array" ref="D149">'Question_Bank'!D141</f>
        <v>Conscientiousness</v>
      </c>
      <c r="E149" t="str" s="97" cm="1">
        <f t="array" ref="E149">'Question_Bank'!E141</f>
        <v>Conscientiousness</v>
      </c>
      <c r="F149" t="str" s="97" cm="1">
        <f t="array" ref="F149">'Question_Bank'!F141</f>
        <v>Likert</v>
      </c>
      <c r="G149" t="str" s="97" cm="1">
        <f t="array" ref="G149">'Question_Bank'!G141</f>
        <v>I am careless with details.</v>
      </c>
      <c r="H149" s="131" cm="1">
        <f t="array" ref="H149">'Question_Bank'!H141</f>
        <v>0</v>
      </c>
      <c r="I149" s="131" cm="1">
        <f t="array" ref="I149">'Question_Bank'!I141</f>
        <v>0</v>
      </c>
      <c r="J149" s="131" cm="1">
        <f t="array" ref="J149">'Question_Bank'!J141</f>
        <v>0</v>
      </c>
      <c r="K149" s="131" cm="1">
        <f t="array" ref="K149">'Question_Bank'!K141</f>
        <v>0</v>
      </c>
      <c r="L149" s="131" cm="1">
        <f t="array" ref="L149">'Question_Bank'!L141</f>
        <v>0</v>
      </c>
      <c r="M149" s="132"/>
      <c r="N149" t="str" s="97" cm="1">
        <f t="array" ref="N149">IF(M149="","",IF(F149="MCQ",IF(UPPER(M149)=UPPER(L149),1,0),IF(O149="Yes",6-VALUE(M149),VALUE(M149))))</f>
      </c>
      <c r="O149" t="str" s="97" cm="1">
        <f t="array" ref="O149">'Question_Bank'!N141</f>
        <v>Yes</v>
      </c>
      <c r="P149" s="133" cm="1">
        <f t="array" ref="P149">IF(F149="MCQ",1,5)</f>
        <v>5</v>
      </c>
    </row>
    <row r="150" ht="42" customHeight="1">
      <c r="A150" t="str" s="130" cm="1">
        <f t="array" ref="A150">'Question_Bank'!A142</f>
        <v>NPI0138</v>
      </c>
      <c r="B150" t="str" s="97" cm="1">
        <f t="array" ref="B150">'Question_Bank'!B142</f>
        <v>8-12</v>
      </c>
      <c r="C150" t="str" s="97" cm="1">
        <f t="array" ref="C150">'Question_Bank'!C142</f>
        <v>Big Five Personality</v>
      </c>
      <c r="D150" t="str" s="97" cm="1">
        <f t="array" ref="D150">'Question_Bank'!D142</f>
        <v>Conscientiousness</v>
      </c>
      <c r="E150" t="str" s="97" cm="1">
        <f t="array" ref="E150">'Question_Bank'!E142</f>
        <v>Conscientiousness</v>
      </c>
      <c r="F150" t="str" s="97" cm="1">
        <f t="array" ref="F150">'Question_Bank'!F142</f>
        <v>Likert</v>
      </c>
      <c r="G150" t="str" s="97" cm="1">
        <f t="array" ref="G150">'Question_Bank'!G142</f>
        <v>I study only when reminded.</v>
      </c>
      <c r="H150" s="131" cm="1">
        <f t="array" ref="H150">'Question_Bank'!H142</f>
        <v>0</v>
      </c>
      <c r="I150" s="131" cm="1">
        <f t="array" ref="I150">'Question_Bank'!I142</f>
        <v>0</v>
      </c>
      <c r="J150" s="131" cm="1">
        <f t="array" ref="J150">'Question_Bank'!J142</f>
        <v>0</v>
      </c>
      <c r="K150" s="131" cm="1">
        <f t="array" ref="K150">'Question_Bank'!K142</f>
        <v>0</v>
      </c>
      <c r="L150" s="131" cm="1">
        <f t="array" ref="L150">'Question_Bank'!L142</f>
        <v>0</v>
      </c>
      <c r="M150" s="132"/>
      <c r="N150" t="str" s="97" cm="1">
        <f t="array" ref="N150">IF(M150="","",IF(F150="MCQ",IF(UPPER(M150)=UPPER(L150),1,0),IF(O150="Yes",6-VALUE(M150),VALUE(M150))))</f>
      </c>
      <c r="O150" t="str" s="97" cm="1">
        <f t="array" ref="O150">'Question_Bank'!N142</f>
        <v>Yes</v>
      </c>
      <c r="P150" s="133" cm="1">
        <f t="array" ref="P150">IF(F150="MCQ",1,5)</f>
        <v>5</v>
      </c>
    </row>
    <row r="151" ht="42" customHeight="1">
      <c r="A151" t="str" s="130" cm="1">
        <f t="array" ref="A151">'Question_Bank'!A143</f>
        <v>NPI0139</v>
      </c>
      <c r="B151" t="str" s="97" cm="1">
        <f t="array" ref="B151">'Question_Bank'!B143</f>
        <v>8-12</v>
      </c>
      <c r="C151" t="str" s="97" cm="1">
        <f t="array" ref="C151">'Question_Bank'!C143</f>
        <v>Big Five Personality</v>
      </c>
      <c r="D151" t="str" s="97" cm="1">
        <f t="array" ref="D151">'Question_Bank'!D143</f>
        <v>Conscientiousness</v>
      </c>
      <c r="E151" t="str" s="97" cm="1">
        <f t="array" ref="E151">'Question_Bank'!E143</f>
        <v>Conscientiousness</v>
      </c>
      <c r="F151" t="str" s="97" cm="1">
        <f t="array" ref="F151">'Question_Bank'!F143</f>
        <v>Likert</v>
      </c>
      <c r="G151" t="str" s="97" cm="1">
        <f t="array" ref="G151">'Question_Bank'!G143</f>
        <v>I often forget materials.</v>
      </c>
      <c r="H151" s="131" cm="1">
        <f t="array" ref="H151">'Question_Bank'!H143</f>
        <v>0</v>
      </c>
      <c r="I151" s="131" cm="1">
        <f t="array" ref="I151">'Question_Bank'!I143</f>
        <v>0</v>
      </c>
      <c r="J151" s="131" cm="1">
        <f t="array" ref="J151">'Question_Bank'!J143</f>
        <v>0</v>
      </c>
      <c r="K151" s="131" cm="1">
        <f t="array" ref="K151">'Question_Bank'!K143</f>
        <v>0</v>
      </c>
      <c r="L151" s="131" cm="1">
        <f t="array" ref="L151">'Question_Bank'!L143</f>
        <v>0</v>
      </c>
      <c r="M151" s="132"/>
      <c r="N151" t="str" s="97" cm="1">
        <f t="array" ref="N151">IF(M151="","",IF(F151="MCQ",IF(UPPER(M151)=UPPER(L151),1,0),IF(O151="Yes",6-VALUE(M151),VALUE(M151))))</f>
      </c>
      <c r="O151" t="str" s="97" cm="1">
        <f t="array" ref="O151">'Question_Bank'!N143</f>
        <v>Yes</v>
      </c>
      <c r="P151" s="133" cm="1">
        <f t="array" ref="P151">IF(F151="MCQ",1,5)</f>
        <v>5</v>
      </c>
    </row>
    <row r="152" ht="42" customHeight="1">
      <c r="A152" t="str" s="130" cm="1">
        <f t="array" ref="A152">'Question_Bank'!A144</f>
        <v>NPI0140</v>
      </c>
      <c r="B152" t="str" s="97" cm="1">
        <f t="array" ref="B152">'Question_Bank'!B144</f>
        <v>8-12</v>
      </c>
      <c r="C152" t="str" s="97" cm="1">
        <f t="array" ref="C152">'Question_Bank'!C144</f>
        <v>Big Five Personality</v>
      </c>
      <c r="D152" t="str" s="97" cm="1">
        <f t="array" ref="D152">'Question_Bank'!D144</f>
        <v>Conscientiousness</v>
      </c>
      <c r="E152" t="str" s="97" cm="1">
        <f t="array" ref="E152">'Question_Bank'!E144</f>
        <v>Conscientiousness</v>
      </c>
      <c r="F152" t="str" s="97" cm="1">
        <f t="array" ref="F152">'Question_Bank'!F144</f>
        <v>Likert</v>
      </c>
      <c r="G152" t="str" s="97" cm="1">
        <f t="array" ref="G152">'Question_Bank'!G144</f>
        <v>I act without planning.</v>
      </c>
      <c r="H152" s="131" cm="1">
        <f t="array" ref="H152">'Question_Bank'!H144</f>
        <v>0</v>
      </c>
      <c r="I152" s="131" cm="1">
        <f t="array" ref="I152">'Question_Bank'!I144</f>
        <v>0</v>
      </c>
      <c r="J152" s="131" cm="1">
        <f t="array" ref="J152">'Question_Bank'!J144</f>
        <v>0</v>
      </c>
      <c r="K152" s="131" cm="1">
        <f t="array" ref="K152">'Question_Bank'!K144</f>
        <v>0</v>
      </c>
      <c r="L152" s="131" cm="1">
        <f t="array" ref="L152">'Question_Bank'!L144</f>
        <v>0</v>
      </c>
      <c r="M152" s="132"/>
      <c r="N152" t="str" s="97" cm="1">
        <f t="array" ref="N152">IF(M152="","",IF(F152="MCQ",IF(UPPER(M152)=UPPER(L152),1,0),IF(O152="Yes",6-VALUE(M152),VALUE(M152))))</f>
      </c>
      <c r="O152" t="str" s="97" cm="1">
        <f t="array" ref="O152">'Question_Bank'!N144</f>
        <v>Yes</v>
      </c>
      <c r="P152" s="133" cm="1">
        <f t="array" ref="P152">IF(F152="MCQ",1,5)</f>
        <v>5</v>
      </c>
    </row>
    <row r="153" ht="42" customHeight="1">
      <c r="A153" t="str" s="130" cm="1">
        <f t="array" ref="A153">'Question_Bank'!A145</f>
        <v>NPI0141</v>
      </c>
      <c r="B153" t="str" s="97" cm="1">
        <f t="array" ref="B153">'Question_Bank'!B145</f>
        <v>8-12</v>
      </c>
      <c r="C153" t="str" s="97" cm="1">
        <f t="array" ref="C153">'Question_Bank'!C145</f>
        <v>Big Five Personality</v>
      </c>
      <c r="D153" t="str" s="97" cm="1">
        <f t="array" ref="D153">'Question_Bank'!D145</f>
        <v>Extraversion</v>
      </c>
      <c r="E153" t="str" s="97" cm="1">
        <f t="array" ref="E153">'Question_Bank'!E145</f>
        <v>Extraversion</v>
      </c>
      <c r="F153" t="str" s="97" cm="1">
        <f t="array" ref="F153">'Question_Bank'!F145</f>
        <v>Likert</v>
      </c>
      <c r="G153" t="str" s="97" cm="1">
        <f t="array" ref="G153">'Question_Bank'!G145</f>
        <v>I feel energized working with others.</v>
      </c>
      <c r="H153" s="131" cm="1">
        <f t="array" ref="H153">'Question_Bank'!H145</f>
        <v>0</v>
      </c>
      <c r="I153" s="131" cm="1">
        <f t="array" ref="I153">'Question_Bank'!I145</f>
        <v>0</v>
      </c>
      <c r="J153" s="131" cm="1">
        <f t="array" ref="J153">'Question_Bank'!J145</f>
        <v>0</v>
      </c>
      <c r="K153" s="131" cm="1">
        <f t="array" ref="K153">'Question_Bank'!K145</f>
        <v>0</v>
      </c>
      <c r="L153" s="131" cm="1">
        <f t="array" ref="L153">'Question_Bank'!L145</f>
        <v>0</v>
      </c>
      <c r="M153" s="132"/>
      <c r="N153" t="str" s="97" cm="1">
        <f t="array" ref="N153">IF(M153="","",IF(F153="MCQ",IF(UPPER(M153)=UPPER(L153),1,0),IF(O153="Yes",6-VALUE(M153),VALUE(M153))))</f>
      </c>
      <c r="O153" t="str" s="97" cm="1">
        <f t="array" ref="O153">'Question_Bank'!N145</f>
        <v>No</v>
      </c>
      <c r="P153" s="133" cm="1">
        <f t="array" ref="P153">IF(F153="MCQ",1,5)</f>
        <v>5</v>
      </c>
    </row>
    <row r="154" ht="42" customHeight="1">
      <c r="A154" t="str" s="130" cm="1">
        <f t="array" ref="A154">'Question_Bank'!A146</f>
        <v>NPI0142</v>
      </c>
      <c r="B154" t="str" s="97" cm="1">
        <f t="array" ref="B154">'Question_Bank'!B146</f>
        <v>8-12</v>
      </c>
      <c r="C154" t="str" s="97" cm="1">
        <f t="array" ref="C154">'Question_Bank'!C146</f>
        <v>Big Five Personality</v>
      </c>
      <c r="D154" t="str" s="97" cm="1">
        <f t="array" ref="D154">'Question_Bank'!D146</f>
        <v>Extraversion</v>
      </c>
      <c r="E154" t="str" s="97" cm="1">
        <f t="array" ref="E154">'Question_Bank'!E146</f>
        <v>Extraversion</v>
      </c>
      <c r="F154" t="str" s="97" cm="1">
        <f t="array" ref="F154">'Question_Bank'!F146</f>
        <v>Likert</v>
      </c>
      <c r="G154" t="str" s="97" cm="1">
        <f t="array" ref="G154">'Question_Bank'!G146</f>
        <v>I enjoy group discussions.</v>
      </c>
      <c r="H154" s="131" cm="1">
        <f t="array" ref="H154">'Question_Bank'!H146</f>
        <v>0</v>
      </c>
      <c r="I154" s="131" cm="1">
        <f t="array" ref="I154">'Question_Bank'!I146</f>
        <v>0</v>
      </c>
      <c r="J154" s="131" cm="1">
        <f t="array" ref="J154">'Question_Bank'!J146</f>
        <v>0</v>
      </c>
      <c r="K154" s="131" cm="1">
        <f t="array" ref="K154">'Question_Bank'!K146</f>
        <v>0</v>
      </c>
      <c r="L154" s="131" cm="1">
        <f t="array" ref="L154">'Question_Bank'!L146</f>
        <v>0</v>
      </c>
      <c r="M154" s="132"/>
      <c r="N154" t="str" s="97" cm="1">
        <f t="array" ref="N154">IF(M154="","",IF(F154="MCQ",IF(UPPER(M154)=UPPER(L154),1,0),IF(O154="Yes",6-VALUE(M154),VALUE(M154))))</f>
      </c>
      <c r="O154" t="str" s="97" cm="1">
        <f t="array" ref="O154">'Question_Bank'!N146</f>
        <v>No</v>
      </c>
      <c r="P154" s="133" cm="1">
        <f t="array" ref="P154">IF(F154="MCQ",1,5)</f>
        <v>5</v>
      </c>
    </row>
    <row r="155" ht="42" customHeight="1">
      <c r="A155" t="str" s="130" cm="1">
        <f t="array" ref="A155">'Question_Bank'!A147</f>
        <v>NPI0143</v>
      </c>
      <c r="B155" t="str" s="97" cm="1">
        <f t="array" ref="B155">'Question_Bank'!B147</f>
        <v>8-12</v>
      </c>
      <c r="C155" t="str" s="97" cm="1">
        <f t="array" ref="C155">'Question_Bank'!C147</f>
        <v>Big Five Personality</v>
      </c>
      <c r="D155" t="str" s="97" cm="1">
        <f t="array" ref="D155">'Question_Bank'!D147</f>
        <v>Extraversion</v>
      </c>
      <c r="E155" t="str" s="97" cm="1">
        <f t="array" ref="E155">'Question_Bank'!E147</f>
        <v>Extraversion</v>
      </c>
      <c r="F155" t="str" s="97" cm="1">
        <f t="array" ref="F155">'Question_Bank'!F147</f>
        <v>Likert</v>
      </c>
      <c r="G155" t="str" s="97" cm="1">
        <f t="array" ref="G155">'Question_Bank'!G147</f>
        <v>I like meeting new people.</v>
      </c>
      <c r="H155" s="131" cm="1">
        <f t="array" ref="H155">'Question_Bank'!H147</f>
        <v>0</v>
      </c>
      <c r="I155" s="131" cm="1">
        <f t="array" ref="I155">'Question_Bank'!I147</f>
        <v>0</v>
      </c>
      <c r="J155" s="131" cm="1">
        <f t="array" ref="J155">'Question_Bank'!J147</f>
        <v>0</v>
      </c>
      <c r="K155" s="131" cm="1">
        <f t="array" ref="K155">'Question_Bank'!K147</f>
        <v>0</v>
      </c>
      <c r="L155" s="131" cm="1">
        <f t="array" ref="L155">'Question_Bank'!L147</f>
        <v>0</v>
      </c>
      <c r="M155" s="132"/>
      <c r="N155" t="str" s="97" cm="1">
        <f t="array" ref="N155">IF(M155="","",IF(F155="MCQ",IF(UPPER(M155)=UPPER(L155),1,0),IF(O155="Yes",6-VALUE(M155),VALUE(M155))))</f>
      </c>
      <c r="O155" t="str" s="97" cm="1">
        <f t="array" ref="O155">'Question_Bank'!N147</f>
        <v>No</v>
      </c>
      <c r="P155" s="133" cm="1">
        <f t="array" ref="P155">IF(F155="MCQ",1,5)</f>
        <v>5</v>
      </c>
    </row>
    <row r="156" ht="42" customHeight="1">
      <c r="A156" t="str" s="130" cm="1">
        <f t="array" ref="A156">'Question_Bank'!A148</f>
        <v>NPI0144</v>
      </c>
      <c r="B156" t="str" s="97" cm="1">
        <f t="array" ref="B156">'Question_Bank'!B148</f>
        <v>8-12</v>
      </c>
      <c r="C156" t="str" s="97" cm="1">
        <f t="array" ref="C156">'Question_Bank'!C148</f>
        <v>Big Five Personality</v>
      </c>
      <c r="D156" t="str" s="97" cm="1">
        <f t="array" ref="D156">'Question_Bank'!D148</f>
        <v>Extraversion</v>
      </c>
      <c r="E156" t="str" s="97" cm="1">
        <f t="array" ref="E156">'Question_Bank'!E148</f>
        <v>Extraversion</v>
      </c>
      <c r="F156" t="str" s="97" cm="1">
        <f t="array" ref="F156">'Question_Bank'!F148</f>
        <v>Likert</v>
      </c>
      <c r="G156" t="str" s="97" cm="1">
        <f t="array" ref="G156">'Question_Bank'!G148</f>
        <v>I feel comfortable asking questions.</v>
      </c>
      <c r="H156" s="131" cm="1">
        <f t="array" ref="H156">'Question_Bank'!H148</f>
        <v>0</v>
      </c>
      <c r="I156" s="131" cm="1">
        <f t="array" ref="I156">'Question_Bank'!I148</f>
        <v>0</v>
      </c>
      <c r="J156" s="131" cm="1">
        <f t="array" ref="J156">'Question_Bank'!J148</f>
        <v>0</v>
      </c>
      <c r="K156" s="131" cm="1">
        <f t="array" ref="K156">'Question_Bank'!K148</f>
        <v>0</v>
      </c>
      <c r="L156" s="131" cm="1">
        <f t="array" ref="L156">'Question_Bank'!L148</f>
        <v>0</v>
      </c>
      <c r="M156" s="132"/>
      <c r="N156" t="str" s="97" cm="1">
        <f t="array" ref="N156">IF(M156="","",IF(F156="MCQ",IF(UPPER(M156)=UPPER(L156),1,0),IF(O156="Yes",6-VALUE(M156),VALUE(M156))))</f>
      </c>
      <c r="O156" t="str" s="97" cm="1">
        <f t="array" ref="O156">'Question_Bank'!N148</f>
        <v>No</v>
      </c>
      <c r="P156" s="133" cm="1">
        <f t="array" ref="P156">IF(F156="MCQ",1,5)</f>
        <v>5</v>
      </c>
    </row>
    <row r="157" ht="42" customHeight="1">
      <c r="A157" t="str" s="130" cm="1">
        <f t="array" ref="A157">'Question_Bank'!A149</f>
        <v>NPI0145</v>
      </c>
      <c r="B157" t="str" s="97" cm="1">
        <f t="array" ref="B157">'Question_Bank'!B149</f>
        <v>8-12</v>
      </c>
      <c r="C157" t="str" s="97" cm="1">
        <f t="array" ref="C157">'Question_Bank'!C149</f>
        <v>Big Five Personality</v>
      </c>
      <c r="D157" t="str" s="97" cm="1">
        <f t="array" ref="D157">'Question_Bank'!D149</f>
        <v>Extraversion</v>
      </c>
      <c r="E157" t="str" s="97" cm="1">
        <f t="array" ref="E157">'Question_Bank'!E149</f>
        <v>Extraversion</v>
      </c>
      <c r="F157" t="str" s="97" cm="1">
        <f t="array" ref="F157">'Question_Bank'!F149</f>
        <v>Likert</v>
      </c>
      <c r="G157" t="str" s="97" cm="1">
        <f t="array" ref="G157">'Question_Bank'!G149</f>
        <v>I enjoy leadership roles.</v>
      </c>
      <c r="H157" s="131" cm="1">
        <f t="array" ref="H157">'Question_Bank'!H149</f>
        <v>0</v>
      </c>
      <c r="I157" s="131" cm="1">
        <f t="array" ref="I157">'Question_Bank'!I149</f>
        <v>0</v>
      </c>
      <c r="J157" s="131" cm="1">
        <f t="array" ref="J157">'Question_Bank'!J149</f>
        <v>0</v>
      </c>
      <c r="K157" s="131" cm="1">
        <f t="array" ref="K157">'Question_Bank'!K149</f>
        <v>0</v>
      </c>
      <c r="L157" s="131" cm="1">
        <f t="array" ref="L157">'Question_Bank'!L149</f>
        <v>0</v>
      </c>
      <c r="M157" s="132"/>
      <c r="N157" t="str" s="97" cm="1">
        <f t="array" ref="N157">IF(M157="","",IF(F157="MCQ",IF(UPPER(M157)=UPPER(L157),1,0),IF(O157="Yes",6-VALUE(M157),VALUE(M157))))</f>
      </c>
      <c r="O157" t="str" s="97" cm="1">
        <f t="array" ref="O157">'Question_Bank'!N149</f>
        <v>No</v>
      </c>
      <c r="P157" s="133" cm="1">
        <f t="array" ref="P157">IF(F157="MCQ",1,5)</f>
        <v>5</v>
      </c>
    </row>
    <row r="158" ht="42" customHeight="1">
      <c r="A158" t="str" s="130" cm="1">
        <f t="array" ref="A158">'Question_Bank'!A150</f>
        <v>NPI0146</v>
      </c>
      <c r="B158" t="str" s="97" cm="1">
        <f t="array" ref="B158">'Question_Bank'!B150</f>
        <v>8-12</v>
      </c>
      <c r="C158" t="str" s="97" cm="1">
        <f t="array" ref="C158">'Question_Bank'!C150</f>
        <v>Big Five Personality</v>
      </c>
      <c r="D158" t="str" s="97" cm="1">
        <f t="array" ref="D158">'Question_Bank'!D150</f>
        <v>Extraversion</v>
      </c>
      <c r="E158" t="str" s="97" cm="1">
        <f t="array" ref="E158">'Question_Bank'!E150</f>
        <v>Extraversion</v>
      </c>
      <c r="F158" t="str" s="97" cm="1">
        <f t="array" ref="F158">'Question_Bank'!F150</f>
        <v>Likert</v>
      </c>
      <c r="G158" t="str" s="97" cm="1">
        <f t="array" ref="G158">'Question_Bank'!G150</f>
        <v>I like events and competitions.</v>
      </c>
      <c r="H158" s="131" cm="1">
        <f t="array" ref="H158">'Question_Bank'!H150</f>
        <v>0</v>
      </c>
      <c r="I158" s="131" cm="1">
        <f t="array" ref="I158">'Question_Bank'!I150</f>
        <v>0</v>
      </c>
      <c r="J158" s="131" cm="1">
        <f t="array" ref="J158">'Question_Bank'!J150</f>
        <v>0</v>
      </c>
      <c r="K158" s="131" cm="1">
        <f t="array" ref="K158">'Question_Bank'!K150</f>
        <v>0</v>
      </c>
      <c r="L158" s="131" cm="1">
        <f t="array" ref="L158">'Question_Bank'!L150</f>
        <v>0</v>
      </c>
      <c r="M158" s="132"/>
      <c r="N158" t="str" s="97" cm="1">
        <f t="array" ref="N158">IF(M158="","",IF(F158="MCQ",IF(UPPER(M158)=UPPER(L158),1,0),IF(O158="Yes",6-VALUE(M158),VALUE(M158))))</f>
      </c>
      <c r="O158" t="str" s="97" cm="1">
        <f t="array" ref="O158">'Question_Bank'!N150</f>
        <v>No</v>
      </c>
      <c r="P158" s="133" cm="1">
        <f t="array" ref="P158">IF(F158="MCQ",1,5)</f>
        <v>5</v>
      </c>
    </row>
    <row r="159" ht="42" customHeight="1">
      <c r="A159" t="str" s="130" cm="1">
        <f t="array" ref="A159">'Question_Bank'!A151</f>
        <v>NPI0147</v>
      </c>
      <c r="B159" t="str" s="97" cm="1">
        <f t="array" ref="B159">'Question_Bank'!B151</f>
        <v>8-12</v>
      </c>
      <c r="C159" t="str" s="97" cm="1">
        <f t="array" ref="C159">'Question_Bank'!C151</f>
        <v>Big Five Personality</v>
      </c>
      <c r="D159" t="str" s="97" cm="1">
        <f t="array" ref="D159">'Question_Bank'!D151</f>
        <v>Extraversion</v>
      </c>
      <c r="E159" t="str" s="97" cm="1">
        <f t="array" ref="E159">'Question_Bank'!E151</f>
        <v>Extraversion</v>
      </c>
      <c r="F159" t="str" s="97" cm="1">
        <f t="array" ref="F159">'Question_Bank'!F151</f>
        <v>Likert</v>
      </c>
      <c r="G159" t="str" s="97" cm="1">
        <f t="array" ref="G159">'Question_Bank'!G151</f>
        <v>I feel confident presenting ideas.</v>
      </c>
      <c r="H159" s="131" cm="1">
        <f t="array" ref="H159">'Question_Bank'!H151</f>
        <v>0</v>
      </c>
      <c r="I159" s="131" cm="1">
        <f t="array" ref="I159">'Question_Bank'!I151</f>
        <v>0</v>
      </c>
      <c r="J159" s="131" cm="1">
        <f t="array" ref="J159">'Question_Bank'!J151</f>
        <v>0</v>
      </c>
      <c r="K159" s="131" cm="1">
        <f t="array" ref="K159">'Question_Bank'!K151</f>
        <v>0</v>
      </c>
      <c r="L159" s="131" cm="1">
        <f t="array" ref="L159">'Question_Bank'!L151</f>
        <v>0</v>
      </c>
      <c r="M159" s="132"/>
      <c r="N159" t="str" s="97" cm="1">
        <f t="array" ref="N159">IF(M159="","",IF(F159="MCQ",IF(UPPER(M159)=UPPER(L159),1,0),IF(O159="Yes",6-VALUE(M159),VALUE(M159))))</f>
      </c>
      <c r="O159" t="str" s="97" cm="1">
        <f t="array" ref="O159">'Question_Bank'!N151</f>
        <v>No</v>
      </c>
      <c r="P159" s="133" cm="1">
        <f t="array" ref="P159">IF(F159="MCQ",1,5)</f>
        <v>5</v>
      </c>
    </row>
    <row r="160" ht="42" customHeight="1">
      <c r="A160" t="str" s="130" cm="1">
        <f t="array" ref="A160">'Question_Bank'!A152</f>
        <v>NPI0148</v>
      </c>
      <c r="B160" t="str" s="97" cm="1">
        <f t="array" ref="B160">'Question_Bank'!B152</f>
        <v>8-12</v>
      </c>
      <c r="C160" t="str" s="97" cm="1">
        <f t="array" ref="C160">'Question_Bank'!C152</f>
        <v>Big Five Personality</v>
      </c>
      <c r="D160" t="str" s="97" cm="1">
        <f t="array" ref="D160">'Question_Bank'!D152</f>
        <v>Extraversion</v>
      </c>
      <c r="E160" t="str" s="97" cm="1">
        <f t="array" ref="E160">'Question_Bank'!E152</f>
        <v>Extraversion</v>
      </c>
      <c r="F160" t="str" s="97" cm="1">
        <f t="array" ref="F160">'Question_Bank'!F152</f>
        <v>Likert</v>
      </c>
      <c r="G160" t="str" s="97" cm="1">
        <f t="array" ref="G160">'Question_Bank'!G152</f>
        <v>I enjoy teamwork.</v>
      </c>
      <c r="H160" s="131" cm="1">
        <f t="array" ref="H160">'Question_Bank'!H152</f>
        <v>0</v>
      </c>
      <c r="I160" s="131" cm="1">
        <f t="array" ref="I160">'Question_Bank'!I152</f>
        <v>0</v>
      </c>
      <c r="J160" s="131" cm="1">
        <f t="array" ref="J160">'Question_Bank'!J152</f>
        <v>0</v>
      </c>
      <c r="K160" s="131" cm="1">
        <f t="array" ref="K160">'Question_Bank'!K152</f>
        <v>0</v>
      </c>
      <c r="L160" s="131" cm="1">
        <f t="array" ref="L160">'Question_Bank'!L152</f>
        <v>0</v>
      </c>
      <c r="M160" s="132"/>
      <c r="N160" t="str" s="97" cm="1">
        <f t="array" ref="N160">IF(M160="","",IF(F160="MCQ",IF(UPPER(M160)=UPPER(L160),1,0),IF(O160="Yes",6-VALUE(M160),VALUE(M160))))</f>
      </c>
      <c r="O160" t="str" s="97" cm="1">
        <f t="array" ref="O160">'Question_Bank'!N152</f>
        <v>No</v>
      </c>
      <c r="P160" s="133" cm="1">
        <f t="array" ref="P160">IF(F160="MCQ",1,5)</f>
        <v>5</v>
      </c>
    </row>
    <row r="161" ht="42" customHeight="1">
      <c r="A161" t="str" s="130" cm="1">
        <f t="array" ref="A161">'Question_Bank'!A153</f>
        <v>NPI0149</v>
      </c>
      <c r="B161" t="str" s="97" cm="1">
        <f t="array" ref="B161">'Question_Bank'!B153</f>
        <v>8-12</v>
      </c>
      <c r="C161" t="str" s="97" cm="1">
        <f t="array" ref="C161">'Question_Bank'!C153</f>
        <v>Big Five Personality</v>
      </c>
      <c r="D161" t="str" s="97" cm="1">
        <f t="array" ref="D161">'Question_Bank'!D153</f>
        <v>Extraversion</v>
      </c>
      <c r="E161" t="str" s="97" cm="1">
        <f t="array" ref="E161">'Question_Bank'!E153</f>
        <v>Extraversion</v>
      </c>
      <c r="F161" t="str" s="97" cm="1">
        <f t="array" ref="F161">'Question_Bank'!F153</f>
        <v>Likert</v>
      </c>
      <c r="G161" t="str" s="97" cm="1">
        <f t="array" ref="G161">'Question_Bank'!G153</f>
        <v>I encourage others in groups.</v>
      </c>
      <c r="H161" s="131" cm="1">
        <f t="array" ref="H161">'Question_Bank'!H153</f>
        <v>0</v>
      </c>
      <c r="I161" s="131" cm="1">
        <f t="array" ref="I161">'Question_Bank'!I153</f>
        <v>0</v>
      </c>
      <c r="J161" s="131" cm="1">
        <f t="array" ref="J161">'Question_Bank'!J153</f>
        <v>0</v>
      </c>
      <c r="K161" s="131" cm="1">
        <f t="array" ref="K161">'Question_Bank'!K153</f>
        <v>0</v>
      </c>
      <c r="L161" s="131" cm="1">
        <f t="array" ref="L161">'Question_Bank'!L153</f>
        <v>0</v>
      </c>
      <c r="M161" s="132"/>
      <c r="N161" t="str" s="97" cm="1">
        <f t="array" ref="N161">IF(M161="","",IF(F161="MCQ",IF(UPPER(M161)=UPPER(L161),1,0),IF(O161="Yes",6-VALUE(M161),VALUE(M161))))</f>
      </c>
      <c r="O161" t="str" s="97" cm="1">
        <f t="array" ref="O161">'Question_Bank'!N153</f>
        <v>No</v>
      </c>
      <c r="P161" s="133" cm="1">
        <f t="array" ref="P161">IF(F161="MCQ",1,5)</f>
        <v>5</v>
      </c>
    </row>
    <row r="162" ht="42" customHeight="1">
      <c r="A162" t="str" s="130" cm="1">
        <f t="array" ref="A162">'Question_Bank'!A154</f>
        <v>NPI0150</v>
      </c>
      <c r="B162" t="str" s="97" cm="1">
        <f t="array" ref="B162">'Question_Bank'!B154</f>
        <v>8-12</v>
      </c>
      <c r="C162" t="str" s="97" cm="1">
        <f t="array" ref="C162">'Question_Bank'!C154</f>
        <v>Big Five Personality</v>
      </c>
      <c r="D162" t="str" s="97" cm="1">
        <f t="array" ref="D162">'Question_Bank'!D154</f>
        <v>Extraversion</v>
      </c>
      <c r="E162" t="str" s="97" cm="1">
        <f t="array" ref="E162">'Question_Bank'!E154</f>
        <v>Extraversion</v>
      </c>
      <c r="F162" t="str" s="97" cm="1">
        <f t="array" ref="F162">'Question_Bank'!F154</f>
        <v>Likert</v>
      </c>
      <c r="G162" t="str" s="97" cm="1">
        <f t="array" ref="G162">'Question_Bank'!G154</f>
        <v>I participate actively in class.</v>
      </c>
      <c r="H162" s="131" cm="1">
        <f t="array" ref="H162">'Question_Bank'!H154</f>
        <v>0</v>
      </c>
      <c r="I162" s="131" cm="1">
        <f t="array" ref="I162">'Question_Bank'!I154</f>
        <v>0</v>
      </c>
      <c r="J162" s="131" cm="1">
        <f t="array" ref="J162">'Question_Bank'!J154</f>
        <v>0</v>
      </c>
      <c r="K162" s="131" cm="1">
        <f t="array" ref="K162">'Question_Bank'!K154</f>
        <v>0</v>
      </c>
      <c r="L162" s="131" cm="1">
        <f t="array" ref="L162">'Question_Bank'!L154</f>
        <v>0</v>
      </c>
      <c r="M162" s="132"/>
      <c r="N162" t="str" s="97" cm="1">
        <f t="array" ref="N162">IF(M162="","",IF(F162="MCQ",IF(UPPER(M162)=UPPER(L162),1,0),IF(O162="Yes",6-VALUE(M162),VALUE(M162))))</f>
      </c>
      <c r="O162" t="str" s="97" cm="1">
        <f t="array" ref="O162">'Question_Bank'!N154</f>
        <v>No</v>
      </c>
      <c r="P162" s="133" cm="1">
        <f t="array" ref="P162">IF(F162="MCQ",1,5)</f>
        <v>5</v>
      </c>
    </row>
    <row r="163" ht="42" customHeight="1">
      <c r="A163" t="str" s="130" cm="1">
        <f t="array" ref="A163">'Question_Bank'!A155</f>
        <v>NPI0151</v>
      </c>
      <c r="B163" t="str" s="97" cm="1">
        <f t="array" ref="B163">'Question_Bank'!B155</f>
        <v>8-12</v>
      </c>
      <c r="C163" t="str" s="97" cm="1">
        <f t="array" ref="C163">'Question_Bank'!C155</f>
        <v>Big Five Personality</v>
      </c>
      <c r="D163" t="str" s="97" cm="1">
        <f t="array" ref="D163">'Question_Bank'!D155</f>
        <v>Extraversion</v>
      </c>
      <c r="E163" t="str" s="97" cm="1">
        <f t="array" ref="E163">'Question_Bank'!E155</f>
        <v>Extraversion</v>
      </c>
      <c r="F163" t="str" s="97" cm="1">
        <f t="array" ref="F163">'Question_Bank'!F155</f>
        <v>Likert</v>
      </c>
      <c r="G163" t="str" s="97" cm="1">
        <f t="array" ref="G163">'Question_Bank'!G155</f>
        <v>I like group projects.</v>
      </c>
      <c r="H163" s="131" cm="1">
        <f t="array" ref="H163">'Question_Bank'!H155</f>
        <v>0</v>
      </c>
      <c r="I163" s="131" cm="1">
        <f t="array" ref="I163">'Question_Bank'!I155</f>
        <v>0</v>
      </c>
      <c r="J163" s="131" cm="1">
        <f t="array" ref="J163">'Question_Bank'!J155</f>
        <v>0</v>
      </c>
      <c r="K163" s="131" cm="1">
        <f t="array" ref="K163">'Question_Bank'!K155</f>
        <v>0</v>
      </c>
      <c r="L163" s="131" cm="1">
        <f t="array" ref="L163">'Question_Bank'!L155</f>
        <v>0</v>
      </c>
      <c r="M163" s="132"/>
      <c r="N163" t="str" s="97" cm="1">
        <f t="array" ref="N163">IF(M163="","",IF(F163="MCQ",IF(UPPER(M163)=UPPER(L163),1,0),IF(O163="Yes",6-VALUE(M163),VALUE(M163))))</f>
      </c>
      <c r="O163" t="str" s="97" cm="1">
        <f t="array" ref="O163">'Question_Bank'!N155</f>
        <v>No</v>
      </c>
      <c r="P163" s="133" cm="1">
        <f t="array" ref="P163">IF(F163="MCQ",1,5)</f>
        <v>5</v>
      </c>
    </row>
    <row r="164" ht="42" customHeight="1">
      <c r="A164" t="str" s="130" cm="1">
        <f t="array" ref="A164">'Question_Bank'!A156</f>
        <v>NPI0152</v>
      </c>
      <c r="B164" t="str" s="97" cm="1">
        <f t="array" ref="B164">'Question_Bank'!B156</f>
        <v>8-12</v>
      </c>
      <c r="C164" t="str" s="97" cm="1">
        <f t="array" ref="C164">'Question_Bank'!C156</f>
        <v>Big Five Personality</v>
      </c>
      <c r="D164" t="str" s="97" cm="1">
        <f t="array" ref="D164">'Question_Bank'!D156</f>
        <v>Extraversion</v>
      </c>
      <c r="E164" t="str" s="97" cm="1">
        <f t="array" ref="E164">'Question_Bank'!E156</f>
        <v>Extraversion</v>
      </c>
      <c r="F164" t="str" s="97" cm="1">
        <f t="array" ref="F164">'Question_Bank'!F156</f>
        <v>Likert</v>
      </c>
      <c r="G164" t="str" s="97" cm="1">
        <f t="array" ref="G164">'Question_Bank'!G156</f>
        <v>I start conversations easily.</v>
      </c>
      <c r="H164" s="131" cm="1">
        <f t="array" ref="H164">'Question_Bank'!H156</f>
        <v>0</v>
      </c>
      <c r="I164" s="131" cm="1">
        <f t="array" ref="I164">'Question_Bank'!I156</f>
        <v>0</v>
      </c>
      <c r="J164" s="131" cm="1">
        <f t="array" ref="J164">'Question_Bank'!J156</f>
        <v>0</v>
      </c>
      <c r="K164" s="131" cm="1">
        <f t="array" ref="K164">'Question_Bank'!K156</f>
        <v>0</v>
      </c>
      <c r="L164" s="131" cm="1">
        <f t="array" ref="L164">'Question_Bank'!L156</f>
        <v>0</v>
      </c>
      <c r="M164" s="132"/>
      <c r="N164" t="str" s="97" cm="1">
        <f t="array" ref="N164">IF(M164="","",IF(F164="MCQ",IF(UPPER(M164)=UPPER(L164),1,0),IF(O164="Yes",6-VALUE(M164),VALUE(M164))))</f>
      </c>
      <c r="O164" t="str" s="97" cm="1">
        <f t="array" ref="O164">'Question_Bank'!N156</f>
        <v>No</v>
      </c>
      <c r="P164" s="133" cm="1">
        <f t="array" ref="P164">IF(F164="MCQ",1,5)</f>
        <v>5</v>
      </c>
    </row>
    <row r="165" ht="42" customHeight="1">
      <c r="A165" t="str" s="130" cm="1">
        <f t="array" ref="A165">'Question_Bank'!A157</f>
        <v>NPI0153</v>
      </c>
      <c r="B165" t="str" s="97" cm="1">
        <f t="array" ref="B165">'Question_Bank'!B157</f>
        <v>8-12</v>
      </c>
      <c r="C165" t="str" s="97" cm="1">
        <f t="array" ref="C165">'Question_Bank'!C157</f>
        <v>Big Five Personality</v>
      </c>
      <c r="D165" t="str" s="97" cm="1">
        <f t="array" ref="D165">'Question_Bank'!D157</f>
        <v>Extraversion</v>
      </c>
      <c r="E165" t="str" s="97" cm="1">
        <f t="array" ref="E165">'Question_Bank'!E157</f>
        <v>Extraversion</v>
      </c>
      <c r="F165" t="str" s="97" cm="1">
        <f t="array" ref="F165">'Question_Bank'!F157</f>
        <v>Likert</v>
      </c>
      <c r="G165" t="str" s="97" cm="1">
        <f t="array" ref="G165">'Question_Bank'!G157</f>
        <v>I enjoy clubs or teams.</v>
      </c>
      <c r="H165" s="131" cm="1">
        <f t="array" ref="H165">'Question_Bank'!H157</f>
        <v>0</v>
      </c>
      <c r="I165" s="131" cm="1">
        <f t="array" ref="I165">'Question_Bank'!I157</f>
        <v>0</v>
      </c>
      <c r="J165" s="131" cm="1">
        <f t="array" ref="J165">'Question_Bank'!J157</f>
        <v>0</v>
      </c>
      <c r="K165" s="131" cm="1">
        <f t="array" ref="K165">'Question_Bank'!K157</f>
        <v>0</v>
      </c>
      <c r="L165" s="131" cm="1">
        <f t="array" ref="L165">'Question_Bank'!L157</f>
        <v>0</v>
      </c>
      <c r="M165" s="132"/>
      <c r="N165" t="str" s="97" cm="1">
        <f t="array" ref="N165">IF(M165="","",IF(F165="MCQ",IF(UPPER(M165)=UPPER(L165),1,0),IF(O165="Yes",6-VALUE(M165),VALUE(M165))))</f>
      </c>
      <c r="O165" t="str" s="97" cm="1">
        <f t="array" ref="O165">'Question_Bank'!N157</f>
        <v>No</v>
      </c>
      <c r="P165" s="133" cm="1">
        <f t="array" ref="P165">IF(F165="MCQ",1,5)</f>
        <v>5</v>
      </c>
    </row>
    <row r="166" ht="42" customHeight="1">
      <c r="A166" t="str" s="130" cm="1">
        <f t="array" ref="A166">'Question_Bank'!A158</f>
        <v>NPI0154</v>
      </c>
      <c r="B166" t="str" s="97" cm="1">
        <f t="array" ref="B166">'Question_Bank'!B158</f>
        <v>8-12</v>
      </c>
      <c r="C166" t="str" s="97" cm="1">
        <f t="array" ref="C166">'Question_Bank'!C158</f>
        <v>Big Five Personality</v>
      </c>
      <c r="D166" t="str" s="97" cm="1">
        <f t="array" ref="D166">'Question_Bank'!D158</f>
        <v>Extraversion</v>
      </c>
      <c r="E166" t="str" s="97" cm="1">
        <f t="array" ref="E166">'Question_Bank'!E158</f>
        <v>Extraversion</v>
      </c>
      <c r="F166" t="str" s="97" cm="1">
        <f t="array" ref="F166">'Question_Bank'!F158</f>
        <v>Likert</v>
      </c>
      <c r="G166" t="str" s="97" cm="1">
        <f t="array" ref="G166">'Question_Bank'!G158</f>
        <v>I like sharing opinions.</v>
      </c>
      <c r="H166" s="131" cm="1">
        <f t="array" ref="H166">'Question_Bank'!H158</f>
        <v>0</v>
      </c>
      <c r="I166" s="131" cm="1">
        <f t="array" ref="I166">'Question_Bank'!I158</f>
        <v>0</v>
      </c>
      <c r="J166" s="131" cm="1">
        <f t="array" ref="J166">'Question_Bank'!J158</f>
        <v>0</v>
      </c>
      <c r="K166" s="131" cm="1">
        <f t="array" ref="K166">'Question_Bank'!K158</f>
        <v>0</v>
      </c>
      <c r="L166" s="131" cm="1">
        <f t="array" ref="L166">'Question_Bank'!L158</f>
        <v>0</v>
      </c>
      <c r="M166" s="132"/>
      <c r="N166" t="str" s="97" cm="1">
        <f t="array" ref="N166">IF(M166="","",IF(F166="MCQ",IF(UPPER(M166)=UPPER(L166),1,0),IF(O166="Yes",6-VALUE(M166),VALUE(M166))))</f>
      </c>
      <c r="O166" t="str" s="97" cm="1">
        <f t="array" ref="O166">'Question_Bank'!N158</f>
        <v>No</v>
      </c>
      <c r="P166" s="133" cm="1">
        <f t="array" ref="P166">IF(F166="MCQ",1,5)</f>
        <v>5</v>
      </c>
    </row>
    <row r="167" ht="42" customHeight="1">
      <c r="A167" t="str" s="130" cm="1">
        <f t="array" ref="A167">'Question_Bank'!A159</f>
        <v>NPI0155</v>
      </c>
      <c r="B167" t="str" s="97" cm="1">
        <f t="array" ref="B167">'Question_Bank'!B159</f>
        <v>8-12</v>
      </c>
      <c r="C167" t="str" s="97" cm="1">
        <f t="array" ref="C167">'Question_Bank'!C159</f>
        <v>Big Five Personality</v>
      </c>
      <c r="D167" t="str" s="97" cm="1">
        <f t="array" ref="D167">'Question_Bank'!D159</f>
        <v>Extraversion</v>
      </c>
      <c r="E167" t="str" s="97" cm="1">
        <f t="array" ref="E167">'Question_Bank'!E159</f>
        <v>Extraversion</v>
      </c>
      <c r="F167" t="str" s="97" cm="1">
        <f t="array" ref="F167">'Question_Bank'!F159</f>
        <v>Likert</v>
      </c>
      <c r="G167" t="str" s="97" cm="1">
        <f t="array" ref="G167">'Question_Bank'!G159</f>
        <v>I am energized by debate.</v>
      </c>
      <c r="H167" s="131" cm="1">
        <f t="array" ref="H167">'Question_Bank'!H159</f>
        <v>0</v>
      </c>
      <c r="I167" s="131" cm="1">
        <f t="array" ref="I167">'Question_Bank'!I159</f>
        <v>0</v>
      </c>
      <c r="J167" s="131" cm="1">
        <f t="array" ref="J167">'Question_Bank'!J159</f>
        <v>0</v>
      </c>
      <c r="K167" s="131" cm="1">
        <f t="array" ref="K167">'Question_Bank'!K159</f>
        <v>0</v>
      </c>
      <c r="L167" s="131" cm="1">
        <f t="array" ref="L167">'Question_Bank'!L159</f>
        <v>0</v>
      </c>
      <c r="M167" s="132"/>
      <c r="N167" t="str" s="97" cm="1">
        <f t="array" ref="N167">IF(M167="","",IF(F167="MCQ",IF(UPPER(M167)=UPPER(L167),1,0),IF(O167="Yes",6-VALUE(M167),VALUE(M167))))</f>
      </c>
      <c r="O167" t="str" s="97" cm="1">
        <f t="array" ref="O167">'Question_Bank'!N159</f>
        <v>No</v>
      </c>
      <c r="P167" s="133" cm="1">
        <f t="array" ref="P167">IF(F167="MCQ",1,5)</f>
        <v>5</v>
      </c>
    </row>
    <row r="168" ht="42" customHeight="1">
      <c r="A168" t="str" s="130" cm="1">
        <f t="array" ref="A168">'Question_Bank'!A160</f>
        <v>NPI0156</v>
      </c>
      <c r="B168" t="str" s="97" cm="1">
        <f t="array" ref="B168">'Question_Bank'!B160</f>
        <v>8-12</v>
      </c>
      <c r="C168" t="str" s="97" cm="1">
        <f t="array" ref="C168">'Question_Bank'!C160</f>
        <v>Big Five Personality</v>
      </c>
      <c r="D168" t="str" s="97" cm="1">
        <f t="array" ref="D168">'Question_Bank'!D160</f>
        <v>Extraversion</v>
      </c>
      <c r="E168" t="str" s="97" cm="1">
        <f t="array" ref="E168">'Question_Bank'!E160</f>
        <v>Extraversion</v>
      </c>
      <c r="F168" t="str" s="97" cm="1">
        <f t="array" ref="F168">'Question_Bank'!F160</f>
        <v>Likert</v>
      </c>
      <c r="G168" t="str" s="97" cm="1">
        <f t="array" ref="G168">'Question_Bank'!G160</f>
        <v>I prefer discussing concepts.</v>
      </c>
      <c r="H168" s="131" cm="1">
        <f t="array" ref="H168">'Question_Bank'!H160</f>
        <v>0</v>
      </c>
      <c r="I168" s="131" cm="1">
        <f t="array" ref="I168">'Question_Bank'!I160</f>
        <v>0</v>
      </c>
      <c r="J168" s="131" cm="1">
        <f t="array" ref="J168">'Question_Bank'!J160</f>
        <v>0</v>
      </c>
      <c r="K168" s="131" cm="1">
        <f t="array" ref="K168">'Question_Bank'!K160</f>
        <v>0</v>
      </c>
      <c r="L168" s="131" cm="1">
        <f t="array" ref="L168">'Question_Bank'!L160</f>
        <v>0</v>
      </c>
      <c r="M168" s="132"/>
      <c r="N168" t="str" s="97" cm="1">
        <f t="array" ref="N168">IF(M168="","",IF(F168="MCQ",IF(UPPER(M168)=UPPER(L168),1,0),IF(O168="Yes",6-VALUE(M168),VALUE(M168))))</f>
      </c>
      <c r="O168" t="str" s="97" cm="1">
        <f t="array" ref="O168">'Question_Bank'!N160</f>
        <v>No</v>
      </c>
      <c r="P168" s="133" cm="1">
        <f t="array" ref="P168">IF(F168="MCQ",1,5)</f>
        <v>5</v>
      </c>
    </row>
    <row r="169" ht="42" customHeight="1">
      <c r="A169" t="str" s="130" cm="1">
        <f t="array" ref="A169">'Question_Bank'!A161</f>
        <v>NPI0157</v>
      </c>
      <c r="B169" t="str" s="97" cm="1">
        <f t="array" ref="B169">'Question_Bank'!B161</f>
        <v>8-12</v>
      </c>
      <c r="C169" t="str" s="97" cm="1">
        <f t="array" ref="C169">'Question_Bank'!C161</f>
        <v>Big Five Personality</v>
      </c>
      <c r="D169" t="str" s="97" cm="1">
        <f t="array" ref="D169">'Question_Bank'!D161</f>
        <v>Extraversion</v>
      </c>
      <c r="E169" t="str" s="97" cm="1">
        <f t="array" ref="E169">'Question_Bank'!E161</f>
        <v>Extraversion</v>
      </c>
      <c r="F169" t="str" s="97" cm="1">
        <f t="array" ref="F169">'Question_Bank'!F161</f>
        <v>Likert</v>
      </c>
      <c r="G169" t="str" s="97" cm="1">
        <f t="array" ref="G169">'Question_Bank'!G161</f>
        <v>I enjoy visible roles.</v>
      </c>
      <c r="H169" s="131" cm="1">
        <f t="array" ref="H169">'Question_Bank'!H161</f>
        <v>0</v>
      </c>
      <c r="I169" s="131" cm="1">
        <f t="array" ref="I169">'Question_Bank'!I161</f>
        <v>0</v>
      </c>
      <c r="J169" s="131" cm="1">
        <f t="array" ref="J169">'Question_Bank'!J161</f>
        <v>0</v>
      </c>
      <c r="K169" s="131" cm="1">
        <f t="array" ref="K169">'Question_Bank'!K161</f>
        <v>0</v>
      </c>
      <c r="L169" s="131" cm="1">
        <f t="array" ref="L169">'Question_Bank'!L161</f>
        <v>0</v>
      </c>
      <c r="M169" s="132"/>
      <c r="N169" t="str" s="97" cm="1">
        <f t="array" ref="N169">IF(M169="","",IF(F169="MCQ",IF(UPPER(M169)=UPPER(L169),1,0),IF(O169="Yes",6-VALUE(M169),VALUE(M169))))</f>
      </c>
      <c r="O169" t="str" s="97" cm="1">
        <f t="array" ref="O169">'Question_Bank'!N161</f>
        <v>No</v>
      </c>
      <c r="P169" s="133" cm="1">
        <f t="array" ref="P169">IF(F169="MCQ",1,5)</f>
        <v>5</v>
      </c>
    </row>
    <row r="170" ht="42" customHeight="1">
      <c r="A170" t="str" s="130" cm="1">
        <f t="array" ref="A170">'Question_Bank'!A162</f>
        <v>NPI0158</v>
      </c>
      <c r="B170" t="str" s="97" cm="1">
        <f t="array" ref="B170">'Question_Bank'!B162</f>
        <v>8-12</v>
      </c>
      <c r="C170" t="str" s="97" cm="1">
        <f t="array" ref="C170">'Question_Bank'!C162</f>
        <v>Big Five Personality</v>
      </c>
      <c r="D170" t="str" s="97" cm="1">
        <f t="array" ref="D170">'Question_Bank'!D162</f>
        <v>Extraversion</v>
      </c>
      <c r="E170" t="str" s="97" cm="1">
        <f t="array" ref="E170">'Question_Bank'!E162</f>
        <v>Extraversion</v>
      </c>
      <c r="F170" t="str" s="97" cm="1">
        <f t="array" ref="F170">'Question_Bank'!F162</f>
        <v>Likert</v>
      </c>
      <c r="G170" t="str" s="97" cm="1">
        <f t="array" ref="G170">'Question_Bank'!G162</f>
        <v>I like collaborative learning.</v>
      </c>
      <c r="H170" s="131" cm="1">
        <f t="array" ref="H170">'Question_Bank'!H162</f>
        <v>0</v>
      </c>
      <c r="I170" s="131" cm="1">
        <f t="array" ref="I170">'Question_Bank'!I162</f>
        <v>0</v>
      </c>
      <c r="J170" s="131" cm="1">
        <f t="array" ref="J170">'Question_Bank'!J162</f>
        <v>0</v>
      </c>
      <c r="K170" s="131" cm="1">
        <f t="array" ref="K170">'Question_Bank'!K162</f>
        <v>0</v>
      </c>
      <c r="L170" s="131" cm="1">
        <f t="array" ref="L170">'Question_Bank'!L162</f>
        <v>0</v>
      </c>
      <c r="M170" s="132"/>
      <c r="N170" t="str" s="97" cm="1">
        <f t="array" ref="N170">IF(M170="","",IF(F170="MCQ",IF(UPPER(M170)=UPPER(L170),1,0),IF(O170="Yes",6-VALUE(M170),VALUE(M170))))</f>
      </c>
      <c r="O170" t="str" s="97" cm="1">
        <f t="array" ref="O170">'Question_Bank'!N162</f>
        <v>No</v>
      </c>
      <c r="P170" s="133" cm="1">
        <f t="array" ref="P170">IF(F170="MCQ",1,5)</f>
        <v>5</v>
      </c>
    </row>
    <row r="171" ht="42" customHeight="1">
      <c r="A171" t="str" s="130" cm="1">
        <f t="array" ref="A171">'Question_Bank'!A163</f>
        <v>NPI0159</v>
      </c>
      <c r="B171" t="str" s="97" cm="1">
        <f t="array" ref="B171">'Question_Bank'!B163</f>
        <v>8-12</v>
      </c>
      <c r="C171" t="str" s="97" cm="1">
        <f t="array" ref="C171">'Question_Bank'!C163</f>
        <v>Big Five Personality</v>
      </c>
      <c r="D171" t="str" s="97" cm="1">
        <f t="array" ref="D171">'Question_Bank'!D163</f>
        <v>Extraversion</v>
      </c>
      <c r="E171" t="str" s="97" cm="1">
        <f t="array" ref="E171">'Question_Bank'!E163</f>
        <v>Extraversion</v>
      </c>
      <c r="F171" t="str" s="97" cm="1">
        <f t="array" ref="F171">'Question_Bank'!F163</f>
        <v>Likert</v>
      </c>
      <c r="G171" t="str" s="97" cm="1">
        <f t="array" ref="G171">'Question_Bank'!G163</f>
        <v>I prefer quiet independent work most of the time.</v>
      </c>
      <c r="H171" s="131" cm="1">
        <f t="array" ref="H171">'Question_Bank'!H163</f>
        <v>0</v>
      </c>
      <c r="I171" s="131" cm="1">
        <f t="array" ref="I171">'Question_Bank'!I163</f>
        <v>0</v>
      </c>
      <c r="J171" s="131" cm="1">
        <f t="array" ref="J171">'Question_Bank'!J163</f>
        <v>0</v>
      </c>
      <c r="K171" s="131" cm="1">
        <f t="array" ref="K171">'Question_Bank'!K163</f>
        <v>0</v>
      </c>
      <c r="L171" s="131" cm="1">
        <f t="array" ref="L171">'Question_Bank'!L163</f>
        <v>0</v>
      </c>
      <c r="M171" s="132"/>
      <c r="N171" t="str" s="97" cm="1">
        <f t="array" ref="N171">IF(M171="","",IF(F171="MCQ",IF(UPPER(M171)=UPPER(L171),1,0),IF(O171="Yes",6-VALUE(M171),VALUE(M171))))</f>
      </c>
      <c r="O171" t="str" s="97" cm="1">
        <f t="array" ref="O171">'Question_Bank'!N163</f>
        <v>Yes</v>
      </c>
      <c r="P171" s="133" cm="1">
        <f t="array" ref="P171">IF(F171="MCQ",1,5)</f>
        <v>5</v>
      </c>
    </row>
    <row r="172" ht="42" customHeight="1">
      <c r="A172" t="str" s="130" cm="1">
        <f t="array" ref="A172">'Question_Bank'!A164</f>
        <v>NPI0160</v>
      </c>
      <c r="B172" t="str" s="97" cm="1">
        <f t="array" ref="B172">'Question_Bank'!B164</f>
        <v>8-12</v>
      </c>
      <c r="C172" t="str" s="97" cm="1">
        <f t="array" ref="C172">'Question_Bank'!C164</f>
        <v>Big Five Personality</v>
      </c>
      <c r="D172" t="str" s="97" cm="1">
        <f t="array" ref="D172">'Question_Bank'!D164</f>
        <v>Extraversion</v>
      </c>
      <c r="E172" t="str" s="97" cm="1">
        <f t="array" ref="E172">'Question_Bank'!E164</f>
        <v>Extraversion</v>
      </c>
      <c r="F172" t="str" s="97" cm="1">
        <f t="array" ref="F172">'Question_Bank'!F164</f>
        <v>Likert</v>
      </c>
      <c r="G172" t="str" s="97" cm="1">
        <f t="array" ref="G172">'Question_Bank'!G164</f>
        <v>I avoid speaking even when I know the answer.</v>
      </c>
      <c r="H172" s="131" cm="1">
        <f t="array" ref="H172">'Question_Bank'!H164</f>
        <v>0</v>
      </c>
      <c r="I172" s="131" cm="1">
        <f t="array" ref="I172">'Question_Bank'!I164</f>
        <v>0</v>
      </c>
      <c r="J172" s="131" cm="1">
        <f t="array" ref="J172">'Question_Bank'!J164</f>
        <v>0</v>
      </c>
      <c r="K172" s="131" cm="1">
        <f t="array" ref="K172">'Question_Bank'!K164</f>
        <v>0</v>
      </c>
      <c r="L172" s="131" cm="1">
        <f t="array" ref="L172">'Question_Bank'!L164</f>
        <v>0</v>
      </c>
      <c r="M172" s="132"/>
      <c r="N172" t="str" s="97" cm="1">
        <f t="array" ref="N172">IF(M172="","",IF(F172="MCQ",IF(UPPER(M172)=UPPER(L172),1,0),IF(O172="Yes",6-VALUE(M172),VALUE(M172))))</f>
      </c>
      <c r="O172" t="str" s="97" cm="1">
        <f t="array" ref="O172">'Question_Bank'!N164</f>
        <v>Yes</v>
      </c>
      <c r="P172" s="133" cm="1">
        <f t="array" ref="P172">IF(F172="MCQ",1,5)</f>
        <v>5</v>
      </c>
    </row>
    <row r="173" ht="42" customHeight="1">
      <c r="A173" t="str" s="130" cm="1">
        <f t="array" ref="A173">'Question_Bank'!A165</f>
        <v>NPI0161</v>
      </c>
      <c r="B173" t="str" s="97" cm="1">
        <f t="array" ref="B173">'Question_Bank'!B165</f>
        <v>8-12</v>
      </c>
      <c r="C173" t="str" s="97" cm="1">
        <f t="array" ref="C173">'Question_Bank'!C165</f>
        <v>Big Five Personality</v>
      </c>
      <c r="D173" t="str" s="97" cm="1">
        <f t="array" ref="D173">'Question_Bank'!D165</f>
        <v>Extraversion</v>
      </c>
      <c r="E173" t="str" s="97" cm="1">
        <f t="array" ref="E173">'Question_Bank'!E165</f>
        <v>Extraversion</v>
      </c>
      <c r="F173" t="str" s="97" cm="1">
        <f t="array" ref="F173">'Question_Bank'!F165</f>
        <v>Likert</v>
      </c>
      <c r="G173" t="str" s="97" cm="1">
        <f t="array" ref="G173">'Question_Bank'!G165</f>
        <v>I need time alone after social activities.</v>
      </c>
      <c r="H173" s="131" cm="1">
        <f t="array" ref="H173">'Question_Bank'!H165</f>
        <v>0</v>
      </c>
      <c r="I173" s="131" cm="1">
        <f t="array" ref="I173">'Question_Bank'!I165</f>
        <v>0</v>
      </c>
      <c r="J173" s="131" cm="1">
        <f t="array" ref="J173">'Question_Bank'!J165</f>
        <v>0</v>
      </c>
      <c r="K173" s="131" cm="1">
        <f t="array" ref="K173">'Question_Bank'!K165</f>
        <v>0</v>
      </c>
      <c r="L173" s="131" cm="1">
        <f t="array" ref="L173">'Question_Bank'!L165</f>
        <v>0</v>
      </c>
      <c r="M173" s="132"/>
      <c r="N173" t="str" s="97" cm="1">
        <f t="array" ref="N173">IF(M173="","",IF(F173="MCQ",IF(UPPER(M173)=UPPER(L173),1,0),IF(O173="Yes",6-VALUE(M173),VALUE(M173))))</f>
      </c>
      <c r="O173" t="str" s="97" cm="1">
        <f t="array" ref="O173">'Question_Bank'!N165</f>
        <v>Yes</v>
      </c>
      <c r="P173" s="133" cm="1">
        <f t="array" ref="P173">IF(F173="MCQ",1,5)</f>
        <v>5</v>
      </c>
    </row>
    <row r="174" ht="42" customHeight="1">
      <c r="A174" t="str" s="130" cm="1">
        <f t="array" ref="A174">'Question_Bank'!A166</f>
        <v>NPI0162</v>
      </c>
      <c r="B174" t="str" s="97" cm="1">
        <f t="array" ref="B174">'Question_Bank'!B166</f>
        <v>8-12</v>
      </c>
      <c r="C174" t="str" s="97" cm="1">
        <f t="array" ref="C174">'Question_Bank'!C166</f>
        <v>Big Five Personality</v>
      </c>
      <c r="D174" t="str" s="97" cm="1">
        <f t="array" ref="D174">'Question_Bank'!D166</f>
        <v>Extraversion</v>
      </c>
      <c r="E174" t="str" s="97" cm="1">
        <f t="array" ref="E174">'Question_Bank'!E166</f>
        <v>Extraversion</v>
      </c>
      <c r="F174" t="str" s="97" cm="1">
        <f t="array" ref="F174">'Question_Bank'!F166</f>
        <v>Likert</v>
      </c>
      <c r="G174" t="str" s="97" cm="1">
        <f t="array" ref="G174">'Question_Bank'!G166</f>
        <v>I feel shy in unfamiliar groups.</v>
      </c>
      <c r="H174" s="131" cm="1">
        <f t="array" ref="H174">'Question_Bank'!H166</f>
        <v>0</v>
      </c>
      <c r="I174" s="131" cm="1">
        <f t="array" ref="I174">'Question_Bank'!I166</f>
        <v>0</v>
      </c>
      <c r="J174" s="131" cm="1">
        <f t="array" ref="J174">'Question_Bank'!J166</f>
        <v>0</v>
      </c>
      <c r="K174" s="131" cm="1">
        <f t="array" ref="K174">'Question_Bank'!K166</f>
        <v>0</v>
      </c>
      <c r="L174" s="131" cm="1">
        <f t="array" ref="L174">'Question_Bank'!L166</f>
        <v>0</v>
      </c>
      <c r="M174" s="132"/>
      <c r="N174" t="str" s="97" cm="1">
        <f t="array" ref="N174">IF(M174="","",IF(F174="MCQ",IF(UPPER(M174)=UPPER(L174),1,0),IF(O174="Yes",6-VALUE(M174),VALUE(M174))))</f>
      </c>
      <c r="O174" t="str" s="97" cm="1">
        <f t="array" ref="O174">'Question_Bank'!N166</f>
        <v>Yes</v>
      </c>
      <c r="P174" s="133" cm="1">
        <f t="array" ref="P174">IF(F174="MCQ",1,5)</f>
        <v>5</v>
      </c>
    </row>
    <row r="175" ht="42" customHeight="1">
      <c r="A175" t="str" s="130" cm="1">
        <f t="array" ref="A175">'Question_Bank'!A167</f>
        <v>NPI0163</v>
      </c>
      <c r="B175" t="str" s="97" cm="1">
        <f t="array" ref="B175">'Question_Bank'!B167</f>
        <v>8-12</v>
      </c>
      <c r="C175" t="str" s="97" cm="1">
        <f t="array" ref="C175">'Question_Bank'!C167</f>
        <v>Big Five Personality</v>
      </c>
      <c r="D175" t="str" s="97" cm="1">
        <f t="array" ref="D175">'Question_Bank'!D167</f>
        <v>Extraversion</v>
      </c>
      <c r="E175" t="str" s="97" cm="1">
        <f t="array" ref="E175">'Question_Bank'!E167</f>
        <v>Extraversion</v>
      </c>
      <c r="F175" t="str" s="97" cm="1">
        <f t="array" ref="F175">'Question_Bank'!F167</f>
        <v>Likert</v>
      </c>
      <c r="G175" t="str" s="97" cm="1">
        <f t="array" ref="G175">'Question_Bank'!G167</f>
        <v>I avoid being the center of attention.</v>
      </c>
      <c r="H175" s="131" cm="1">
        <f t="array" ref="H175">'Question_Bank'!H167</f>
        <v>0</v>
      </c>
      <c r="I175" s="131" cm="1">
        <f t="array" ref="I175">'Question_Bank'!I167</f>
        <v>0</v>
      </c>
      <c r="J175" s="131" cm="1">
        <f t="array" ref="J175">'Question_Bank'!J167</f>
        <v>0</v>
      </c>
      <c r="K175" s="131" cm="1">
        <f t="array" ref="K175">'Question_Bank'!K167</f>
        <v>0</v>
      </c>
      <c r="L175" s="131" cm="1">
        <f t="array" ref="L175">'Question_Bank'!L167</f>
        <v>0</v>
      </c>
      <c r="M175" s="132"/>
      <c r="N175" t="str" s="97" cm="1">
        <f t="array" ref="N175">IF(M175="","",IF(F175="MCQ",IF(UPPER(M175)=UPPER(L175),1,0),IF(O175="Yes",6-VALUE(M175),VALUE(M175))))</f>
      </c>
      <c r="O175" t="str" s="97" cm="1">
        <f t="array" ref="O175">'Question_Bank'!N167</f>
        <v>Yes</v>
      </c>
      <c r="P175" s="133" cm="1">
        <f t="array" ref="P175">IF(F175="MCQ",1,5)</f>
        <v>5</v>
      </c>
    </row>
    <row r="176" ht="42" customHeight="1">
      <c r="A176" t="str" s="130" cm="1">
        <f t="array" ref="A176">'Question_Bank'!A168</f>
        <v>NPI0164</v>
      </c>
      <c r="B176" t="str" s="97" cm="1">
        <f t="array" ref="B176">'Question_Bank'!B168</f>
        <v>8-12</v>
      </c>
      <c r="C176" t="str" s="97" cm="1">
        <f t="array" ref="C176">'Question_Bank'!C168</f>
        <v>Big Five Personality</v>
      </c>
      <c r="D176" t="str" s="97" cm="1">
        <f t="array" ref="D176">'Question_Bank'!D168</f>
        <v>Extraversion</v>
      </c>
      <c r="E176" t="str" s="97" cm="1">
        <f t="array" ref="E176">'Question_Bank'!E168</f>
        <v>Extraversion</v>
      </c>
      <c r="F176" t="str" s="97" cm="1">
        <f t="array" ref="F176">'Question_Bank'!F168</f>
        <v>Likert</v>
      </c>
      <c r="G176" t="str" s="97" cm="1">
        <f t="array" ref="G176">'Question_Bank'!G168</f>
        <v>I feel nervous presenting.</v>
      </c>
      <c r="H176" s="131" cm="1">
        <f t="array" ref="H176">'Question_Bank'!H168</f>
        <v>0</v>
      </c>
      <c r="I176" s="131" cm="1">
        <f t="array" ref="I176">'Question_Bank'!I168</f>
        <v>0</v>
      </c>
      <c r="J176" s="131" cm="1">
        <f t="array" ref="J176">'Question_Bank'!J168</f>
        <v>0</v>
      </c>
      <c r="K176" s="131" cm="1">
        <f t="array" ref="K176">'Question_Bank'!K168</f>
        <v>0</v>
      </c>
      <c r="L176" s="131" cm="1">
        <f t="array" ref="L176">'Question_Bank'!L168</f>
        <v>0</v>
      </c>
      <c r="M176" s="132"/>
      <c r="N176" t="str" s="97" cm="1">
        <f t="array" ref="N176">IF(M176="","",IF(F176="MCQ",IF(UPPER(M176)=UPPER(L176),1,0),IF(O176="Yes",6-VALUE(M176),VALUE(M176))))</f>
      </c>
      <c r="O176" t="str" s="97" cm="1">
        <f t="array" ref="O176">'Question_Bank'!N168</f>
        <v>Yes</v>
      </c>
      <c r="P176" s="133" cm="1">
        <f t="array" ref="P176">IF(F176="MCQ",1,5)</f>
        <v>5</v>
      </c>
    </row>
    <row r="177" ht="42" customHeight="1">
      <c r="A177" t="str" s="130" cm="1">
        <f t="array" ref="A177">'Question_Bank'!A169</f>
        <v>NPI0165</v>
      </c>
      <c r="B177" t="str" s="97" cm="1">
        <f t="array" ref="B177">'Question_Bank'!B169</f>
        <v>8-12</v>
      </c>
      <c r="C177" t="str" s="97" cm="1">
        <f t="array" ref="C177">'Question_Bank'!C169</f>
        <v>Big Five Personality</v>
      </c>
      <c r="D177" t="str" s="97" cm="1">
        <f t="array" ref="D177">'Question_Bank'!D169</f>
        <v>Extraversion</v>
      </c>
      <c r="E177" t="str" s="97" cm="1">
        <f t="array" ref="E177">'Question_Bank'!E169</f>
        <v>Extraversion</v>
      </c>
      <c r="F177" t="str" s="97" cm="1">
        <f t="array" ref="F177">'Question_Bank'!F169</f>
        <v>Likert</v>
      </c>
      <c r="G177" t="str" s="97" cm="1">
        <f t="array" ref="G177">'Question_Bank'!G169</f>
        <v>I rarely volunteer for visible roles.</v>
      </c>
      <c r="H177" s="131" cm="1">
        <f t="array" ref="H177">'Question_Bank'!H169</f>
        <v>0</v>
      </c>
      <c r="I177" s="131" cm="1">
        <f t="array" ref="I177">'Question_Bank'!I169</f>
        <v>0</v>
      </c>
      <c r="J177" s="131" cm="1">
        <f t="array" ref="J177">'Question_Bank'!J169</f>
        <v>0</v>
      </c>
      <c r="K177" s="131" cm="1">
        <f t="array" ref="K177">'Question_Bank'!K169</f>
        <v>0</v>
      </c>
      <c r="L177" s="131" cm="1">
        <f t="array" ref="L177">'Question_Bank'!L169</f>
        <v>0</v>
      </c>
      <c r="M177" s="132"/>
      <c r="N177" t="str" s="97" cm="1">
        <f t="array" ref="N177">IF(M177="","",IF(F177="MCQ",IF(UPPER(M177)=UPPER(L177),1,0),IF(O177="Yes",6-VALUE(M177),VALUE(M177))))</f>
      </c>
      <c r="O177" t="str" s="97" cm="1">
        <f t="array" ref="O177">'Question_Bank'!N169</f>
        <v>Yes</v>
      </c>
      <c r="P177" s="133" cm="1">
        <f t="array" ref="P177">IF(F177="MCQ",1,5)</f>
        <v>5</v>
      </c>
    </row>
    <row r="178" ht="42" customHeight="1">
      <c r="A178" t="str" s="130" cm="1">
        <f t="array" ref="A178">'Question_Bank'!A170</f>
        <v>NPI0166</v>
      </c>
      <c r="B178" t="str" s="97" cm="1">
        <f t="array" ref="B178">'Question_Bank'!B170</f>
        <v>8-12</v>
      </c>
      <c r="C178" t="str" s="97" cm="1">
        <f t="array" ref="C178">'Question_Bank'!C170</f>
        <v>Big Five Personality</v>
      </c>
      <c r="D178" t="str" s="97" cm="1">
        <f t="array" ref="D178">'Question_Bank'!D170</f>
        <v>Agreeableness</v>
      </c>
      <c r="E178" t="str" s="97" cm="1">
        <f t="array" ref="E178">'Question_Bank'!E170</f>
        <v>Agreeableness</v>
      </c>
      <c r="F178" t="str" s="97" cm="1">
        <f t="array" ref="F178">'Question_Bank'!F170</f>
        <v>Likert</v>
      </c>
      <c r="G178" t="str" s="97" cm="1">
        <f t="array" ref="G178">'Question_Bank'!G170</f>
        <v>I try to understand others’ feelings.</v>
      </c>
      <c r="H178" s="131" cm="1">
        <f t="array" ref="H178">'Question_Bank'!H170</f>
        <v>0</v>
      </c>
      <c r="I178" s="131" cm="1">
        <f t="array" ref="I178">'Question_Bank'!I170</f>
        <v>0</v>
      </c>
      <c r="J178" s="131" cm="1">
        <f t="array" ref="J178">'Question_Bank'!J170</f>
        <v>0</v>
      </c>
      <c r="K178" s="131" cm="1">
        <f t="array" ref="K178">'Question_Bank'!K170</f>
        <v>0</v>
      </c>
      <c r="L178" s="131" cm="1">
        <f t="array" ref="L178">'Question_Bank'!L170</f>
        <v>0</v>
      </c>
      <c r="M178" s="132"/>
      <c r="N178" t="str" s="97" cm="1">
        <f t="array" ref="N178">IF(M178="","",IF(F178="MCQ",IF(UPPER(M178)=UPPER(L178),1,0),IF(O178="Yes",6-VALUE(M178),VALUE(M178))))</f>
      </c>
      <c r="O178" t="str" s="97" cm="1">
        <f t="array" ref="O178">'Question_Bank'!N170</f>
        <v>No</v>
      </c>
      <c r="P178" s="133" cm="1">
        <f t="array" ref="P178">IF(F178="MCQ",1,5)</f>
        <v>5</v>
      </c>
    </row>
    <row r="179" ht="42" customHeight="1">
      <c r="A179" t="str" s="130" cm="1">
        <f t="array" ref="A179">'Question_Bank'!A171</f>
        <v>NPI0167</v>
      </c>
      <c r="B179" t="str" s="97" cm="1">
        <f t="array" ref="B179">'Question_Bank'!B171</f>
        <v>8-12</v>
      </c>
      <c r="C179" t="str" s="97" cm="1">
        <f t="array" ref="C179">'Question_Bank'!C171</f>
        <v>Big Five Personality</v>
      </c>
      <c r="D179" t="str" s="97" cm="1">
        <f t="array" ref="D179">'Question_Bank'!D171</f>
        <v>Agreeableness</v>
      </c>
      <c r="E179" t="str" s="97" cm="1">
        <f t="array" ref="E179">'Question_Bank'!E171</f>
        <v>Agreeableness</v>
      </c>
      <c r="F179" t="str" s="97" cm="1">
        <f t="array" ref="F179">'Question_Bank'!F171</f>
        <v>Likert</v>
      </c>
      <c r="G179" t="str" s="97" cm="1">
        <f t="array" ref="G179">'Question_Bank'!G171</f>
        <v>I help classmates when I can.</v>
      </c>
      <c r="H179" s="131" cm="1">
        <f t="array" ref="H179">'Question_Bank'!H171</f>
        <v>0</v>
      </c>
      <c r="I179" s="131" cm="1">
        <f t="array" ref="I179">'Question_Bank'!I171</f>
        <v>0</v>
      </c>
      <c r="J179" s="131" cm="1">
        <f t="array" ref="J179">'Question_Bank'!J171</f>
        <v>0</v>
      </c>
      <c r="K179" s="131" cm="1">
        <f t="array" ref="K179">'Question_Bank'!K171</f>
        <v>0</v>
      </c>
      <c r="L179" s="131" cm="1">
        <f t="array" ref="L179">'Question_Bank'!L171</f>
        <v>0</v>
      </c>
      <c r="M179" s="132"/>
      <c r="N179" t="str" s="97" cm="1">
        <f t="array" ref="N179">IF(M179="","",IF(F179="MCQ",IF(UPPER(M179)=UPPER(L179),1,0),IF(O179="Yes",6-VALUE(M179),VALUE(M179))))</f>
      </c>
      <c r="O179" t="str" s="97" cm="1">
        <f t="array" ref="O179">'Question_Bank'!N171</f>
        <v>No</v>
      </c>
      <c r="P179" s="133" cm="1">
        <f t="array" ref="P179">IF(F179="MCQ",1,5)</f>
        <v>5</v>
      </c>
    </row>
    <row r="180" ht="42" customHeight="1">
      <c r="A180" t="str" s="130" cm="1">
        <f t="array" ref="A180">'Question_Bank'!A172</f>
        <v>NPI0168</v>
      </c>
      <c r="B180" t="str" s="97" cm="1">
        <f t="array" ref="B180">'Question_Bank'!B172</f>
        <v>8-12</v>
      </c>
      <c r="C180" t="str" s="97" cm="1">
        <f t="array" ref="C180">'Question_Bank'!C172</f>
        <v>Big Five Personality</v>
      </c>
      <c r="D180" t="str" s="97" cm="1">
        <f t="array" ref="D180">'Question_Bank'!D172</f>
        <v>Agreeableness</v>
      </c>
      <c r="E180" t="str" s="97" cm="1">
        <f t="array" ref="E180">'Question_Bank'!E172</f>
        <v>Agreeableness</v>
      </c>
      <c r="F180" t="str" s="97" cm="1">
        <f t="array" ref="F180">'Question_Bank'!F172</f>
        <v>Likert</v>
      </c>
      <c r="G180" t="str" s="97" cm="1">
        <f t="array" ref="G180">'Question_Bank'!G172</f>
        <v>I prefer cooperation over conflict.</v>
      </c>
      <c r="H180" s="131" cm="1">
        <f t="array" ref="H180">'Question_Bank'!H172</f>
        <v>0</v>
      </c>
      <c r="I180" s="131" cm="1">
        <f t="array" ref="I180">'Question_Bank'!I172</f>
        <v>0</v>
      </c>
      <c r="J180" s="131" cm="1">
        <f t="array" ref="J180">'Question_Bank'!J172</f>
        <v>0</v>
      </c>
      <c r="K180" s="131" cm="1">
        <f t="array" ref="K180">'Question_Bank'!K172</f>
        <v>0</v>
      </c>
      <c r="L180" s="131" cm="1">
        <f t="array" ref="L180">'Question_Bank'!L172</f>
        <v>0</v>
      </c>
      <c r="M180" s="132"/>
      <c r="N180" t="str" s="97" cm="1">
        <f t="array" ref="N180">IF(M180="","",IF(F180="MCQ",IF(UPPER(M180)=UPPER(L180),1,0),IF(O180="Yes",6-VALUE(M180),VALUE(M180))))</f>
      </c>
      <c r="O180" t="str" s="97" cm="1">
        <f t="array" ref="O180">'Question_Bank'!N172</f>
        <v>No</v>
      </c>
      <c r="P180" s="133" cm="1">
        <f t="array" ref="P180">IF(F180="MCQ",1,5)</f>
        <v>5</v>
      </c>
    </row>
    <row r="181" ht="42" customHeight="1">
      <c r="A181" t="str" s="130" cm="1">
        <f t="array" ref="A181">'Question_Bank'!A173</f>
        <v>NPI0169</v>
      </c>
      <c r="B181" t="str" s="97" cm="1">
        <f t="array" ref="B181">'Question_Bank'!B173</f>
        <v>8-12</v>
      </c>
      <c r="C181" t="str" s="97" cm="1">
        <f t="array" ref="C181">'Question_Bank'!C173</f>
        <v>Big Five Personality</v>
      </c>
      <c r="D181" t="str" s="97" cm="1">
        <f t="array" ref="D181">'Question_Bank'!D173</f>
        <v>Agreeableness</v>
      </c>
      <c r="E181" t="str" s="97" cm="1">
        <f t="array" ref="E181">'Question_Bank'!E173</f>
        <v>Agreeableness</v>
      </c>
      <c r="F181" t="str" s="97" cm="1">
        <f t="array" ref="F181">'Question_Bank'!F173</f>
        <v>Likert</v>
      </c>
      <c r="G181" t="str" s="97" cm="1">
        <f t="array" ref="G181">'Question_Bank'!G173</f>
        <v>I listen respectfully even when I disagree.</v>
      </c>
      <c r="H181" s="131" cm="1">
        <f t="array" ref="H181">'Question_Bank'!H173</f>
        <v>0</v>
      </c>
      <c r="I181" s="131" cm="1">
        <f t="array" ref="I181">'Question_Bank'!I173</f>
        <v>0</v>
      </c>
      <c r="J181" s="131" cm="1">
        <f t="array" ref="J181">'Question_Bank'!J173</f>
        <v>0</v>
      </c>
      <c r="K181" s="131" cm="1">
        <f t="array" ref="K181">'Question_Bank'!K173</f>
        <v>0</v>
      </c>
      <c r="L181" s="131" cm="1">
        <f t="array" ref="L181">'Question_Bank'!L173</f>
        <v>0</v>
      </c>
      <c r="M181" s="132"/>
      <c r="N181" t="str" s="97" cm="1">
        <f t="array" ref="N181">IF(M181="","",IF(F181="MCQ",IF(UPPER(M181)=UPPER(L181),1,0),IF(O181="Yes",6-VALUE(M181),VALUE(M181))))</f>
      </c>
      <c r="O181" t="str" s="97" cm="1">
        <f t="array" ref="O181">'Question_Bank'!N173</f>
        <v>No</v>
      </c>
      <c r="P181" s="133" cm="1">
        <f t="array" ref="P181">IF(F181="MCQ",1,5)</f>
        <v>5</v>
      </c>
    </row>
    <row r="182" ht="42" customHeight="1">
      <c r="A182" t="str" s="130" cm="1">
        <f t="array" ref="A182">'Question_Bank'!A174</f>
        <v>NPI0170</v>
      </c>
      <c r="B182" t="str" s="97" cm="1">
        <f t="array" ref="B182">'Question_Bank'!B174</f>
        <v>8-12</v>
      </c>
      <c r="C182" t="str" s="97" cm="1">
        <f t="array" ref="C182">'Question_Bank'!C174</f>
        <v>Big Five Personality</v>
      </c>
      <c r="D182" t="str" s="97" cm="1">
        <f t="array" ref="D182">'Question_Bank'!D174</f>
        <v>Agreeableness</v>
      </c>
      <c r="E182" t="str" s="97" cm="1">
        <f t="array" ref="E182">'Question_Bank'!E174</f>
        <v>Agreeableness</v>
      </c>
      <c r="F182" t="str" s="97" cm="1">
        <f t="array" ref="F182">'Question_Bank'!F174</f>
        <v>Likert</v>
      </c>
      <c r="G182" t="str" s="97" cm="1">
        <f t="array" ref="G182">'Question_Bank'!G174</f>
        <v>I care about fairness.</v>
      </c>
      <c r="H182" s="131" cm="1">
        <f t="array" ref="H182">'Question_Bank'!H174</f>
        <v>0</v>
      </c>
      <c r="I182" s="131" cm="1">
        <f t="array" ref="I182">'Question_Bank'!I174</f>
        <v>0</v>
      </c>
      <c r="J182" s="131" cm="1">
        <f t="array" ref="J182">'Question_Bank'!J174</f>
        <v>0</v>
      </c>
      <c r="K182" s="131" cm="1">
        <f t="array" ref="K182">'Question_Bank'!K174</f>
        <v>0</v>
      </c>
      <c r="L182" s="131" cm="1">
        <f t="array" ref="L182">'Question_Bank'!L174</f>
        <v>0</v>
      </c>
      <c r="M182" s="132"/>
      <c r="N182" t="str" s="97" cm="1">
        <f t="array" ref="N182">IF(M182="","",IF(F182="MCQ",IF(UPPER(M182)=UPPER(L182),1,0),IF(O182="Yes",6-VALUE(M182),VALUE(M182))))</f>
      </c>
      <c r="O182" t="str" s="97" cm="1">
        <f t="array" ref="O182">'Question_Bank'!N174</f>
        <v>No</v>
      </c>
      <c r="P182" s="133" cm="1">
        <f t="array" ref="P182">IF(F182="MCQ",1,5)</f>
        <v>5</v>
      </c>
    </row>
    <row r="183" ht="42" customHeight="1">
      <c r="A183" t="str" s="130" cm="1">
        <f t="array" ref="A183">'Question_Bank'!A175</f>
        <v>NPI0171</v>
      </c>
      <c r="B183" t="str" s="97" cm="1">
        <f t="array" ref="B183">'Question_Bank'!B175</f>
        <v>8-12</v>
      </c>
      <c r="C183" t="str" s="97" cm="1">
        <f t="array" ref="C183">'Question_Bank'!C175</f>
        <v>Big Five Personality</v>
      </c>
      <c r="D183" t="str" s="97" cm="1">
        <f t="array" ref="D183">'Question_Bank'!D175</f>
        <v>Agreeableness</v>
      </c>
      <c r="E183" t="str" s="97" cm="1">
        <f t="array" ref="E183">'Question_Bank'!E175</f>
        <v>Agreeableness</v>
      </c>
      <c r="F183" t="str" s="97" cm="1">
        <f t="array" ref="F183">'Question_Bank'!F175</f>
        <v>Likert</v>
      </c>
      <c r="G183" t="str" s="97" cm="1">
        <f t="array" ref="G183">'Question_Bank'!G175</f>
        <v>I include others in group activities.</v>
      </c>
      <c r="H183" s="131" cm="1">
        <f t="array" ref="H183">'Question_Bank'!H175</f>
        <v>0</v>
      </c>
      <c r="I183" s="131" cm="1">
        <f t="array" ref="I183">'Question_Bank'!I175</f>
        <v>0</v>
      </c>
      <c r="J183" s="131" cm="1">
        <f t="array" ref="J183">'Question_Bank'!J175</f>
        <v>0</v>
      </c>
      <c r="K183" s="131" cm="1">
        <f t="array" ref="K183">'Question_Bank'!K175</f>
        <v>0</v>
      </c>
      <c r="L183" s="131" cm="1">
        <f t="array" ref="L183">'Question_Bank'!L175</f>
        <v>0</v>
      </c>
      <c r="M183" s="132"/>
      <c r="N183" t="str" s="97" cm="1">
        <f t="array" ref="N183">IF(M183="","",IF(F183="MCQ",IF(UPPER(M183)=UPPER(L183),1,0),IF(O183="Yes",6-VALUE(M183),VALUE(M183))))</f>
      </c>
      <c r="O183" t="str" s="97" cm="1">
        <f t="array" ref="O183">'Question_Bank'!N175</f>
        <v>No</v>
      </c>
      <c r="P183" s="133" cm="1">
        <f t="array" ref="P183">IF(F183="MCQ",1,5)</f>
        <v>5</v>
      </c>
    </row>
    <row r="184" ht="42" customHeight="1">
      <c r="A184" t="str" s="130" cm="1">
        <f t="array" ref="A184">'Question_Bank'!A176</f>
        <v>NPI0172</v>
      </c>
      <c r="B184" t="str" s="97" cm="1">
        <f t="array" ref="B184">'Question_Bank'!B176</f>
        <v>8-12</v>
      </c>
      <c r="C184" t="str" s="97" cm="1">
        <f t="array" ref="C184">'Question_Bank'!C176</f>
        <v>Big Five Personality</v>
      </c>
      <c r="D184" t="str" s="97" cm="1">
        <f t="array" ref="D184">'Question_Bank'!D176</f>
        <v>Agreeableness</v>
      </c>
      <c r="E184" t="str" s="97" cm="1">
        <f t="array" ref="E184">'Question_Bank'!E176</f>
        <v>Agreeableness</v>
      </c>
      <c r="F184" t="str" s="97" cm="1">
        <f t="array" ref="F184">'Question_Bank'!F176</f>
        <v>Likert</v>
      </c>
      <c r="G184" t="str" s="97" cm="1">
        <f t="array" ref="G184">'Question_Bank'!G176</f>
        <v>I am kind when someone struggles.</v>
      </c>
      <c r="H184" s="131" cm="1">
        <f t="array" ref="H184">'Question_Bank'!H176</f>
        <v>0</v>
      </c>
      <c r="I184" s="131" cm="1">
        <f t="array" ref="I184">'Question_Bank'!I176</f>
        <v>0</v>
      </c>
      <c r="J184" s="131" cm="1">
        <f t="array" ref="J184">'Question_Bank'!J176</f>
        <v>0</v>
      </c>
      <c r="K184" s="131" cm="1">
        <f t="array" ref="K184">'Question_Bank'!K176</f>
        <v>0</v>
      </c>
      <c r="L184" s="131" cm="1">
        <f t="array" ref="L184">'Question_Bank'!L176</f>
        <v>0</v>
      </c>
      <c r="M184" s="132"/>
      <c r="N184" t="str" s="97" cm="1">
        <f t="array" ref="N184">IF(M184="","",IF(F184="MCQ",IF(UPPER(M184)=UPPER(L184),1,0),IF(O184="Yes",6-VALUE(M184),VALUE(M184))))</f>
      </c>
      <c r="O184" t="str" s="97" cm="1">
        <f t="array" ref="O184">'Question_Bank'!N176</f>
        <v>No</v>
      </c>
      <c r="P184" s="133" cm="1">
        <f t="array" ref="P184">IF(F184="MCQ",1,5)</f>
        <v>5</v>
      </c>
    </row>
    <row r="185" ht="42" customHeight="1">
      <c r="A185" t="str" s="130" cm="1">
        <f t="array" ref="A185">'Question_Bank'!A177</f>
        <v>NPI0173</v>
      </c>
      <c r="B185" t="str" s="97" cm="1">
        <f t="array" ref="B185">'Question_Bank'!B177</f>
        <v>8-12</v>
      </c>
      <c r="C185" t="str" s="97" cm="1">
        <f t="array" ref="C185">'Question_Bank'!C177</f>
        <v>Big Five Personality</v>
      </c>
      <c r="D185" t="str" s="97" cm="1">
        <f t="array" ref="D185">'Question_Bank'!D177</f>
        <v>Agreeableness</v>
      </c>
      <c r="E185" t="str" s="97" cm="1">
        <f t="array" ref="E185">'Question_Bank'!E177</f>
        <v>Agreeableness</v>
      </c>
      <c r="F185" t="str" s="97" cm="1">
        <f t="array" ref="F185">'Question_Bank'!F177</f>
        <v>Likert</v>
      </c>
      <c r="G185" t="str" s="97" cm="1">
        <f t="array" ref="G185">'Question_Bank'!G177</f>
        <v>I solve conflicts peacefully.</v>
      </c>
      <c r="H185" s="131" cm="1">
        <f t="array" ref="H185">'Question_Bank'!H177</f>
        <v>0</v>
      </c>
      <c r="I185" s="131" cm="1">
        <f t="array" ref="I185">'Question_Bank'!I177</f>
        <v>0</v>
      </c>
      <c r="J185" s="131" cm="1">
        <f t="array" ref="J185">'Question_Bank'!J177</f>
        <v>0</v>
      </c>
      <c r="K185" s="131" cm="1">
        <f t="array" ref="K185">'Question_Bank'!K177</f>
        <v>0</v>
      </c>
      <c r="L185" s="131" cm="1">
        <f t="array" ref="L185">'Question_Bank'!L177</f>
        <v>0</v>
      </c>
      <c r="M185" s="132"/>
      <c r="N185" t="str" s="97" cm="1">
        <f t="array" ref="N185">IF(M185="","",IF(F185="MCQ",IF(UPPER(M185)=UPPER(L185),1,0),IF(O185="Yes",6-VALUE(M185),VALUE(M185))))</f>
      </c>
      <c r="O185" t="str" s="97" cm="1">
        <f t="array" ref="O185">'Question_Bank'!N177</f>
        <v>No</v>
      </c>
      <c r="P185" s="133" cm="1">
        <f t="array" ref="P185">IF(F185="MCQ",1,5)</f>
        <v>5</v>
      </c>
    </row>
    <row r="186" ht="42" customHeight="1">
      <c r="A186" t="str" s="130" cm="1">
        <f t="array" ref="A186">'Question_Bank'!A178</f>
        <v>NPI0174</v>
      </c>
      <c r="B186" t="str" s="97" cm="1">
        <f t="array" ref="B186">'Question_Bank'!B178</f>
        <v>8-12</v>
      </c>
      <c r="C186" t="str" s="97" cm="1">
        <f t="array" ref="C186">'Question_Bank'!C178</f>
        <v>Big Five Personality</v>
      </c>
      <c r="D186" t="str" s="97" cm="1">
        <f t="array" ref="D186">'Question_Bank'!D178</f>
        <v>Agreeableness</v>
      </c>
      <c r="E186" t="str" s="97" cm="1">
        <f t="array" ref="E186">'Question_Bank'!E178</f>
        <v>Agreeableness</v>
      </c>
      <c r="F186" t="str" s="97" cm="1">
        <f t="array" ref="F186">'Question_Bank'!F178</f>
        <v>Likert</v>
      </c>
      <c r="G186" t="str" s="97" cm="1">
        <f t="array" ref="G186">'Question_Bank'!G178</f>
        <v>I see another person’s point of view.</v>
      </c>
      <c r="H186" s="131" cm="1">
        <f t="array" ref="H186">'Question_Bank'!H178</f>
        <v>0</v>
      </c>
      <c r="I186" s="131" cm="1">
        <f t="array" ref="I186">'Question_Bank'!I178</f>
        <v>0</v>
      </c>
      <c r="J186" s="131" cm="1">
        <f t="array" ref="J186">'Question_Bank'!J178</f>
        <v>0</v>
      </c>
      <c r="K186" s="131" cm="1">
        <f t="array" ref="K186">'Question_Bank'!K178</f>
        <v>0</v>
      </c>
      <c r="L186" s="131" cm="1">
        <f t="array" ref="L186">'Question_Bank'!L178</f>
        <v>0</v>
      </c>
      <c r="M186" s="132"/>
      <c r="N186" t="str" s="97" cm="1">
        <f t="array" ref="N186">IF(M186="","",IF(F186="MCQ",IF(UPPER(M186)=UPPER(L186),1,0),IF(O186="Yes",6-VALUE(M186),VALUE(M186))))</f>
      </c>
      <c r="O186" t="str" s="97" cm="1">
        <f t="array" ref="O186">'Question_Bank'!N178</f>
        <v>No</v>
      </c>
      <c r="P186" s="133" cm="1">
        <f t="array" ref="P186">IF(F186="MCQ",1,5)</f>
        <v>5</v>
      </c>
    </row>
    <row r="187" ht="42" customHeight="1">
      <c r="A187" t="str" s="130" cm="1">
        <f t="array" ref="A187">'Question_Bank'!A179</f>
        <v>NPI0175</v>
      </c>
      <c r="B187" t="str" s="97" cm="1">
        <f t="array" ref="B187">'Question_Bank'!B179</f>
        <v>8-12</v>
      </c>
      <c r="C187" t="str" s="97" cm="1">
        <f t="array" ref="C187">'Question_Bank'!C179</f>
        <v>Big Five Personality</v>
      </c>
      <c r="D187" t="str" s="97" cm="1">
        <f t="array" ref="D187">'Question_Bank'!D179</f>
        <v>Agreeableness</v>
      </c>
      <c r="E187" t="str" s="97" cm="1">
        <f t="array" ref="E187">'Question_Bank'!E179</f>
        <v>Agreeableness</v>
      </c>
      <c r="F187" t="str" s="97" cm="1">
        <f t="array" ref="F187">'Question_Bank'!F179</f>
        <v>Likert</v>
      </c>
      <c r="G187" t="str" s="97" cm="1">
        <f t="array" ref="G187">'Question_Bank'!G179</f>
        <v>I support friends.</v>
      </c>
      <c r="H187" s="131" cm="1">
        <f t="array" ref="H187">'Question_Bank'!H179</f>
        <v>0</v>
      </c>
      <c r="I187" s="131" cm="1">
        <f t="array" ref="I187">'Question_Bank'!I179</f>
        <v>0</v>
      </c>
      <c r="J187" s="131" cm="1">
        <f t="array" ref="J187">'Question_Bank'!J179</f>
        <v>0</v>
      </c>
      <c r="K187" s="131" cm="1">
        <f t="array" ref="K187">'Question_Bank'!K179</f>
        <v>0</v>
      </c>
      <c r="L187" s="131" cm="1">
        <f t="array" ref="L187">'Question_Bank'!L179</f>
        <v>0</v>
      </c>
      <c r="M187" s="132"/>
      <c r="N187" t="str" s="97" cm="1">
        <f t="array" ref="N187">IF(M187="","",IF(F187="MCQ",IF(UPPER(M187)=UPPER(L187),1,0),IF(O187="Yes",6-VALUE(M187),VALUE(M187))))</f>
      </c>
      <c r="O187" t="str" s="97" cm="1">
        <f t="array" ref="O187">'Question_Bank'!N179</f>
        <v>No</v>
      </c>
      <c r="P187" s="133" cm="1">
        <f t="array" ref="P187">IF(F187="MCQ",1,5)</f>
        <v>5</v>
      </c>
    </row>
    <row r="188" ht="42" customHeight="1">
      <c r="A188" t="str" s="130" cm="1">
        <f t="array" ref="A188">'Question_Bank'!A180</f>
        <v>NPI0176</v>
      </c>
      <c r="B188" t="str" s="97" cm="1">
        <f t="array" ref="B188">'Question_Bank'!B180</f>
        <v>8-12</v>
      </c>
      <c r="C188" t="str" s="97" cm="1">
        <f t="array" ref="C188">'Question_Bank'!C180</f>
        <v>Big Five Personality</v>
      </c>
      <c r="D188" t="str" s="97" cm="1">
        <f t="array" ref="D188">'Question_Bank'!D180</f>
        <v>Agreeableness</v>
      </c>
      <c r="E188" t="str" s="97" cm="1">
        <f t="array" ref="E188">'Question_Bank'!E180</f>
        <v>Agreeableness</v>
      </c>
      <c r="F188" t="str" s="97" cm="1">
        <f t="array" ref="F188">'Question_Bank'!F180</f>
        <v>Likert</v>
      </c>
      <c r="G188" t="str" s="97" cm="1">
        <f t="array" ref="G188">'Question_Bank'!G180</f>
        <v>I am patient with different learners.</v>
      </c>
      <c r="H188" s="131" cm="1">
        <f t="array" ref="H188">'Question_Bank'!H180</f>
        <v>0</v>
      </c>
      <c r="I188" s="131" cm="1">
        <f t="array" ref="I188">'Question_Bank'!I180</f>
        <v>0</v>
      </c>
      <c r="J188" s="131" cm="1">
        <f t="array" ref="J188">'Question_Bank'!J180</f>
        <v>0</v>
      </c>
      <c r="K188" s="131" cm="1">
        <f t="array" ref="K188">'Question_Bank'!K180</f>
        <v>0</v>
      </c>
      <c r="L188" s="131" cm="1">
        <f t="array" ref="L188">'Question_Bank'!L180</f>
        <v>0</v>
      </c>
      <c r="M188" s="132"/>
      <c r="N188" t="str" s="97" cm="1">
        <f t="array" ref="N188">IF(M188="","",IF(F188="MCQ",IF(UPPER(M188)=UPPER(L188),1,0),IF(O188="Yes",6-VALUE(M188),VALUE(M188))))</f>
      </c>
      <c r="O188" t="str" s="97" cm="1">
        <f t="array" ref="O188">'Question_Bank'!N180</f>
        <v>No</v>
      </c>
      <c r="P188" s="133" cm="1">
        <f t="array" ref="P188">IF(F188="MCQ",1,5)</f>
        <v>5</v>
      </c>
    </row>
    <row r="189" ht="42" customHeight="1">
      <c r="A189" t="str" s="130" cm="1">
        <f t="array" ref="A189">'Question_Bank'!A181</f>
        <v>NPI0177</v>
      </c>
      <c r="B189" t="str" s="97" cm="1">
        <f t="array" ref="B189">'Question_Bank'!B181</f>
        <v>8-12</v>
      </c>
      <c r="C189" t="str" s="97" cm="1">
        <f t="array" ref="C189">'Question_Bank'!C181</f>
        <v>Big Five Personality</v>
      </c>
      <c r="D189" t="str" s="97" cm="1">
        <f t="array" ref="D189">'Question_Bank'!D181</f>
        <v>Agreeableness</v>
      </c>
      <c r="E189" t="str" s="97" cm="1">
        <f t="array" ref="E189">'Question_Bank'!E181</f>
        <v>Agreeableness</v>
      </c>
      <c r="F189" t="str" s="97" cm="1">
        <f t="array" ref="F189">'Question_Bank'!F181</f>
        <v>Likert</v>
      </c>
      <c r="G189" t="str" s="97" cm="1">
        <f t="array" ref="G189">'Question_Bank'!G181</f>
        <v>I value trust.</v>
      </c>
      <c r="H189" s="131" cm="1">
        <f t="array" ref="H189">'Question_Bank'!H181</f>
        <v>0</v>
      </c>
      <c r="I189" s="131" cm="1">
        <f t="array" ref="I189">'Question_Bank'!I181</f>
        <v>0</v>
      </c>
      <c r="J189" s="131" cm="1">
        <f t="array" ref="J189">'Question_Bank'!J181</f>
        <v>0</v>
      </c>
      <c r="K189" s="131" cm="1">
        <f t="array" ref="K189">'Question_Bank'!K181</f>
        <v>0</v>
      </c>
      <c r="L189" s="131" cm="1">
        <f t="array" ref="L189">'Question_Bank'!L181</f>
        <v>0</v>
      </c>
      <c r="M189" s="132"/>
      <c r="N189" t="str" s="97" cm="1">
        <f t="array" ref="N189">IF(M189="","",IF(F189="MCQ",IF(UPPER(M189)=UPPER(L189),1,0),IF(O189="Yes",6-VALUE(M189),VALUE(M189))))</f>
      </c>
      <c r="O189" t="str" s="97" cm="1">
        <f t="array" ref="O189">'Question_Bank'!N181</f>
        <v>No</v>
      </c>
      <c r="P189" s="133" cm="1">
        <f t="array" ref="P189">IF(F189="MCQ",1,5)</f>
        <v>5</v>
      </c>
    </row>
    <row r="190" ht="42" customHeight="1">
      <c r="A190" t="str" s="130" cm="1">
        <f t="array" ref="A190">'Question_Bank'!A182</f>
        <v>NPI0178</v>
      </c>
      <c r="B190" t="str" s="97" cm="1">
        <f t="array" ref="B190">'Question_Bank'!B182</f>
        <v>8-12</v>
      </c>
      <c r="C190" t="str" s="97" cm="1">
        <f t="array" ref="C190">'Question_Bank'!C182</f>
        <v>Big Five Personality</v>
      </c>
      <c r="D190" t="str" s="97" cm="1">
        <f t="array" ref="D190">'Question_Bank'!D182</f>
        <v>Agreeableness</v>
      </c>
      <c r="E190" t="str" s="97" cm="1">
        <f t="array" ref="E190">'Question_Bank'!E182</f>
        <v>Agreeableness</v>
      </c>
      <c r="F190" t="str" s="97" cm="1">
        <f t="array" ref="F190">'Question_Bank'!F182</f>
        <v>Likert</v>
      </c>
      <c r="G190" t="str" s="97" cm="1">
        <f t="array" ref="G190">'Question_Bank'!G182</f>
        <v>I prefer helping over blaming.</v>
      </c>
      <c r="H190" s="131" cm="1">
        <f t="array" ref="H190">'Question_Bank'!H182</f>
        <v>0</v>
      </c>
      <c r="I190" s="131" cm="1">
        <f t="array" ref="I190">'Question_Bank'!I182</f>
        <v>0</v>
      </c>
      <c r="J190" s="131" cm="1">
        <f t="array" ref="J190">'Question_Bank'!J182</f>
        <v>0</v>
      </c>
      <c r="K190" s="131" cm="1">
        <f t="array" ref="K190">'Question_Bank'!K182</f>
        <v>0</v>
      </c>
      <c r="L190" s="131" cm="1">
        <f t="array" ref="L190">'Question_Bank'!L182</f>
        <v>0</v>
      </c>
      <c r="M190" s="132"/>
      <c r="N190" t="str" s="97" cm="1">
        <f t="array" ref="N190">IF(M190="","",IF(F190="MCQ",IF(UPPER(M190)=UPPER(L190),1,0),IF(O190="Yes",6-VALUE(M190),VALUE(M190))))</f>
      </c>
      <c r="O190" t="str" s="97" cm="1">
        <f t="array" ref="O190">'Question_Bank'!N182</f>
        <v>No</v>
      </c>
      <c r="P190" s="133" cm="1">
        <f t="array" ref="P190">IF(F190="MCQ",1,5)</f>
        <v>5</v>
      </c>
    </row>
    <row r="191" ht="42" customHeight="1">
      <c r="A191" t="str" s="130" cm="1">
        <f t="array" ref="A191">'Question_Bank'!A183</f>
        <v>NPI0179</v>
      </c>
      <c r="B191" t="str" s="97" cm="1">
        <f t="array" ref="B191">'Question_Bank'!B183</f>
        <v>8-12</v>
      </c>
      <c r="C191" t="str" s="97" cm="1">
        <f t="array" ref="C191">'Question_Bank'!C183</f>
        <v>Big Five Personality</v>
      </c>
      <c r="D191" t="str" s="97" cm="1">
        <f t="array" ref="D191">'Question_Bank'!D183</f>
        <v>Agreeableness</v>
      </c>
      <c r="E191" t="str" s="97" cm="1">
        <f t="array" ref="E191">'Question_Bank'!E183</f>
        <v>Agreeableness</v>
      </c>
      <c r="F191" t="str" s="97" cm="1">
        <f t="array" ref="F191">'Question_Bank'!F183</f>
        <v>Likert</v>
      </c>
      <c r="G191" t="str" s="97" cm="1">
        <f t="array" ref="G191">'Question_Bank'!G183</f>
        <v>I work well with different people.</v>
      </c>
      <c r="H191" s="131" cm="1">
        <f t="array" ref="H191">'Question_Bank'!H183</f>
        <v>0</v>
      </c>
      <c r="I191" s="131" cm="1">
        <f t="array" ref="I191">'Question_Bank'!I183</f>
        <v>0</v>
      </c>
      <c r="J191" s="131" cm="1">
        <f t="array" ref="J191">'Question_Bank'!J183</f>
        <v>0</v>
      </c>
      <c r="K191" s="131" cm="1">
        <f t="array" ref="K191">'Question_Bank'!K183</f>
        <v>0</v>
      </c>
      <c r="L191" s="131" cm="1">
        <f t="array" ref="L191">'Question_Bank'!L183</f>
        <v>0</v>
      </c>
      <c r="M191" s="132"/>
      <c r="N191" t="str" s="97" cm="1">
        <f t="array" ref="N191">IF(M191="","",IF(F191="MCQ",IF(UPPER(M191)=UPPER(L191),1,0),IF(O191="Yes",6-VALUE(M191),VALUE(M191))))</f>
      </c>
      <c r="O191" t="str" s="97" cm="1">
        <f t="array" ref="O191">'Question_Bank'!N183</f>
        <v>No</v>
      </c>
      <c r="P191" s="133" cm="1">
        <f t="array" ref="P191">IF(F191="MCQ",1,5)</f>
        <v>5</v>
      </c>
    </row>
    <row r="192" ht="42" customHeight="1">
      <c r="A192" t="str" s="130" cm="1">
        <f t="array" ref="A192">'Question_Bank'!A184</f>
        <v>NPI0180</v>
      </c>
      <c r="B192" t="str" s="97" cm="1">
        <f t="array" ref="B192">'Question_Bank'!B184</f>
        <v>8-12</v>
      </c>
      <c r="C192" t="str" s="97" cm="1">
        <f t="array" ref="C192">'Question_Bank'!C184</f>
        <v>Big Five Personality</v>
      </c>
      <c r="D192" t="str" s="97" cm="1">
        <f t="array" ref="D192">'Question_Bank'!D184</f>
        <v>Agreeableness</v>
      </c>
      <c r="E192" t="str" s="97" cm="1">
        <f t="array" ref="E192">'Question_Bank'!E184</f>
        <v>Agreeableness</v>
      </c>
      <c r="F192" t="str" s="97" cm="1">
        <f t="array" ref="F192">'Question_Bank'!F184</f>
        <v>Likert</v>
      </c>
      <c r="G192" t="str" s="97" cm="1">
        <f t="array" ref="G192">'Question_Bank'!G184</f>
        <v>I appreciate others’ efforts.</v>
      </c>
      <c r="H192" s="131" cm="1">
        <f t="array" ref="H192">'Question_Bank'!H184</f>
        <v>0</v>
      </c>
      <c r="I192" s="131" cm="1">
        <f t="array" ref="I192">'Question_Bank'!I184</f>
        <v>0</v>
      </c>
      <c r="J192" s="131" cm="1">
        <f t="array" ref="J192">'Question_Bank'!J184</f>
        <v>0</v>
      </c>
      <c r="K192" s="131" cm="1">
        <f t="array" ref="K192">'Question_Bank'!K184</f>
        <v>0</v>
      </c>
      <c r="L192" s="131" cm="1">
        <f t="array" ref="L192">'Question_Bank'!L184</f>
        <v>0</v>
      </c>
      <c r="M192" s="132"/>
      <c r="N192" t="str" s="97" cm="1">
        <f t="array" ref="N192">IF(M192="","",IF(F192="MCQ",IF(UPPER(M192)=UPPER(L192),1,0),IF(O192="Yes",6-VALUE(M192),VALUE(M192))))</f>
      </c>
      <c r="O192" t="str" s="97" cm="1">
        <f t="array" ref="O192">'Question_Bank'!N184</f>
        <v>No</v>
      </c>
      <c r="P192" s="133" cm="1">
        <f t="array" ref="P192">IF(F192="MCQ",1,5)</f>
        <v>5</v>
      </c>
    </row>
    <row r="193" ht="42" customHeight="1">
      <c r="A193" t="str" s="130" cm="1">
        <f t="array" ref="A193">'Question_Bank'!A185</f>
        <v>NPI0181</v>
      </c>
      <c r="B193" t="str" s="97" cm="1">
        <f t="array" ref="B193">'Question_Bank'!B185</f>
        <v>8-12</v>
      </c>
      <c r="C193" t="str" s="97" cm="1">
        <f t="array" ref="C193">'Question_Bank'!C185</f>
        <v>Big Five Personality</v>
      </c>
      <c r="D193" t="str" s="97" cm="1">
        <f t="array" ref="D193">'Question_Bank'!D185</f>
        <v>Agreeableness</v>
      </c>
      <c r="E193" t="str" s="97" cm="1">
        <f t="array" ref="E193">'Question_Bank'!E185</f>
        <v>Agreeableness</v>
      </c>
      <c r="F193" t="str" s="97" cm="1">
        <f t="array" ref="F193">'Question_Bank'!F185</f>
        <v>Likert</v>
      </c>
      <c r="G193" t="str" s="97" cm="1">
        <f t="array" ref="G193">'Question_Bank'!G185</f>
        <v>I try to make people feel safe.</v>
      </c>
      <c r="H193" s="131" cm="1">
        <f t="array" ref="H193">'Question_Bank'!H185</f>
        <v>0</v>
      </c>
      <c r="I193" s="131" cm="1">
        <f t="array" ref="I193">'Question_Bank'!I185</f>
        <v>0</v>
      </c>
      <c r="J193" s="131" cm="1">
        <f t="array" ref="J193">'Question_Bank'!J185</f>
        <v>0</v>
      </c>
      <c r="K193" s="131" cm="1">
        <f t="array" ref="K193">'Question_Bank'!K185</f>
        <v>0</v>
      </c>
      <c r="L193" s="131" cm="1">
        <f t="array" ref="L193">'Question_Bank'!L185</f>
        <v>0</v>
      </c>
      <c r="M193" s="132"/>
      <c r="N193" t="str" s="97" cm="1">
        <f t="array" ref="N193">IF(M193="","",IF(F193="MCQ",IF(UPPER(M193)=UPPER(L193),1,0),IF(O193="Yes",6-VALUE(M193),VALUE(M193))))</f>
      </c>
      <c r="O193" t="str" s="97" cm="1">
        <f t="array" ref="O193">'Question_Bank'!N185</f>
        <v>No</v>
      </c>
      <c r="P193" s="133" cm="1">
        <f t="array" ref="P193">IF(F193="MCQ",1,5)</f>
        <v>5</v>
      </c>
    </row>
    <row r="194" ht="42" customHeight="1">
      <c r="A194" t="str" s="130" cm="1">
        <f t="array" ref="A194">'Question_Bank'!A186</f>
        <v>NPI0182</v>
      </c>
      <c r="B194" t="str" s="97" cm="1">
        <f t="array" ref="B194">'Question_Bank'!B186</f>
        <v>8-12</v>
      </c>
      <c r="C194" t="str" s="97" cm="1">
        <f t="array" ref="C194">'Question_Bank'!C186</f>
        <v>Big Five Personality</v>
      </c>
      <c r="D194" t="str" s="97" cm="1">
        <f t="array" ref="D194">'Question_Bank'!D186</f>
        <v>Agreeableness</v>
      </c>
      <c r="E194" t="str" s="97" cm="1">
        <f t="array" ref="E194">'Question_Bank'!E186</f>
        <v>Agreeableness</v>
      </c>
      <c r="F194" t="str" s="97" cm="1">
        <f t="array" ref="F194">'Question_Bank'!F186</f>
        <v>Likert</v>
      </c>
      <c r="G194" t="str" s="97" cm="1">
        <f t="array" ref="G194">'Question_Bank'!G186</f>
        <v>I avoid hurting others intentionally.</v>
      </c>
      <c r="H194" s="131" cm="1">
        <f t="array" ref="H194">'Question_Bank'!H186</f>
        <v>0</v>
      </c>
      <c r="I194" s="131" cm="1">
        <f t="array" ref="I194">'Question_Bank'!I186</f>
        <v>0</v>
      </c>
      <c r="J194" s="131" cm="1">
        <f t="array" ref="J194">'Question_Bank'!J186</f>
        <v>0</v>
      </c>
      <c r="K194" s="131" cm="1">
        <f t="array" ref="K194">'Question_Bank'!K186</f>
        <v>0</v>
      </c>
      <c r="L194" s="131" cm="1">
        <f t="array" ref="L194">'Question_Bank'!L186</f>
        <v>0</v>
      </c>
      <c r="M194" s="132"/>
      <c r="N194" t="str" s="97" cm="1">
        <f t="array" ref="N194">IF(M194="","",IF(F194="MCQ",IF(UPPER(M194)=UPPER(L194),1,0),IF(O194="Yes",6-VALUE(M194),VALUE(M194))))</f>
      </c>
      <c r="O194" t="str" s="97" cm="1">
        <f t="array" ref="O194">'Question_Bank'!N186</f>
        <v>No</v>
      </c>
      <c r="P194" s="133" cm="1">
        <f t="array" ref="P194">IF(F194="MCQ",1,5)</f>
        <v>5</v>
      </c>
    </row>
    <row r="195" ht="42" customHeight="1">
      <c r="A195" t="str" s="130" cm="1">
        <f t="array" ref="A195">'Question_Bank'!A187</f>
        <v>NPI0183</v>
      </c>
      <c r="B195" t="str" s="97" cm="1">
        <f t="array" ref="B195">'Question_Bank'!B187</f>
        <v>8-12</v>
      </c>
      <c r="C195" t="str" s="97" cm="1">
        <f t="array" ref="C195">'Question_Bank'!C187</f>
        <v>Big Five Personality</v>
      </c>
      <c r="D195" t="str" s="97" cm="1">
        <f t="array" ref="D195">'Question_Bank'!D187</f>
        <v>Agreeableness</v>
      </c>
      <c r="E195" t="str" s="97" cm="1">
        <f t="array" ref="E195">'Question_Bank'!E187</f>
        <v>Agreeableness</v>
      </c>
      <c r="F195" t="str" s="97" cm="1">
        <f t="array" ref="F195">'Question_Bank'!F187</f>
        <v>Likert</v>
      </c>
      <c r="G195" t="str" s="97" cm="1">
        <f t="array" ref="G195">'Question_Bank'!G187</f>
        <v>I share credit with others.</v>
      </c>
      <c r="H195" s="131" cm="1">
        <f t="array" ref="H195">'Question_Bank'!H187</f>
        <v>0</v>
      </c>
      <c r="I195" s="131" cm="1">
        <f t="array" ref="I195">'Question_Bank'!I187</f>
        <v>0</v>
      </c>
      <c r="J195" s="131" cm="1">
        <f t="array" ref="J195">'Question_Bank'!J187</f>
        <v>0</v>
      </c>
      <c r="K195" s="131" cm="1">
        <f t="array" ref="K195">'Question_Bank'!K187</f>
        <v>0</v>
      </c>
      <c r="L195" s="131" cm="1">
        <f t="array" ref="L195">'Question_Bank'!L187</f>
        <v>0</v>
      </c>
      <c r="M195" s="132"/>
      <c r="N195" t="str" s="97" cm="1">
        <f t="array" ref="N195">IF(M195="","",IF(F195="MCQ",IF(UPPER(M195)=UPPER(L195),1,0),IF(O195="Yes",6-VALUE(M195),VALUE(M195))))</f>
      </c>
      <c r="O195" t="str" s="97" cm="1">
        <f t="array" ref="O195">'Question_Bank'!N187</f>
        <v>No</v>
      </c>
      <c r="P195" s="133" cm="1">
        <f t="array" ref="P195">IF(F195="MCQ",1,5)</f>
        <v>5</v>
      </c>
    </row>
    <row r="196" ht="42" customHeight="1">
      <c r="A196" t="str" s="130" cm="1">
        <f t="array" ref="A196">'Question_Bank'!A188</f>
        <v>NPI0184</v>
      </c>
      <c r="B196" t="str" s="97" cm="1">
        <f t="array" ref="B196">'Question_Bank'!B188</f>
        <v>8-12</v>
      </c>
      <c r="C196" t="str" s="97" cm="1">
        <f t="array" ref="C196">'Question_Bank'!C188</f>
        <v>Big Five Personality</v>
      </c>
      <c r="D196" t="str" s="97" cm="1">
        <f t="array" ref="D196">'Question_Bank'!D188</f>
        <v>Agreeableness</v>
      </c>
      <c r="E196" t="str" s="97" cm="1">
        <f t="array" ref="E196">'Question_Bank'!E188</f>
        <v>Agreeableness</v>
      </c>
      <c r="F196" t="str" s="97" cm="1">
        <f t="array" ref="F196">'Question_Bank'!F188</f>
        <v>Likert</v>
      </c>
      <c r="G196" t="str" s="97" cm="1">
        <f t="array" ref="G196">'Question_Bank'!G188</f>
        <v>I become impatient when others are slow.</v>
      </c>
      <c r="H196" s="131" cm="1">
        <f t="array" ref="H196">'Question_Bank'!H188</f>
        <v>0</v>
      </c>
      <c r="I196" s="131" cm="1">
        <f t="array" ref="I196">'Question_Bank'!I188</f>
        <v>0</v>
      </c>
      <c r="J196" s="131" cm="1">
        <f t="array" ref="J196">'Question_Bank'!J188</f>
        <v>0</v>
      </c>
      <c r="K196" s="131" cm="1">
        <f t="array" ref="K196">'Question_Bank'!K188</f>
        <v>0</v>
      </c>
      <c r="L196" s="131" cm="1">
        <f t="array" ref="L196">'Question_Bank'!L188</f>
        <v>0</v>
      </c>
      <c r="M196" s="132"/>
      <c r="N196" t="str" s="97" cm="1">
        <f t="array" ref="N196">IF(M196="","",IF(F196="MCQ",IF(UPPER(M196)=UPPER(L196),1,0),IF(O196="Yes",6-VALUE(M196),VALUE(M196))))</f>
      </c>
      <c r="O196" t="str" s="97" cm="1">
        <f t="array" ref="O196">'Question_Bank'!N188</f>
        <v>Yes</v>
      </c>
      <c r="P196" s="133" cm="1">
        <f t="array" ref="P196">IF(F196="MCQ",1,5)</f>
        <v>5</v>
      </c>
    </row>
    <row r="197" ht="42" customHeight="1">
      <c r="A197" t="str" s="130" cm="1">
        <f t="array" ref="A197">'Question_Bank'!A189</f>
        <v>NPI0185</v>
      </c>
      <c r="B197" t="str" s="97" cm="1">
        <f t="array" ref="B197">'Question_Bank'!B189</f>
        <v>8-12</v>
      </c>
      <c r="C197" t="str" s="97" cm="1">
        <f t="array" ref="C197">'Question_Bank'!C189</f>
        <v>Big Five Personality</v>
      </c>
      <c r="D197" t="str" s="97" cm="1">
        <f t="array" ref="D197">'Question_Bank'!D189</f>
        <v>Agreeableness</v>
      </c>
      <c r="E197" t="str" s="97" cm="1">
        <f t="array" ref="E197">'Question_Bank'!E189</f>
        <v>Agreeableness</v>
      </c>
      <c r="F197" t="str" s="97" cm="1">
        <f t="array" ref="F197">'Question_Bank'!F189</f>
        <v>Likert</v>
      </c>
      <c r="G197" t="str" s="97" cm="1">
        <f t="array" ref="G197">'Question_Bank'!G189</f>
        <v>I find it hard to forgive mistakes.</v>
      </c>
      <c r="H197" s="131" cm="1">
        <f t="array" ref="H197">'Question_Bank'!H189</f>
        <v>0</v>
      </c>
      <c r="I197" s="131" cm="1">
        <f t="array" ref="I197">'Question_Bank'!I189</f>
        <v>0</v>
      </c>
      <c r="J197" s="131" cm="1">
        <f t="array" ref="J197">'Question_Bank'!J189</f>
        <v>0</v>
      </c>
      <c r="K197" s="131" cm="1">
        <f t="array" ref="K197">'Question_Bank'!K189</f>
        <v>0</v>
      </c>
      <c r="L197" s="131" cm="1">
        <f t="array" ref="L197">'Question_Bank'!L189</f>
        <v>0</v>
      </c>
      <c r="M197" s="132"/>
      <c r="N197" t="str" s="97" cm="1">
        <f t="array" ref="N197">IF(M197="","",IF(F197="MCQ",IF(UPPER(M197)=UPPER(L197),1,0),IF(O197="Yes",6-VALUE(M197),VALUE(M197))))</f>
      </c>
      <c r="O197" t="str" s="97" cm="1">
        <f t="array" ref="O197">'Question_Bank'!N189</f>
        <v>Yes</v>
      </c>
      <c r="P197" s="133" cm="1">
        <f t="array" ref="P197">IF(F197="MCQ",1,5)</f>
        <v>5</v>
      </c>
    </row>
    <row r="198" ht="42" customHeight="1">
      <c r="A198" t="str" s="130" cm="1">
        <f t="array" ref="A198">'Question_Bank'!A190</f>
        <v>NPI0186</v>
      </c>
      <c r="B198" t="str" s="97" cm="1">
        <f t="array" ref="B198">'Question_Bank'!B190</f>
        <v>8-12</v>
      </c>
      <c r="C198" t="str" s="97" cm="1">
        <f t="array" ref="C198">'Question_Bank'!C190</f>
        <v>Big Five Personality</v>
      </c>
      <c r="D198" t="str" s="97" cm="1">
        <f t="array" ref="D198">'Question_Bank'!D190</f>
        <v>Agreeableness</v>
      </c>
      <c r="E198" t="str" s="97" cm="1">
        <f t="array" ref="E198">'Question_Bank'!E190</f>
        <v>Agreeableness</v>
      </c>
      <c r="F198" t="str" s="97" cm="1">
        <f t="array" ref="F198">'Question_Bank'!F190</f>
        <v>Likert</v>
      </c>
      <c r="G198" t="str" s="97" cm="1">
        <f t="array" ref="G198">'Question_Bank'!G190</f>
        <v>I compete even when cooperation would help.</v>
      </c>
      <c r="H198" s="131" cm="1">
        <f t="array" ref="H198">'Question_Bank'!H190</f>
        <v>0</v>
      </c>
      <c r="I198" s="131" cm="1">
        <f t="array" ref="I198">'Question_Bank'!I190</f>
        <v>0</v>
      </c>
      <c r="J198" s="131" cm="1">
        <f t="array" ref="J198">'Question_Bank'!J190</f>
        <v>0</v>
      </c>
      <c r="K198" s="131" cm="1">
        <f t="array" ref="K198">'Question_Bank'!K190</f>
        <v>0</v>
      </c>
      <c r="L198" s="131" cm="1">
        <f t="array" ref="L198">'Question_Bank'!L190</f>
        <v>0</v>
      </c>
      <c r="M198" s="132"/>
      <c r="N198" t="str" s="97" cm="1">
        <f t="array" ref="N198">IF(M198="","",IF(F198="MCQ",IF(UPPER(M198)=UPPER(L198),1,0),IF(O198="Yes",6-VALUE(M198),VALUE(M198))))</f>
      </c>
      <c r="O198" t="str" s="97" cm="1">
        <f t="array" ref="O198">'Question_Bank'!N190</f>
        <v>Yes</v>
      </c>
      <c r="P198" s="133" cm="1">
        <f t="array" ref="P198">IF(F198="MCQ",1,5)</f>
        <v>5</v>
      </c>
    </row>
    <row r="199" ht="42" customHeight="1">
      <c r="A199" t="str" s="130" cm="1">
        <f t="array" ref="A199">'Question_Bank'!A191</f>
        <v>NPI0187</v>
      </c>
      <c r="B199" t="str" s="97" cm="1">
        <f t="array" ref="B199">'Question_Bank'!B191</f>
        <v>8-12</v>
      </c>
      <c r="C199" t="str" s="97" cm="1">
        <f t="array" ref="C199">'Question_Bank'!C191</f>
        <v>Big Five Personality</v>
      </c>
      <c r="D199" t="str" s="97" cm="1">
        <f t="array" ref="D199">'Question_Bank'!D191</f>
        <v>Agreeableness</v>
      </c>
      <c r="E199" t="str" s="97" cm="1">
        <f t="array" ref="E199">'Question_Bank'!E191</f>
        <v>Agreeableness</v>
      </c>
      <c r="F199" t="str" s="97" cm="1">
        <f t="array" ref="F199">'Question_Bank'!F191</f>
        <v>Likert</v>
      </c>
      <c r="G199" t="str" s="97" cm="1">
        <f t="array" ref="G199">'Question_Bank'!G191</f>
        <v>I ignore others’ feelings when focused on winning.</v>
      </c>
      <c r="H199" s="131" cm="1">
        <f t="array" ref="H199">'Question_Bank'!H191</f>
        <v>0</v>
      </c>
      <c r="I199" s="131" cm="1">
        <f t="array" ref="I199">'Question_Bank'!I191</f>
        <v>0</v>
      </c>
      <c r="J199" s="131" cm="1">
        <f t="array" ref="J199">'Question_Bank'!J191</f>
        <v>0</v>
      </c>
      <c r="K199" s="131" cm="1">
        <f t="array" ref="K199">'Question_Bank'!K191</f>
        <v>0</v>
      </c>
      <c r="L199" s="131" cm="1">
        <f t="array" ref="L199">'Question_Bank'!L191</f>
        <v>0</v>
      </c>
      <c r="M199" s="132"/>
      <c r="N199" t="str" s="97" cm="1">
        <f t="array" ref="N199">IF(M199="","",IF(F199="MCQ",IF(UPPER(M199)=UPPER(L199),1,0),IF(O199="Yes",6-VALUE(M199),VALUE(M199))))</f>
      </c>
      <c r="O199" t="str" s="97" cm="1">
        <f t="array" ref="O199">'Question_Bank'!N191</f>
        <v>Yes</v>
      </c>
      <c r="P199" s="133" cm="1">
        <f t="array" ref="P199">IF(F199="MCQ",1,5)</f>
        <v>5</v>
      </c>
    </row>
    <row r="200" ht="42" customHeight="1">
      <c r="A200" t="str" s="130" cm="1">
        <f t="array" ref="A200">'Question_Bank'!A192</f>
        <v>NPI0188</v>
      </c>
      <c r="B200" t="str" s="97" cm="1">
        <f t="array" ref="B200">'Question_Bank'!B192</f>
        <v>8-12</v>
      </c>
      <c r="C200" t="str" s="97" cm="1">
        <f t="array" ref="C200">'Question_Bank'!C192</f>
        <v>Big Five Personality</v>
      </c>
      <c r="D200" t="str" s="97" cm="1">
        <f t="array" ref="D200">'Question_Bank'!D192</f>
        <v>Agreeableness</v>
      </c>
      <c r="E200" t="str" s="97" cm="1">
        <f t="array" ref="E200">'Question_Bank'!E192</f>
        <v>Agreeableness</v>
      </c>
      <c r="F200" t="str" s="97" cm="1">
        <f t="array" ref="F200">'Question_Bank'!F192</f>
        <v>Likert</v>
      </c>
      <c r="G200" t="str" s="97" cm="1">
        <f t="array" ref="G200">'Question_Bank'!G192</f>
        <v>I speak harshly when frustrated.</v>
      </c>
      <c r="H200" s="131" cm="1">
        <f t="array" ref="H200">'Question_Bank'!H192</f>
        <v>0</v>
      </c>
      <c r="I200" s="131" cm="1">
        <f t="array" ref="I200">'Question_Bank'!I192</f>
        <v>0</v>
      </c>
      <c r="J200" s="131" cm="1">
        <f t="array" ref="J200">'Question_Bank'!J192</f>
        <v>0</v>
      </c>
      <c r="K200" s="131" cm="1">
        <f t="array" ref="K200">'Question_Bank'!K192</f>
        <v>0</v>
      </c>
      <c r="L200" s="131" cm="1">
        <f t="array" ref="L200">'Question_Bank'!L192</f>
        <v>0</v>
      </c>
      <c r="M200" s="132"/>
      <c r="N200" t="str" s="97" cm="1">
        <f t="array" ref="N200">IF(M200="","",IF(F200="MCQ",IF(UPPER(M200)=UPPER(L200),1,0),IF(O200="Yes",6-VALUE(M200),VALUE(M200))))</f>
      </c>
      <c r="O200" t="str" s="97" cm="1">
        <f t="array" ref="O200">'Question_Bank'!N192</f>
        <v>Yes</v>
      </c>
      <c r="P200" s="133" cm="1">
        <f t="array" ref="P200">IF(F200="MCQ",1,5)</f>
        <v>5</v>
      </c>
    </row>
    <row r="201" ht="42" customHeight="1">
      <c r="A201" t="str" s="130" cm="1">
        <f t="array" ref="A201">'Question_Bank'!A193</f>
        <v>NPI0189</v>
      </c>
      <c r="B201" t="str" s="97" cm="1">
        <f t="array" ref="B201">'Question_Bank'!B193</f>
        <v>8-12</v>
      </c>
      <c r="C201" t="str" s="97" cm="1">
        <f t="array" ref="C201">'Question_Bank'!C193</f>
        <v>Big Five Personality</v>
      </c>
      <c r="D201" t="str" s="97" cm="1">
        <f t="array" ref="D201">'Question_Bank'!D193</f>
        <v>Agreeableness</v>
      </c>
      <c r="E201" t="str" s="97" cm="1">
        <f t="array" ref="E201">'Question_Bank'!E193</f>
        <v>Agreeableness</v>
      </c>
      <c r="F201" t="str" s="97" cm="1">
        <f t="array" ref="F201">'Question_Bank'!F193</f>
        <v>Likert</v>
      </c>
      <c r="G201" t="str" s="97" cm="1">
        <f t="array" ref="G201">'Question_Bank'!G193</f>
        <v>I get irritated by emotional support needs.</v>
      </c>
      <c r="H201" s="131" cm="1">
        <f t="array" ref="H201">'Question_Bank'!H193</f>
        <v>0</v>
      </c>
      <c r="I201" s="131" cm="1">
        <f t="array" ref="I201">'Question_Bank'!I193</f>
        <v>0</v>
      </c>
      <c r="J201" s="131" cm="1">
        <f t="array" ref="J201">'Question_Bank'!J193</f>
        <v>0</v>
      </c>
      <c r="K201" s="131" cm="1">
        <f t="array" ref="K201">'Question_Bank'!K193</f>
        <v>0</v>
      </c>
      <c r="L201" s="131" cm="1">
        <f t="array" ref="L201">'Question_Bank'!L193</f>
        <v>0</v>
      </c>
      <c r="M201" s="132"/>
      <c r="N201" t="str" s="97" cm="1">
        <f t="array" ref="N201">IF(M201="","",IF(F201="MCQ",IF(UPPER(M201)=UPPER(L201),1,0),IF(O201="Yes",6-VALUE(M201),VALUE(M201))))</f>
      </c>
      <c r="O201" t="str" s="97" cm="1">
        <f t="array" ref="O201">'Question_Bank'!N193</f>
        <v>Yes</v>
      </c>
      <c r="P201" s="133" cm="1">
        <f t="array" ref="P201">IF(F201="MCQ",1,5)</f>
        <v>5</v>
      </c>
    </row>
    <row r="202" ht="42" customHeight="1">
      <c r="A202" t="str" s="130" cm="1">
        <f t="array" ref="A202">'Question_Bank'!A194</f>
        <v>NPI0190</v>
      </c>
      <c r="B202" t="str" s="97" cm="1">
        <f t="array" ref="B202">'Question_Bank'!B194</f>
        <v>8-12</v>
      </c>
      <c r="C202" t="str" s="97" cm="1">
        <f t="array" ref="C202">'Question_Bank'!C194</f>
        <v>Big Five Personality</v>
      </c>
      <c r="D202" t="str" s="97" cm="1">
        <f t="array" ref="D202">'Question_Bank'!D194</f>
        <v>Agreeableness</v>
      </c>
      <c r="E202" t="str" s="97" cm="1">
        <f t="array" ref="E202">'Question_Bank'!E194</f>
        <v>Agreeableness</v>
      </c>
      <c r="F202" t="str" s="97" cm="1">
        <f t="array" ref="F202">'Question_Bank'!F194</f>
        <v>Likert</v>
      </c>
      <c r="G202" t="str" s="97" cm="1">
        <f t="array" ref="G202">'Question_Bank'!G194</f>
        <v>I struggle to accept feedback.</v>
      </c>
      <c r="H202" s="131" cm="1">
        <f t="array" ref="H202">'Question_Bank'!H194</f>
        <v>0</v>
      </c>
      <c r="I202" s="131" cm="1">
        <f t="array" ref="I202">'Question_Bank'!I194</f>
        <v>0</v>
      </c>
      <c r="J202" s="131" cm="1">
        <f t="array" ref="J202">'Question_Bank'!J194</f>
        <v>0</v>
      </c>
      <c r="K202" s="131" cm="1">
        <f t="array" ref="K202">'Question_Bank'!K194</f>
        <v>0</v>
      </c>
      <c r="L202" s="131" cm="1">
        <f t="array" ref="L202">'Question_Bank'!L194</f>
        <v>0</v>
      </c>
      <c r="M202" s="132"/>
      <c r="N202" t="str" s="97" cm="1">
        <f t="array" ref="N202">IF(M202="","",IF(F202="MCQ",IF(UPPER(M202)=UPPER(L202),1,0),IF(O202="Yes",6-VALUE(M202),VALUE(M202))))</f>
      </c>
      <c r="O202" t="str" s="97" cm="1">
        <f t="array" ref="O202">'Question_Bank'!N194</f>
        <v>Yes</v>
      </c>
      <c r="P202" s="133" cm="1">
        <f t="array" ref="P202">IF(F202="MCQ",1,5)</f>
        <v>5</v>
      </c>
    </row>
    <row r="203" ht="42" customHeight="1">
      <c r="A203" t="str" s="130" cm="1">
        <f t="array" ref="A203">'Question_Bank'!A195</f>
        <v>NPI0191</v>
      </c>
      <c r="B203" t="str" s="97" cm="1">
        <f t="array" ref="B203">'Question_Bank'!B195</f>
        <v>8-12</v>
      </c>
      <c r="C203" t="str" s="97" cm="1">
        <f t="array" ref="C203">'Question_Bank'!C195</f>
        <v>Big Five Personality</v>
      </c>
      <c r="D203" t="str" s="97" cm="1">
        <f t="array" ref="D203">'Question_Bank'!D195</f>
        <v>Neuroticism</v>
      </c>
      <c r="E203" t="str" s="97" cm="1">
        <f t="array" ref="E203">'Question_Bank'!E195</f>
        <v>Neuroticism</v>
      </c>
      <c r="F203" t="str" s="97" cm="1">
        <f t="array" ref="F203">'Question_Bank'!F195</f>
        <v>Likert</v>
      </c>
      <c r="G203" t="str" s="97" cm="1">
        <f t="array" ref="G203">'Question_Bank'!G195</f>
        <v>I feel worried before exams.</v>
      </c>
      <c r="H203" s="131" cm="1">
        <f t="array" ref="H203">'Question_Bank'!H195</f>
        <v>0</v>
      </c>
      <c r="I203" s="131" cm="1">
        <f t="array" ref="I203">'Question_Bank'!I195</f>
        <v>0</v>
      </c>
      <c r="J203" s="131" cm="1">
        <f t="array" ref="J203">'Question_Bank'!J195</f>
        <v>0</v>
      </c>
      <c r="K203" s="131" cm="1">
        <f t="array" ref="K203">'Question_Bank'!K195</f>
        <v>0</v>
      </c>
      <c r="L203" s="131" cm="1">
        <f t="array" ref="L203">'Question_Bank'!L195</f>
        <v>0</v>
      </c>
      <c r="M203" s="132"/>
      <c r="N203" t="str" s="97" cm="1">
        <f t="array" ref="N203">IF(M203="","",IF(F203="MCQ",IF(UPPER(M203)=UPPER(L203),1,0),IF(O203="Yes",6-VALUE(M203),VALUE(M203))))</f>
      </c>
      <c r="O203" t="str" s="97" cm="1">
        <f t="array" ref="O203">'Question_Bank'!N195</f>
        <v>No</v>
      </c>
      <c r="P203" s="133" cm="1">
        <f t="array" ref="P203">IF(F203="MCQ",1,5)</f>
        <v>5</v>
      </c>
    </row>
    <row r="204" ht="42" customHeight="1">
      <c r="A204" t="str" s="130" cm="1">
        <f t="array" ref="A204">'Question_Bank'!A196</f>
        <v>NPI0192</v>
      </c>
      <c r="B204" t="str" s="97" cm="1">
        <f t="array" ref="B204">'Question_Bank'!B196</f>
        <v>8-12</v>
      </c>
      <c r="C204" t="str" s="97" cm="1">
        <f t="array" ref="C204">'Question_Bank'!C196</f>
        <v>Big Five Personality</v>
      </c>
      <c r="D204" t="str" s="97" cm="1">
        <f t="array" ref="D204">'Question_Bank'!D196</f>
        <v>Neuroticism</v>
      </c>
      <c r="E204" t="str" s="97" cm="1">
        <f t="array" ref="E204">'Question_Bank'!E196</f>
        <v>Neuroticism</v>
      </c>
      <c r="F204" t="str" s="97" cm="1">
        <f t="array" ref="F204">'Question_Bank'!F196</f>
        <v>Likert</v>
      </c>
      <c r="G204" t="str" s="97" cm="1">
        <f t="array" ref="G204">'Question_Bank'!G196</f>
        <v>I get upset when I make mistakes.</v>
      </c>
      <c r="H204" s="131" cm="1">
        <f t="array" ref="H204">'Question_Bank'!H196</f>
        <v>0</v>
      </c>
      <c r="I204" s="131" cm="1">
        <f t="array" ref="I204">'Question_Bank'!I196</f>
        <v>0</v>
      </c>
      <c r="J204" s="131" cm="1">
        <f t="array" ref="J204">'Question_Bank'!J196</f>
        <v>0</v>
      </c>
      <c r="K204" s="131" cm="1">
        <f t="array" ref="K204">'Question_Bank'!K196</f>
        <v>0</v>
      </c>
      <c r="L204" s="131" cm="1">
        <f t="array" ref="L204">'Question_Bank'!L196</f>
        <v>0</v>
      </c>
      <c r="M204" s="132"/>
      <c r="N204" t="str" s="97" cm="1">
        <f t="array" ref="N204">IF(M204="","",IF(F204="MCQ",IF(UPPER(M204)=UPPER(L204),1,0),IF(O204="Yes",6-VALUE(M204),VALUE(M204))))</f>
      </c>
      <c r="O204" t="str" s="97" cm="1">
        <f t="array" ref="O204">'Question_Bank'!N196</f>
        <v>No</v>
      </c>
      <c r="P204" s="133" cm="1">
        <f t="array" ref="P204">IF(F204="MCQ",1,5)</f>
        <v>5</v>
      </c>
    </row>
    <row r="205" ht="42" customHeight="1">
      <c r="A205" t="str" s="130" cm="1">
        <f t="array" ref="A205">'Question_Bank'!A197</f>
        <v>NPI0193</v>
      </c>
      <c r="B205" t="str" s="97" cm="1">
        <f t="array" ref="B205">'Question_Bank'!B197</f>
        <v>8-12</v>
      </c>
      <c r="C205" t="str" s="97" cm="1">
        <f t="array" ref="C205">'Question_Bank'!C197</f>
        <v>Big Five Personality</v>
      </c>
      <c r="D205" t="str" s="97" cm="1">
        <f t="array" ref="D205">'Question_Bank'!D197</f>
        <v>Neuroticism</v>
      </c>
      <c r="E205" t="str" s="97" cm="1">
        <f t="array" ref="E205">'Question_Bank'!E197</f>
        <v>Neuroticism</v>
      </c>
      <c r="F205" t="str" s="97" cm="1">
        <f t="array" ref="F205">'Question_Bank'!F197</f>
        <v>Likert</v>
      </c>
      <c r="G205" t="str" s="97" cm="1">
        <f t="array" ref="G205">'Question_Bank'!G197</f>
        <v>I feel pressure when people expect a lot.</v>
      </c>
      <c r="H205" s="131" cm="1">
        <f t="array" ref="H205">'Question_Bank'!H197</f>
        <v>0</v>
      </c>
      <c r="I205" s="131" cm="1">
        <f t="array" ref="I205">'Question_Bank'!I197</f>
        <v>0</v>
      </c>
      <c r="J205" s="131" cm="1">
        <f t="array" ref="J205">'Question_Bank'!J197</f>
        <v>0</v>
      </c>
      <c r="K205" s="131" cm="1">
        <f t="array" ref="K205">'Question_Bank'!K197</f>
        <v>0</v>
      </c>
      <c r="L205" s="131" cm="1">
        <f t="array" ref="L205">'Question_Bank'!L197</f>
        <v>0</v>
      </c>
      <c r="M205" s="132"/>
      <c r="N205" t="str" s="97" cm="1">
        <f t="array" ref="N205">IF(M205="","",IF(F205="MCQ",IF(UPPER(M205)=UPPER(L205),1,0),IF(O205="Yes",6-VALUE(M205),VALUE(M205))))</f>
      </c>
      <c r="O205" t="str" s="97" cm="1">
        <f t="array" ref="O205">'Question_Bank'!N197</f>
        <v>No</v>
      </c>
      <c r="P205" s="133" cm="1">
        <f t="array" ref="P205">IF(F205="MCQ",1,5)</f>
        <v>5</v>
      </c>
    </row>
    <row r="206" ht="42" customHeight="1">
      <c r="A206" t="str" s="130" cm="1">
        <f t="array" ref="A206">'Question_Bank'!A198</f>
        <v>NPI0194</v>
      </c>
      <c r="B206" t="str" s="97" cm="1">
        <f t="array" ref="B206">'Question_Bank'!B198</f>
        <v>8-12</v>
      </c>
      <c r="C206" t="str" s="97" cm="1">
        <f t="array" ref="C206">'Question_Bank'!C198</f>
        <v>Big Five Personality</v>
      </c>
      <c r="D206" t="str" s="97" cm="1">
        <f t="array" ref="D206">'Question_Bank'!D198</f>
        <v>Neuroticism</v>
      </c>
      <c r="E206" t="str" s="97" cm="1">
        <f t="array" ref="E206">'Question_Bank'!E198</f>
        <v>Neuroticism</v>
      </c>
      <c r="F206" t="str" s="97" cm="1">
        <f t="array" ref="F206">'Question_Bank'!F198</f>
        <v>Likert</v>
      </c>
      <c r="G206" t="str" s="97" cm="1">
        <f t="array" ref="G206">'Question_Bank'!G198</f>
        <v>I overthink my performance.</v>
      </c>
      <c r="H206" s="131" cm="1">
        <f t="array" ref="H206">'Question_Bank'!H198</f>
        <v>0</v>
      </c>
      <c r="I206" s="131" cm="1">
        <f t="array" ref="I206">'Question_Bank'!I198</f>
        <v>0</v>
      </c>
      <c r="J206" s="131" cm="1">
        <f t="array" ref="J206">'Question_Bank'!J198</f>
        <v>0</v>
      </c>
      <c r="K206" s="131" cm="1">
        <f t="array" ref="K206">'Question_Bank'!K198</f>
        <v>0</v>
      </c>
      <c r="L206" s="131" cm="1">
        <f t="array" ref="L206">'Question_Bank'!L198</f>
        <v>0</v>
      </c>
      <c r="M206" s="132"/>
      <c r="N206" t="str" s="97" cm="1">
        <f t="array" ref="N206">IF(M206="","",IF(F206="MCQ",IF(UPPER(M206)=UPPER(L206),1,0),IF(O206="Yes",6-VALUE(M206),VALUE(M206))))</f>
      </c>
      <c r="O206" t="str" s="97" cm="1">
        <f t="array" ref="O206">'Question_Bank'!N198</f>
        <v>No</v>
      </c>
      <c r="P206" s="133" cm="1">
        <f t="array" ref="P206">IF(F206="MCQ",1,5)</f>
        <v>5</v>
      </c>
    </row>
    <row r="207" ht="42" customHeight="1">
      <c r="A207" t="str" s="130" cm="1">
        <f t="array" ref="A207">'Question_Bank'!A199</f>
        <v>NPI0195</v>
      </c>
      <c r="B207" t="str" s="97" cm="1">
        <f t="array" ref="B207">'Question_Bank'!B199</f>
        <v>8-12</v>
      </c>
      <c r="C207" t="str" s="97" cm="1">
        <f t="array" ref="C207">'Question_Bank'!C199</f>
        <v>Big Five Personality</v>
      </c>
      <c r="D207" t="str" s="97" cm="1">
        <f t="array" ref="D207">'Question_Bank'!D199</f>
        <v>Neuroticism</v>
      </c>
      <c r="E207" t="str" s="97" cm="1">
        <f t="array" ref="E207">'Question_Bank'!E199</f>
        <v>Neuroticism</v>
      </c>
      <c r="F207" t="str" s="97" cm="1">
        <f t="array" ref="F207">'Question_Bank'!F199</f>
        <v>Likert</v>
      </c>
      <c r="G207" t="str" s="97" cm="1">
        <f t="array" ref="G207">'Question_Bank'!G199</f>
        <v>I feel nervous with too many tasks.</v>
      </c>
      <c r="H207" s="131" cm="1">
        <f t="array" ref="H207">'Question_Bank'!H199</f>
        <v>0</v>
      </c>
      <c r="I207" s="131" cm="1">
        <f t="array" ref="I207">'Question_Bank'!I199</f>
        <v>0</v>
      </c>
      <c r="J207" s="131" cm="1">
        <f t="array" ref="J207">'Question_Bank'!J199</f>
        <v>0</v>
      </c>
      <c r="K207" s="131" cm="1">
        <f t="array" ref="K207">'Question_Bank'!K199</f>
        <v>0</v>
      </c>
      <c r="L207" s="131" cm="1">
        <f t="array" ref="L207">'Question_Bank'!L199</f>
        <v>0</v>
      </c>
      <c r="M207" s="132"/>
      <c r="N207" t="str" s="97" cm="1">
        <f t="array" ref="N207">IF(M207="","",IF(F207="MCQ",IF(UPPER(M207)=UPPER(L207),1,0),IF(O207="Yes",6-VALUE(M207),VALUE(M207))))</f>
      </c>
      <c r="O207" t="str" s="97" cm="1">
        <f t="array" ref="O207">'Question_Bank'!N199</f>
        <v>No</v>
      </c>
      <c r="P207" s="133" cm="1">
        <f t="array" ref="P207">IF(F207="MCQ",1,5)</f>
        <v>5</v>
      </c>
    </row>
    <row r="208" ht="42" customHeight="1">
      <c r="A208" t="str" s="130" cm="1">
        <f t="array" ref="A208">'Question_Bank'!A200</f>
        <v>NPI0196</v>
      </c>
      <c r="B208" t="str" s="97" cm="1">
        <f t="array" ref="B208">'Question_Bank'!B200</f>
        <v>8-12</v>
      </c>
      <c r="C208" t="str" s="97" cm="1">
        <f t="array" ref="C208">'Question_Bank'!C200</f>
        <v>Big Five Personality</v>
      </c>
      <c r="D208" t="str" s="97" cm="1">
        <f t="array" ref="D208">'Question_Bank'!D200</f>
        <v>Neuroticism</v>
      </c>
      <c r="E208" t="str" s="97" cm="1">
        <f t="array" ref="E208">'Question_Bank'!E200</f>
        <v>Neuroticism</v>
      </c>
      <c r="F208" t="str" s="97" cm="1">
        <f t="array" ref="F208">'Question_Bank'!F200</f>
        <v>Likert</v>
      </c>
      <c r="G208" t="str" s="97" cm="1">
        <f t="array" ref="G208">'Question_Bank'!G200</f>
        <v>I worry about disappointing others.</v>
      </c>
      <c r="H208" s="131" cm="1">
        <f t="array" ref="H208">'Question_Bank'!H200</f>
        <v>0</v>
      </c>
      <c r="I208" s="131" cm="1">
        <f t="array" ref="I208">'Question_Bank'!I200</f>
        <v>0</v>
      </c>
      <c r="J208" s="131" cm="1">
        <f t="array" ref="J208">'Question_Bank'!J200</f>
        <v>0</v>
      </c>
      <c r="K208" s="131" cm="1">
        <f t="array" ref="K208">'Question_Bank'!K200</f>
        <v>0</v>
      </c>
      <c r="L208" s="131" cm="1">
        <f t="array" ref="L208">'Question_Bank'!L200</f>
        <v>0</v>
      </c>
      <c r="M208" s="132"/>
      <c r="N208" t="str" s="97" cm="1">
        <f t="array" ref="N208">IF(M208="","",IF(F208="MCQ",IF(UPPER(M208)=UPPER(L208),1,0),IF(O208="Yes",6-VALUE(M208),VALUE(M208))))</f>
      </c>
      <c r="O208" t="str" s="97" cm="1">
        <f t="array" ref="O208">'Question_Bank'!N200</f>
        <v>No</v>
      </c>
      <c r="P208" s="133" cm="1">
        <f t="array" ref="P208">IF(F208="MCQ",1,5)</f>
        <v>5</v>
      </c>
    </row>
    <row r="209" ht="42" customHeight="1">
      <c r="A209" t="str" s="130" cm="1">
        <f t="array" ref="A209">'Question_Bank'!A201</f>
        <v>NPI0197</v>
      </c>
      <c r="B209" t="str" s="97" cm="1">
        <f t="array" ref="B209">'Question_Bank'!B201</f>
        <v>8-12</v>
      </c>
      <c r="C209" t="str" s="97" cm="1">
        <f t="array" ref="C209">'Question_Bank'!C201</f>
        <v>Big Five Personality</v>
      </c>
      <c r="D209" t="str" s="97" cm="1">
        <f t="array" ref="D209">'Question_Bank'!D201</f>
        <v>Neuroticism</v>
      </c>
      <c r="E209" t="str" s="97" cm="1">
        <f t="array" ref="E209">'Question_Bank'!E201</f>
        <v>Neuroticism</v>
      </c>
      <c r="F209" t="str" s="97" cm="1">
        <f t="array" ref="F209">'Question_Bank'!F201</f>
        <v>Likert</v>
      </c>
      <c r="G209" t="str" s="97" cm="1">
        <f t="array" ref="G209">'Question_Bank'!G201</f>
        <v>I feel emotionally overwhelmed sometimes.</v>
      </c>
      <c r="H209" s="131" cm="1">
        <f t="array" ref="H209">'Question_Bank'!H201</f>
        <v>0</v>
      </c>
      <c r="I209" s="131" cm="1">
        <f t="array" ref="I209">'Question_Bank'!I201</f>
        <v>0</v>
      </c>
      <c r="J209" s="131" cm="1">
        <f t="array" ref="J209">'Question_Bank'!J201</f>
        <v>0</v>
      </c>
      <c r="K209" s="131" cm="1">
        <f t="array" ref="K209">'Question_Bank'!K201</f>
        <v>0</v>
      </c>
      <c r="L209" s="131" cm="1">
        <f t="array" ref="L209">'Question_Bank'!L201</f>
        <v>0</v>
      </c>
      <c r="M209" s="132"/>
      <c r="N209" t="str" s="97" cm="1">
        <f t="array" ref="N209">IF(M209="","",IF(F209="MCQ",IF(UPPER(M209)=UPPER(L209),1,0),IF(O209="Yes",6-VALUE(M209),VALUE(M209))))</f>
      </c>
      <c r="O209" t="str" s="97" cm="1">
        <f t="array" ref="O209">'Question_Bank'!N201</f>
        <v>No</v>
      </c>
      <c r="P209" s="133" cm="1">
        <f t="array" ref="P209">IF(F209="MCQ",1,5)</f>
        <v>5</v>
      </c>
    </row>
    <row r="210" ht="42" customHeight="1">
      <c r="A210" t="str" s="130" cm="1">
        <f t="array" ref="A210">'Question_Bank'!A202</f>
        <v>NPI0198</v>
      </c>
      <c r="B210" t="str" s="97" cm="1">
        <f t="array" ref="B210">'Question_Bank'!B202</f>
        <v>8-12</v>
      </c>
      <c r="C210" t="str" s="97" cm="1">
        <f t="array" ref="C210">'Question_Bank'!C202</f>
        <v>Big Five Personality</v>
      </c>
      <c r="D210" t="str" s="97" cm="1">
        <f t="array" ref="D210">'Question_Bank'!D202</f>
        <v>Neuroticism</v>
      </c>
      <c r="E210" t="str" s="97" cm="1">
        <f t="array" ref="E210">'Question_Bank'!E202</f>
        <v>Neuroticism</v>
      </c>
      <c r="F210" t="str" s="97" cm="1">
        <f t="array" ref="F210">'Question_Bank'!F202</f>
        <v>Likert</v>
      </c>
      <c r="G210" t="str" s="97" cm="1">
        <f t="array" ref="G210">'Question_Bank'!G202</f>
        <v>I become anxious when I do not understand quickly.</v>
      </c>
      <c r="H210" s="131" cm="1">
        <f t="array" ref="H210">'Question_Bank'!H202</f>
        <v>0</v>
      </c>
      <c r="I210" s="131" cm="1">
        <f t="array" ref="I210">'Question_Bank'!I202</f>
        <v>0</v>
      </c>
      <c r="J210" s="131" cm="1">
        <f t="array" ref="J210">'Question_Bank'!J202</f>
        <v>0</v>
      </c>
      <c r="K210" s="131" cm="1">
        <f t="array" ref="K210">'Question_Bank'!K202</f>
        <v>0</v>
      </c>
      <c r="L210" s="131" cm="1">
        <f t="array" ref="L210">'Question_Bank'!L202</f>
        <v>0</v>
      </c>
      <c r="M210" s="132"/>
      <c r="N210" t="str" s="97" cm="1">
        <f t="array" ref="N210">IF(M210="","",IF(F210="MCQ",IF(UPPER(M210)=UPPER(L210),1,0),IF(O210="Yes",6-VALUE(M210),VALUE(M210))))</f>
      </c>
      <c r="O210" t="str" s="97" cm="1">
        <f t="array" ref="O210">'Question_Bank'!N202</f>
        <v>No</v>
      </c>
      <c r="P210" s="133" cm="1">
        <f t="array" ref="P210">IF(F210="MCQ",1,5)</f>
        <v>5</v>
      </c>
    </row>
    <row r="211" ht="42" customHeight="1">
      <c r="A211" t="str" s="130" cm="1">
        <f t="array" ref="A211">'Question_Bank'!A203</f>
        <v>NPI0199</v>
      </c>
      <c r="B211" t="str" s="97" cm="1">
        <f t="array" ref="B211">'Question_Bank'!B203</f>
        <v>8-12</v>
      </c>
      <c r="C211" t="str" s="97" cm="1">
        <f t="array" ref="C211">'Question_Bank'!C203</f>
        <v>Big Five Personality</v>
      </c>
      <c r="D211" t="str" s="97" cm="1">
        <f t="array" ref="D211">'Question_Bank'!D203</f>
        <v>Neuroticism</v>
      </c>
      <c r="E211" t="str" s="97" cm="1">
        <f t="array" ref="E211">'Question_Bank'!E203</f>
        <v>Neuroticism</v>
      </c>
      <c r="F211" t="str" s="97" cm="1">
        <f t="array" ref="F211">'Question_Bank'!F203</f>
        <v>Likert</v>
      </c>
      <c r="G211" t="str" s="97" cm="1">
        <f t="array" ref="G211">'Question_Bank'!G203</f>
        <v>I sleep poorly before major tests.</v>
      </c>
      <c r="H211" s="131" cm="1">
        <f t="array" ref="H211">'Question_Bank'!H203</f>
        <v>0</v>
      </c>
      <c r="I211" s="131" cm="1">
        <f t="array" ref="I211">'Question_Bank'!I203</f>
        <v>0</v>
      </c>
      <c r="J211" s="131" cm="1">
        <f t="array" ref="J211">'Question_Bank'!J203</f>
        <v>0</v>
      </c>
      <c r="K211" s="131" cm="1">
        <f t="array" ref="K211">'Question_Bank'!K203</f>
        <v>0</v>
      </c>
      <c r="L211" s="131" cm="1">
        <f t="array" ref="L211">'Question_Bank'!L203</f>
        <v>0</v>
      </c>
      <c r="M211" s="132"/>
      <c r="N211" t="str" s="97" cm="1">
        <f t="array" ref="N211">IF(M211="","",IF(F211="MCQ",IF(UPPER(M211)=UPPER(L211),1,0),IF(O211="Yes",6-VALUE(M211),VALUE(M211))))</f>
      </c>
      <c r="O211" t="str" s="97" cm="1">
        <f t="array" ref="O211">'Question_Bank'!N203</f>
        <v>No</v>
      </c>
      <c r="P211" s="133" cm="1">
        <f t="array" ref="P211">IF(F211="MCQ",1,5)</f>
        <v>5</v>
      </c>
    </row>
    <row r="212" ht="42" customHeight="1">
      <c r="A212" t="str" s="130" cm="1">
        <f t="array" ref="A212">'Question_Bank'!A204</f>
        <v>NPI0200</v>
      </c>
      <c r="B212" t="str" s="97" cm="1">
        <f t="array" ref="B212">'Question_Bank'!B204</f>
        <v>8-12</v>
      </c>
      <c r="C212" t="str" s="97" cm="1">
        <f t="array" ref="C212">'Question_Bank'!C204</f>
        <v>Big Five Personality</v>
      </c>
      <c r="D212" t="str" s="97" cm="1">
        <f t="array" ref="D212">'Question_Bank'!D204</f>
        <v>Neuroticism</v>
      </c>
      <c r="E212" t="str" s="97" cm="1">
        <f t="array" ref="E212">'Question_Bank'!E204</f>
        <v>Neuroticism</v>
      </c>
      <c r="F212" t="str" s="97" cm="1">
        <f t="array" ref="F212">'Question_Bank'!F204</f>
        <v>Likert</v>
      </c>
      <c r="G212" t="str" s="97" cm="1">
        <f t="array" ref="G212">'Question_Bank'!G204</f>
        <v>I feel tense when comparing myself to others.</v>
      </c>
      <c r="H212" s="131" cm="1">
        <f t="array" ref="H212">'Question_Bank'!H204</f>
        <v>0</v>
      </c>
      <c r="I212" s="131" cm="1">
        <f t="array" ref="I212">'Question_Bank'!I204</f>
        <v>0</v>
      </c>
      <c r="J212" s="131" cm="1">
        <f t="array" ref="J212">'Question_Bank'!J204</f>
        <v>0</v>
      </c>
      <c r="K212" s="131" cm="1">
        <f t="array" ref="K212">'Question_Bank'!K204</f>
        <v>0</v>
      </c>
      <c r="L212" s="131" cm="1">
        <f t="array" ref="L212">'Question_Bank'!L204</f>
        <v>0</v>
      </c>
      <c r="M212" s="132"/>
      <c r="N212" t="str" s="97" cm="1">
        <f t="array" ref="N212">IF(M212="","",IF(F212="MCQ",IF(UPPER(M212)=UPPER(L212),1,0),IF(O212="Yes",6-VALUE(M212),VALUE(M212))))</f>
      </c>
      <c r="O212" t="str" s="97" cm="1">
        <f t="array" ref="O212">'Question_Bank'!N204</f>
        <v>No</v>
      </c>
      <c r="P212" s="133" cm="1">
        <f t="array" ref="P212">IF(F212="MCQ",1,5)</f>
        <v>5</v>
      </c>
    </row>
    <row r="213" ht="42" customHeight="1">
      <c r="A213" t="str" s="130" cm="1">
        <f t="array" ref="A213">'Question_Bank'!A205</f>
        <v>NPI0201</v>
      </c>
      <c r="B213" t="str" s="97" cm="1">
        <f t="array" ref="B213">'Question_Bank'!B205</f>
        <v>8-12</v>
      </c>
      <c r="C213" t="str" s="97" cm="1">
        <f t="array" ref="C213">'Question_Bank'!C205</f>
        <v>Big Five Personality</v>
      </c>
      <c r="D213" t="str" s="97" cm="1">
        <f t="array" ref="D213">'Question_Bank'!D205</f>
        <v>Neuroticism</v>
      </c>
      <c r="E213" t="str" s="97" cm="1">
        <f t="array" ref="E213">'Question_Bank'!E205</f>
        <v>Neuroticism</v>
      </c>
      <c r="F213" t="str" s="97" cm="1">
        <f t="array" ref="F213">'Question_Bank'!F205</f>
        <v>Likert</v>
      </c>
      <c r="G213" t="str" s="97" cm="1">
        <f t="array" ref="G213">'Question_Bank'!G205</f>
        <v>I fear failure.</v>
      </c>
      <c r="H213" s="131" cm="1">
        <f t="array" ref="H213">'Question_Bank'!H205</f>
        <v>0</v>
      </c>
      <c r="I213" s="131" cm="1">
        <f t="array" ref="I213">'Question_Bank'!I205</f>
        <v>0</v>
      </c>
      <c r="J213" s="131" cm="1">
        <f t="array" ref="J213">'Question_Bank'!J205</f>
        <v>0</v>
      </c>
      <c r="K213" s="131" cm="1">
        <f t="array" ref="K213">'Question_Bank'!K205</f>
        <v>0</v>
      </c>
      <c r="L213" s="131" cm="1">
        <f t="array" ref="L213">'Question_Bank'!L205</f>
        <v>0</v>
      </c>
      <c r="M213" s="132"/>
      <c r="N213" t="str" s="97" cm="1">
        <f t="array" ref="N213">IF(M213="","",IF(F213="MCQ",IF(UPPER(M213)=UPPER(L213),1,0),IF(O213="Yes",6-VALUE(M213),VALUE(M213))))</f>
      </c>
      <c r="O213" t="str" s="97" cm="1">
        <f t="array" ref="O213">'Question_Bank'!N205</f>
        <v>No</v>
      </c>
      <c r="P213" s="133" cm="1">
        <f t="array" ref="P213">IF(F213="MCQ",1,5)</f>
        <v>5</v>
      </c>
    </row>
    <row r="214" ht="42" customHeight="1">
      <c r="A214" t="str" s="130" cm="1">
        <f t="array" ref="A214">'Question_Bank'!A206</f>
        <v>NPI0202</v>
      </c>
      <c r="B214" t="str" s="97" cm="1">
        <f t="array" ref="B214">'Question_Bank'!B206</f>
        <v>8-12</v>
      </c>
      <c r="C214" t="str" s="97" cm="1">
        <f t="array" ref="C214">'Question_Bank'!C206</f>
        <v>Big Five Personality</v>
      </c>
      <c r="D214" t="str" s="97" cm="1">
        <f t="array" ref="D214">'Question_Bank'!D206</f>
        <v>Neuroticism</v>
      </c>
      <c r="E214" t="str" s="97" cm="1">
        <f t="array" ref="E214">'Question_Bank'!E206</f>
        <v>Neuroticism</v>
      </c>
      <c r="F214" t="str" s="97" cm="1">
        <f t="array" ref="F214">'Question_Bank'!F206</f>
        <v>Likert</v>
      </c>
      <c r="G214" t="str" s="97" cm="1">
        <f t="array" ref="G214">'Question_Bank'!G206</f>
        <v>I become discouraged easily.</v>
      </c>
      <c r="H214" s="131" cm="1">
        <f t="array" ref="H214">'Question_Bank'!H206</f>
        <v>0</v>
      </c>
      <c r="I214" s="131" cm="1">
        <f t="array" ref="I214">'Question_Bank'!I206</f>
        <v>0</v>
      </c>
      <c r="J214" s="131" cm="1">
        <f t="array" ref="J214">'Question_Bank'!J206</f>
        <v>0</v>
      </c>
      <c r="K214" s="131" cm="1">
        <f t="array" ref="K214">'Question_Bank'!K206</f>
        <v>0</v>
      </c>
      <c r="L214" s="131" cm="1">
        <f t="array" ref="L214">'Question_Bank'!L206</f>
        <v>0</v>
      </c>
      <c r="M214" s="132"/>
      <c r="N214" t="str" s="97" cm="1">
        <f t="array" ref="N214">IF(M214="","",IF(F214="MCQ",IF(UPPER(M214)=UPPER(L214),1,0),IF(O214="Yes",6-VALUE(M214),VALUE(M214))))</f>
      </c>
      <c r="O214" t="str" s="97" cm="1">
        <f t="array" ref="O214">'Question_Bank'!N206</f>
        <v>No</v>
      </c>
      <c r="P214" s="133" cm="1">
        <f t="array" ref="P214">IF(F214="MCQ",1,5)</f>
        <v>5</v>
      </c>
    </row>
    <row r="215" ht="42" customHeight="1">
      <c r="A215" t="str" s="130" cm="1">
        <f t="array" ref="A215">'Question_Bank'!A207</f>
        <v>NPI0203</v>
      </c>
      <c r="B215" t="str" s="97" cm="1">
        <f t="array" ref="B215">'Question_Bank'!B207</f>
        <v>8-12</v>
      </c>
      <c r="C215" t="str" s="97" cm="1">
        <f t="array" ref="C215">'Question_Bank'!C207</f>
        <v>Big Five Personality</v>
      </c>
      <c r="D215" t="str" s="97" cm="1">
        <f t="array" ref="D215">'Question_Bank'!D207</f>
        <v>Neuroticism</v>
      </c>
      <c r="E215" t="str" s="97" cm="1">
        <f t="array" ref="E215">'Question_Bank'!E207</f>
        <v>Neuroticism</v>
      </c>
      <c r="F215" t="str" s="97" cm="1">
        <f t="array" ref="F215">'Question_Bank'!F207</f>
        <v>Likert</v>
      </c>
      <c r="G215" t="str" s="97" cm="1">
        <f t="array" ref="G215">'Question_Bank'!G207</f>
        <v>I feel pressure to be perfect.</v>
      </c>
      <c r="H215" s="131" cm="1">
        <f t="array" ref="H215">'Question_Bank'!H207</f>
        <v>0</v>
      </c>
      <c r="I215" s="131" cm="1">
        <f t="array" ref="I215">'Question_Bank'!I207</f>
        <v>0</v>
      </c>
      <c r="J215" s="131" cm="1">
        <f t="array" ref="J215">'Question_Bank'!J207</f>
        <v>0</v>
      </c>
      <c r="K215" s="131" cm="1">
        <f t="array" ref="K215">'Question_Bank'!K207</f>
        <v>0</v>
      </c>
      <c r="L215" s="131" cm="1">
        <f t="array" ref="L215">'Question_Bank'!L207</f>
        <v>0</v>
      </c>
      <c r="M215" s="132"/>
      <c r="N215" t="str" s="97" cm="1">
        <f t="array" ref="N215">IF(M215="","",IF(F215="MCQ",IF(UPPER(M215)=UPPER(L215),1,0),IF(O215="Yes",6-VALUE(M215),VALUE(M215))))</f>
      </c>
      <c r="O215" t="str" s="97" cm="1">
        <f t="array" ref="O215">'Question_Bank'!N207</f>
        <v>No</v>
      </c>
      <c r="P215" s="133" cm="1">
        <f t="array" ref="P215">IF(F215="MCQ",1,5)</f>
        <v>5</v>
      </c>
    </row>
    <row r="216" ht="42" customHeight="1">
      <c r="A216" t="str" s="130" cm="1">
        <f t="array" ref="A216">'Question_Bank'!A208</f>
        <v>NPI0204</v>
      </c>
      <c r="B216" t="str" s="97" cm="1">
        <f t="array" ref="B216">'Question_Bank'!B208</f>
        <v>8-12</v>
      </c>
      <c r="C216" t="str" s="97" cm="1">
        <f t="array" ref="C216">'Question_Bank'!C208</f>
        <v>Big Five Personality</v>
      </c>
      <c r="D216" t="str" s="97" cm="1">
        <f t="array" ref="D216">'Question_Bank'!D208</f>
        <v>Neuroticism</v>
      </c>
      <c r="E216" t="str" s="97" cm="1">
        <f t="array" ref="E216">'Question_Bank'!E208</f>
        <v>Neuroticism</v>
      </c>
      <c r="F216" t="str" s="97" cm="1">
        <f t="array" ref="F216">'Question_Bank'!F208</f>
        <v>Likert</v>
      </c>
      <c r="G216" t="str" s="97" cm="1">
        <f t="array" ref="G216">'Question_Bank'!G208</f>
        <v>I worry about the future often.</v>
      </c>
      <c r="H216" s="131" cm="1">
        <f t="array" ref="H216">'Question_Bank'!H208</f>
        <v>0</v>
      </c>
      <c r="I216" s="131" cm="1">
        <f t="array" ref="I216">'Question_Bank'!I208</f>
        <v>0</v>
      </c>
      <c r="J216" s="131" cm="1">
        <f t="array" ref="J216">'Question_Bank'!J208</f>
        <v>0</v>
      </c>
      <c r="K216" s="131" cm="1">
        <f t="array" ref="K216">'Question_Bank'!K208</f>
        <v>0</v>
      </c>
      <c r="L216" s="131" cm="1">
        <f t="array" ref="L216">'Question_Bank'!L208</f>
        <v>0</v>
      </c>
      <c r="M216" s="132"/>
      <c r="N216" t="str" s="97" cm="1">
        <f t="array" ref="N216">IF(M216="","",IF(F216="MCQ",IF(UPPER(M216)=UPPER(L216),1,0),IF(O216="Yes",6-VALUE(M216),VALUE(M216))))</f>
      </c>
      <c r="O216" t="str" s="97" cm="1">
        <f t="array" ref="O216">'Question_Bank'!N208</f>
        <v>No</v>
      </c>
      <c r="P216" s="133" cm="1">
        <f t="array" ref="P216">IF(F216="MCQ",1,5)</f>
        <v>5</v>
      </c>
    </row>
    <row r="217" ht="42" customHeight="1">
      <c r="A217" t="str" s="130" cm="1">
        <f t="array" ref="A217">'Question_Bank'!A209</f>
        <v>NPI0205</v>
      </c>
      <c r="B217" t="str" s="97" cm="1">
        <f t="array" ref="B217">'Question_Bank'!B209</f>
        <v>8-12</v>
      </c>
      <c r="C217" t="str" s="97" cm="1">
        <f t="array" ref="C217">'Question_Bank'!C209</f>
        <v>Big Five Personality</v>
      </c>
      <c r="D217" t="str" s="97" cm="1">
        <f t="array" ref="D217">'Question_Bank'!D209</f>
        <v>Neuroticism</v>
      </c>
      <c r="E217" t="str" s="97" cm="1">
        <f t="array" ref="E217">'Question_Bank'!E209</f>
        <v>Neuroticism</v>
      </c>
      <c r="F217" t="str" s="97" cm="1">
        <f t="array" ref="F217">'Question_Bank'!F209</f>
        <v>Likert</v>
      </c>
      <c r="G217" t="str" s="97" cm="1">
        <f t="array" ref="G217">'Question_Bank'!G209</f>
        <v>I become upset when routines change.</v>
      </c>
      <c r="H217" s="131" cm="1">
        <f t="array" ref="H217">'Question_Bank'!H209</f>
        <v>0</v>
      </c>
      <c r="I217" s="131" cm="1">
        <f t="array" ref="I217">'Question_Bank'!I209</f>
        <v>0</v>
      </c>
      <c r="J217" s="131" cm="1">
        <f t="array" ref="J217">'Question_Bank'!J209</f>
        <v>0</v>
      </c>
      <c r="K217" s="131" cm="1">
        <f t="array" ref="K217">'Question_Bank'!K209</f>
        <v>0</v>
      </c>
      <c r="L217" s="131" cm="1">
        <f t="array" ref="L217">'Question_Bank'!L209</f>
        <v>0</v>
      </c>
      <c r="M217" s="132"/>
      <c r="N217" t="str" s="97" cm="1">
        <f t="array" ref="N217">IF(M217="","",IF(F217="MCQ",IF(UPPER(M217)=UPPER(L217),1,0),IF(O217="Yes",6-VALUE(M217),VALUE(M217))))</f>
      </c>
      <c r="O217" t="str" s="97" cm="1">
        <f t="array" ref="O217">'Question_Bank'!N209</f>
        <v>No</v>
      </c>
      <c r="P217" s="133" cm="1">
        <f t="array" ref="P217">IF(F217="MCQ",1,5)</f>
        <v>5</v>
      </c>
    </row>
    <row r="218" ht="42" customHeight="1">
      <c r="A218" t="str" s="130" cm="1">
        <f t="array" ref="A218">'Question_Bank'!A210</f>
        <v>NPI0206</v>
      </c>
      <c r="B218" t="str" s="97" cm="1">
        <f t="array" ref="B218">'Question_Bank'!B210</f>
        <v>8-12</v>
      </c>
      <c r="C218" t="str" s="97" cm="1">
        <f t="array" ref="C218">'Question_Bank'!C210</f>
        <v>Big Five Personality</v>
      </c>
      <c r="D218" t="str" s="97" cm="1">
        <f t="array" ref="D218">'Question_Bank'!D210</f>
        <v>Neuroticism</v>
      </c>
      <c r="E218" t="str" s="97" cm="1">
        <f t="array" ref="E218">'Question_Bank'!E210</f>
        <v>Neuroticism</v>
      </c>
      <c r="F218" t="str" s="97" cm="1">
        <f t="array" ref="F218">'Question_Bank'!F210</f>
        <v>Likert</v>
      </c>
      <c r="G218" t="str" s="97" cm="1">
        <f t="array" ref="G218">'Question_Bank'!G210</f>
        <v>I need reassurance during stressful periods.</v>
      </c>
      <c r="H218" s="131" cm="1">
        <f t="array" ref="H218">'Question_Bank'!H210</f>
        <v>0</v>
      </c>
      <c r="I218" s="131" cm="1">
        <f t="array" ref="I218">'Question_Bank'!I210</f>
        <v>0</v>
      </c>
      <c r="J218" s="131" cm="1">
        <f t="array" ref="J218">'Question_Bank'!J210</f>
        <v>0</v>
      </c>
      <c r="K218" s="131" cm="1">
        <f t="array" ref="K218">'Question_Bank'!K210</f>
        <v>0</v>
      </c>
      <c r="L218" s="131" cm="1">
        <f t="array" ref="L218">'Question_Bank'!L210</f>
        <v>0</v>
      </c>
      <c r="M218" s="132"/>
      <c r="N218" t="str" s="97" cm="1">
        <f t="array" ref="N218">IF(M218="","",IF(F218="MCQ",IF(UPPER(M218)=UPPER(L218),1,0),IF(O218="Yes",6-VALUE(M218),VALUE(M218))))</f>
      </c>
      <c r="O218" t="str" s="97" cm="1">
        <f t="array" ref="O218">'Question_Bank'!N210</f>
        <v>No</v>
      </c>
      <c r="P218" s="133" cm="1">
        <f t="array" ref="P218">IF(F218="MCQ",1,5)</f>
        <v>5</v>
      </c>
    </row>
    <row r="219" ht="42" customHeight="1">
      <c r="A219" t="str" s="130" cm="1">
        <f t="array" ref="A219">'Question_Bank'!A211</f>
        <v>NPI0207</v>
      </c>
      <c r="B219" t="str" s="97" cm="1">
        <f t="array" ref="B219">'Question_Bank'!B211</f>
        <v>8-12</v>
      </c>
      <c r="C219" t="str" s="97" cm="1">
        <f t="array" ref="C219">'Question_Bank'!C211</f>
        <v>Big Five Personality</v>
      </c>
      <c r="D219" t="str" s="97" cm="1">
        <f t="array" ref="D219">'Question_Bank'!D211</f>
        <v>Neuroticism</v>
      </c>
      <c r="E219" t="str" s="97" cm="1">
        <f t="array" ref="E219">'Question_Bank'!E211</f>
        <v>Neuroticism</v>
      </c>
      <c r="F219" t="str" s="97" cm="1">
        <f t="array" ref="F219">'Question_Bank'!F211</f>
        <v>Likert</v>
      </c>
      <c r="G219" t="str" s="97" cm="1">
        <f t="array" ref="G219">'Question_Bank'!G211</f>
        <v>I feel stressed in competition.</v>
      </c>
      <c r="H219" s="131" cm="1">
        <f t="array" ref="H219">'Question_Bank'!H211</f>
        <v>0</v>
      </c>
      <c r="I219" s="131" cm="1">
        <f t="array" ref="I219">'Question_Bank'!I211</f>
        <v>0</v>
      </c>
      <c r="J219" s="131" cm="1">
        <f t="array" ref="J219">'Question_Bank'!J211</f>
        <v>0</v>
      </c>
      <c r="K219" s="131" cm="1">
        <f t="array" ref="K219">'Question_Bank'!K211</f>
        <v>0</v>
      </c>
      <c r="L219" s="131" cm="1">
        <f t="array" ref="L219">'Question_Bank'!L211</f>
        <v>0</v>
      </c>
      <c r="M219" s="132"/>
      <c r="N219" t="str" s="97" cm="1">
        <f t="array" ref="N219">IF(M219="","",IF(F219="MCQ",IF(UPPER(M219)=UPPER(L219),1,0),IF(O219="Yes",6-VALUE(M219),VALUE(M219))))</f>
      </c>
      <c r="O219" t="str" s="97" cm="1">
        <f t="array" ref="O219">'Question_Bank'!N211</f>
        <v>No</v>
      </c>
      <c r="P219" s="133" cm="1">
        <f t="array" ref="P219">IF(F219="MCQ",1,5)</f>
        <v>5</v>
      </c>
    </row>
    <row r="220" ht="42" customHeight="1">
      <c r="A220" t="str" s="130" cm="1">
        <f t="array" ref="A220">'Question_Bank'!A212</f>
        <v>NPI0208</v>
      </c>
      <c r="B220" t="str" s="97" cm="1">
        <f t="array" ref="B220">'Question_Bank'!B212</f>
        <v>8-12</v>
      </c>
      <c r="C220" t="str" s="97" cm="1">
        <f t="array" ref="C220">'Question_Bank'!C212</f>
        <v>Big Five Personality</v>
      </c>
      <c r="D220" t="str" s="97" cm="1">
        <f t="array" ref="D220">'Question_Bank'!D212</f>
        <v>Neuroticism</v>
      </c>
      <c r="E220" t="str" s="97" cm="1">
        <f t="array" ref="E220">'Question_Bank'!E212</f>
        <v>Neuroticism</v>
      </c>
      <c r="F220" t="str" s="97" cm="1">
        <f t="array" ref="F220">'Question_Bank'!F212</f>
        <v>Likert</v>
      </c>
      <c r="G220" t="str" s="97" cm="1">
        <f t="array" ref="G220">'Question_Bank'!G212</f>
        <v>I feel drained by pressure.</v>
      </c>
      <c r="H220" s="131" cm="1">
        <f t="array" ref="H220">'Question_Bank'!H212</f>
        <v>0</v>
      </c>
      <c r="I220" s="131" cm="1">
        <f t="array" ref="I220">'Question_Bank'!I212</f>
        <v>0</v>
      </c>
      <c r="J220" s="131" cm="1">
        <f t="array" ref="J220">'Question_Bank'!J212</f>
        <v>0</v>
      </c>
      <c r="K220" s="131" cm="1">
        <f t="array" ref="K220">'Question_Bank'!K212</f>
        <v>0</v>
      </c>
      <c r="L220" s="131" cm="1">
        <f t="array" ref="L220">'Question_Bank'!L212</f>
        <v>0</v>
      </c>
      <c r="M220" s="132"/>
      <c r="N220" t="str" s="97" cm="1">
        <f t="array" ref="N220">IF(M220="","",IF(F220="MCQ",IF(UPPER(M220)=UPPER(L220),1,0),IF(O220="Yes",6-VALUE(M220),VALUE(M220))))</f>
      </c>
      <c r="O220" t="str" s="97" cm="1">
        <f t="array" ref="O220">'Question_Bank'!N212</f>
        <v>No</v>
      </c>
      <c r="P220" s="133" cm="1">
        <f t="array" ref="P220">IF(F220="MCQ",1,5)</f>
        <v>5</v>
      </c>
    </row>
    <row r="221" ht="42" customHeight="1">
      <c r="A221" t="str" s="130" cm="1">
        <f t="array" ref="A221">'Question_Bank'!A213</f>
        <v>NPI0209</v>
      </c>
      <c r="B221" t="str" s="97" cm="1">
        <f t="array" ref="B221">'Question_Bank'!B213</f>
        <v>8-12</v>
      </c>
      <c r="C221" t="str" s="97" cm="1">
        <f t="array" ref="C221">'Question_Bank'!C213</f>
        <v>Big Five Personality</v>
      </c>
      <c r="D221" t="str" s="97" cm="1">
        <f t="array" ref="D221">'Question_Bank'!D213</f>
        <v>Neuroticism</v>
      </c>
      <c r="E221" t="str" s="97" cm="1">
        <f t="array" ref="E221">'Question_Bank'!E213</f>
        <v>Neuroticism</v>
      </c>
      <c r="F221" t="str" s="97" cm="1">
        <f t="array" ref="F221">'Question_Bank'!F213</f>
        <v>Likert</v>
      </c>
      <c r="G221" t="str" s="97" cm="1">
        <f t="array" ref="G221">'Question_Bank'!G213</f>
        <v>I stay calm when things go wrong.</v>
      </c>
      <c r="H221" s="131" cm="1">
        <f t="array" ref="H221">'Question_Bank'!H213</f>
        <v>0</v>
      </c>
      <c r="I221" s="131" cm="1">
        <f t="array" ref="I221">'Question_Bank'!I213</f>
        <v>0</v>
      </c>
      <c r="J221" s="131" cm="1">
        <f t="array" ref="J221">'Question_Bank'!J213</f>
        <v>0</v>
      </c>
      <c r="K221" s="131" cm="1">
        <f t="array" ref="K221">'Question_Bank'!K213</f>
        <v>0</v>
      </c>
      <c r="L221" s="131" cm="1">
        <f t="array" ref="L221">'Question_Bank'!L213</f>
        <v>0</v>
      </c>
      <c r="M221" s="132"/>
      <c r="N221" t="str" s="97" cm="1">
        <f t="array" ref="N221">IF(M221="","",IF(F221="MCQ",IF(UPPER(M221)=UPPER(L221),1,0),IF(O221="Yes",6-VALUE(M221),VALUE(M221))))</f>
      </c>
      <c r="O221" t="str" s="97" cm="1">
        <f t="array" ref="O221">'Question_Bank'!N213</f>
        <v>Yes</v>
      </c>
      <c r="P221" s="133" cm="1">
        <f t="array" ref="P221">IF(F221="MCQ",1,5)</f>
        <v>5</v>
      </c>
    </row>
    <row r="222" ht="42" customHeight="1">
      <c r="A222" t="str" s="130" cm="1">
        <f t="array" ref="A222">'Question_Bank'!A214</f>
        <v>NPI0210</v>
      </c>
      <c r="B222" t="str" s="97" cm="1">
        <f t="array" ref="B222">'Question_Bank'!B214</f>
        <v>8-12</v>
      </c>
      <c r="C222" t="str" s="97" cm="1">
        <f t="array" ref="C222">'Question_Bank'!C214</f>
        <v>Big Five Personality</v>
      </c>
      <c r="D222" t="str" s="97" cm="1">
        <f t="array" ref="D222">'Question_Bank'!D214</f>
        <v>Neuroticism</v>
      </c>
      <c r="E222" t="str" s="97" cm="1">
        <f t="array" ref="E222">'Question_Bank'!E214</f>
        <v>Neuroticism</v>
      </c>
      <c r="F222" t="str" s="97" cm="1">
        <f t="array" ref="F222">'Question_Bank'!F214</f>
        <v>Likert</v>
      </c>
      <c r="G222" t="str" s="97" cm="1">
        <f t="array" ref="G222">'Question_Bank'!G214</f>
        <v>I recover quickly after disappointment.</v>
      </c>
      <c r="H222" s="131" cm="1">
        <f t="array" ref="H222">'Question_Bank'!H214</f>
        <v>0</v>
      </c>
      <c r="I222" s="131" cm="1">
        <f t="array" ref="I222">'Question_Bank'!I214</f>
        <v>0</v>
      </c>
      <c r="J222" s="131" cm="1">
        <f t="array" ref="J222">'Question_Bank'!J214</f>
        <v>0</v>
      </c>
      <c r="K222" s="131" cm="1">
        <f t="array" ref="K222">'Question_Bank'!K214</f>
        <v>0</v>
      </c>
      <c r="L222" s="131" cm="1">
        <f t="array" ref="L222">'Question_Bank'!L214</f>
        <v>0</v>
      </c>
      <c r="M222" s="132"/>
      <c r="N222" t="str" s="97" cm="1">
        <f t="array" ref="N222">IF(M222="","",IF(F222="MCQ",IF(UPPER(M222)=UPPER(L222),1,0),IF(O222="Yes",6-VALUE(M222),VALUE(M222))))</f>
      </c>
      <c r="O222" t="str" s="97" cm="1">
        <f t="array" ref="O222">'Question_Bank'!N214</f>
        <v>Yes</v>
      </c>
      <c r="P222" s="133" cm="1">
        <f t="array" ref="P222">IF(F222="MCQ",1,5)</f>
        <v>5</v>
      </c>
    </row>
    <row r="223" ht="42" customHeight="1">
      <c r="A223" t="str" s="130" cm="1">
        <f t="array" ref="A223">'Question_Bank'!A215</f>
        <v>NPI0211</v>
      </c>
      <c r="B223" t="str" s="97" cm="1">
        <f t="array" ref="B223">'Question_Bank'!B215</f>
        <v>8-12</v>
      </c>
      <c r="C223" t="str" s="97" cm="1">
        <f t="array" ref="C223">'Question_Bank'!C215</f>
        <v>Big Five Personality</v>
      </c>
      <c r="D223" t="str" s="97" cm="1">
        <f t="array" ref="D223">'Question_Bank'!D215</f>
        <v>Neuroticism</v>
      </c>
      <c r="E223" t="str" s="97" cm="1">
        <f t="array" ref="E223">'Question_Bank'!E215</f>
        <v>Neuroticism</v>
      </c>
      <c r="F223" t="str" s="97" cm="1">
        <f t="array" ref="F223">'Question_Bank'!F215</f>
        <v>Likert</v>
      </c>
      <c r="G223" t="str" s="97" cm="1">
        <f t="array" ref="G223">'Question_Bank'!G215</f>
        <v>I manage stress without panic.</v>
      </c>
      <c r="H223" s="131" cm="1">
        <f t="array" ref="H223">'Question_Bank'!H215</f>
        <v>0</v>
      </c>
      <c r="I223" s="131" cm="1">
        <f t="array" ref="I223">'Question_Bank'!I215</f>
        <v>0</v>
      </c>
      <c r="J223" s="131" cm="1">
        <f t="array" ref="J223">'Question_Bank'!J215</f>
        <v>0</v>
      </c>
      <c r="K223" s="131" cm="1">
        <f t="array" ref="K223">'Question_Bank'!K215</f>
        <v>0</v>
      </c>
      <c r="L223" s="131" cm="1">
        <f t="array" ref="L223">'Question_Bank'!L215</f>
        <v>0</v>
      </c>
      <c r="M223" s="132"/>
      <c r="N223" t="str" s="97" cm="1">
        <f t="array" ref="N223">IF(M223="","",IF(F223="MCQ",IF(UPPER(M223)=UPPER(L223),1,0),IF(O223="Yes",6-VALUE(M223),VALUE(M223))))</f>
      </c>
      <c r="O223" t="str" s="97" cm="1">
        <f t="array" ref="O223">'Question_Bank'!N215</f>
        <v>Yes</v>
      </c>
      <c r="P223" s="133" cm="1">
        <f t="array" ref="P223">IF(F223="MCQ",1,5)</f>
        <v>5</v>
      </c>
    </row>
    <row r="224" ht="42" customHeight="1">
      <c r="A224" t="str" s="130" cm="1">
        <f t="array" ref="A224">'Question_Bank'!A216</f>
        <v>NPI0212</v>
      </c>
      <c r="B224" t="str" s="97" cm="1">
        <f t="array" ref="B224">'Question_Bank'!B216</f>
        <v>8-12</v>
      </c>
      <c r="C224" t="str" s="97" cm="1">
        <f t="array" ref="C224">'Question_Bank'!C216</f>
        <v>Big Five Personality</v>
      </c>
      <c r="D224" t="str" s="97" cm="1">
        <f t="array" ref="D224">'Question_Bank'!D216</f>
        <v>Neuroticism</v>
      </c>
      <c r="E224" t="str" s="97" cm="1">
        <f t="array" ref="E224">'Question_Bank'!E216</f>
        <v>Neuroticism</v>
      </c>
      <c r="F224" t="str" s="97" cm="1">
        <f t="array" ref="F224">'Question_Bank'!F216</f>
        <v>Likert</v>
      </c>
      <c r="G224" t="str" s="97" cm="1">
        <f t="array" ref="G224">'Question_Bank'!G216</f>
        <v>I handle criticism calmly.</v>
      </c>
      <c r="H224" s="131" cm="1">
        <f t="array" ref="H224">'Question_Bank'!H216</f>
        <v>0</v>
      </c>
      <c r="I224" s="131" cm="1">
        <f t="array" ref="I224">'Question_Bank'!I216</f>
        <v>0</v>
      </c>
      <c r="J224" s="131" cm="1">
        <f t="array" ref="J224">'Question_Bank'!J216</f>
        <v>0</v>
      </c>
      <c r="K224" s="131" cm="1">
        <f t="array" ref="K224">'Question_Bank'!K216</f>
        <v>0</v>
      </c>
      <c r="L224" s="131" cm="1">
        <f t="array" ref="L224">'Question_Bank'!L216</f>
        <v>0</v>
      </c>
      <c r="M224" s="132"/>
      <c r="N224" t="str" s="97" cm="1">
        <f t="array" ref="N224">IF(M224="","",IF(F224="MCQ",IF(UPPER(M224)=UPPER(L224),1,0),IF(O224="Yes",6-VALUE(M224),VALUE(M224))))</f>
      </c>
      <c r="O224" t="str" s="97" cm="1">
        <f t="array" ref="O224">'Question_Bank'!N216</f>
        <v>Yes</v>
      </c>
      <c r="P224" s="133" cm="1">
        <f t="array" ref="P224">IF(F224="MCQ",1,5)</f>
        <v>5</v>
      </c>
    </row>
    <row r="225" ht="42" customHeight="1">
      <c r="A225" t="str" s="130" cm="1">
        <f t="array" ref="A225">'Question_Bank'!A217</f>
        <v>NPI0213</v>
      </c>
      <c r="B225" t="str" s="97" cm="1">
        <f t="array" ref="B225">'Question_Bank'!B217</f>
        <v>8-12</v>
      </c>
      <c r="C225" t="str" s="97" cm="1">
        <f t="array" ref="C225">'Question_Bank'!C217</f>
        <v>Big Five Personality</v>
      </c>
      <c r="D225" t="str" s="97" cm="1">
        <f t="array" ref="D225">'Question_Bank'!D217</f>
        <v>Neuroticism</v>
      </c>
      <c r="E225" t="str" s="97" cm="1">
        <f t="array" ref="E225">'Question_Bank'!E217</f>
        <v>Neuroticism</v>
      </c>
      <c r="F225" t="str" s="97" cm="1">
        <f t="array" ref="F225">'Question_Bank'!F217</f>
        <v>Likert</v>
      </c>
      <c r="G225" t="str" s="97" cm="1">
        <f t="array" ref="G225">'Question_Bank'!G217</f>
        <v>I stay balanced during competition.</v>
      </c>
      <c r="H225" s="131" cm="1">
        <f t="array" ref="H225">'Question_Bank'!H217</f>
        <v>0</v>
      </c>
      <c r="I225" s="131" cm="1">
        <f t="array" ref="I225">'Question_Bank'!I217</f>
        <v>0</v>
      </c>
      <c r="J225" s="131" cm="1">
        <f t="array" ref="J225">'Question_Bank'!J217</f>
        <v>0</v>
      </c>
      <c r="K225" s="131" cm="1">
        <f t="array" ref="K225">'Question_Bank'!K217</f>
        <v>0</v>
      </c>
      <c r="L225" s="131" cm="1">
        <f t="array" ref="L225">'Question_Bank'!L217</f>
        <v>0</v>
      </c>
      <c r="M225" s="132"/>
      <c r="N225" t="str" s="97" cm="1">
        <f t="array" ref="N225">IF(M225="","",IF(F225="MCQ",IF(UPPER(M225)=UPPER(L225),1,0),IF(O225="Yes",6-VALUE(M225),VALUE(M225))))</f>
      </c>
      <c r="O225" t="str" s="97" cm="1">
        <f t="array" ref="O225">'Question_Bank'!N217</f>
        <v>Yes</v>
      </c>
      <c r="P225" s="133" cm="1">
        <f t="array" ref="P225">IF(F225="MCQ",1,5)</f>
        <v>5</v>
      </c>
    </row>
    <row r="226" ht="42" customHeight="1">
      <c r="A226" t="str" s="130" cm="1">
        <f t="array" ref="A226">'Question_Bank'!A218</f>
        <v>NPI0214</v>
      </c>
      <c r="B226" t="str" s="97" cm="1">
        <f t="array" ref="B226">'Question_Bank'!B218</f>
        <v>8-12</v>
      </c>
      <c r="C226" t="str" s="97" cm="1">
        <f t="array" ref="C226">'Question_Bank'!C218</f>
        <v>Big Five Personality</v>
      </c>
      <c r="D226" t="str" s="97" cm="1">
        <f t="array" ref="D226">'Question_Bank'!D218</f>
        <v>Neuroticism</v>
      </c>
      <c r="E226" t="str" s="97" cm="1">
        <f t="array" ref="E226">'Question_Bank'!E218</f>
        <v>Neuroticism</v>
      </c>
      <c r="F226" t="str" s="97" cm="1">
        <f t="array" ref="F226">'Question_Bank'!F218</f>
        <v>Likert</v>
      </c>
      <c r="G226" t="str" s="97" cm="1">
        <f t="array" ref="G226">'Question_Bank'!G218</f>
        <v>I trust myself under pressure.</v>
      </c>
      <c r="H226" s="131" cm="1">
        <f t="array" ref="H226">'Question_Bank'!H218</f>
        <v>0</v>
      </c>
      <c r="I226" s="131" cm="1">
        <f t="array" ref="I226">'Question_Bank'!I218</f>
        <v>0</v>
      </c>
      <c r="J226" s="131" cm="1">
        <f t="array" ref="J226">'Question_Bank'!J218</f>
        <v>0</v>
      </c>
      <c r="K226" s="131" cm="1">
        <f t="array" ref="K226">'Question_Bank'!K218</f>
        <v>0</v>
      </c>
      <c r="L226" s="131" cm="1">
        <f t="array" ref="L226">'Question_Bank'!L218</f>
        <v>0</v>
      </c>
      <c r="M226" s="132"/>
      <c r="N226" t="str" s="97" cm="1">
        <f t="array" ref="N226">IF(M226="","",IF(F226="MCQ",IF(UPPER(M226)=UPPER(L226),1,0),IF(O226="Yes",6-VALUE(M226),VALUE(M226))))</f>
      </c>
      <c r="O226" t="str" s="97" cm="1">
        <f t="array" ref="O226">'Question_Bank'!N218</f>
        <v>Yes</v>
      </c>
      <c r="P226" s="133" cm="1">
        <f t="array" ref="P226">IF(F226="MCQ",1,5)</f>
        <v>5</v>
      </c>
    </row>
    <row r="227" ht="42" customHeight="1">
      <c r="A227" t="str" s="130" cm="1">
        <f t="array" ref="A227">'Question_Bank'!A219</f>
        <v>NPI0215</v>
      </c>
      <c r="B227" t="str" s="97" cm="1">
        <f t="array" ref="B227">'Question_Bank'!B219</f>
        <v>8-12</v>
      </c>
      <c r="C227" t="str" s="97" cm="1">
        <f t="array" ref="C227">'Question_Bank'!C219</f>
        <v>Big Five Personality</v>
      </c>
      <c r="D227" t="str" s="97" cm="1">
        <f t="array" ref="D227">'Question_Bank'!D219</f>
        <v>Neuroticism</v>
      </c>
      <c r="E227" t="str" s="97" cm="1">
        <f t="array" ref="E227">'Question_Bank'!E219</f>
        <v>Neuroticism</v>
      </c>
      <c r="F227" t="str" s="97" cm="1">
        <f t="array" ref="F227">'Question_Bank'!F219</f>
        <v>Likert</v>
      </c>
      <c r="G227" t="str" s="97" cm="1">
        <f t="array" ref="G227">'Question_Bank'!G219</f>
        <v>I calm myself when stressed.</v>
      </c>
      <c r="H227" s="131" cm="1">
        <f t="array" ref="H227">'Question_Bank'!H219</f>
        <v>0</v>
      </c>
      <c r="I227" s="131" cm="1">
        <f t="array" ref="I227">'Question_Bank'!I219</f>
        <v>0</v>
      </c>
      <c r="J227" s="131" cm="1">
        <f t="array" ref="J227">'Question_Bank'!J219</f>
        <v>0</v>
      </c>
      <c r="K227" s="131" cm="1">
        <f t="array" ref="K227">'Question_Bank'!K219</f>
        <v>0</v>
      </c>
      <c r="L227" s="131" cm="1">
        <f t="array" ref="L227">'Question_Bank'!L219</f>
        <v>0</v>
      </c>
      <c r="M227" s="132"/>
      <c r="N227" t="str" s="97" cm="1">
        <f t="array" ref="N227">IF(M227="","",IF(F227="MCQ",IF(UPPER(M227)=UPPER(L227),1,0),IF(O227="Yes",6-VALUE(M227),VALUE(M227))))</f>
      </c>
      <c r="O227" t="str" s="97" cm="1">
        <f t="array" ref="O227">'Question_Bank'!N219</f>
        <v>Yes</v>
      </c>
      <c r="P227" s="133" cm="1">
        <f t="array" ref="P227">IF(F227="MCQ",1,5)</f>
        <v>5</v>
      </c>
    </row>
    <row r="228" ht="42" customHeight="1">
      <c r="A228" t="str" s="130" cm="1">
        <f t="array" ref="A228">'Question_Bank'!A220</f>
        <v>NPI0216</v>
      </c>
      <c r="B228" t="str" s="97" cm="1">
        <f t="array" ref="B228">'Question_Bank'!B220</f>
        <v>8-12</v>
      </c>
      <c r="C228" t="str" s="97" cm="1">
        <f t="array" ref="C228">'Question_Bank'!C220</f>
        <v>Cognitive Ability</v>
      </c>
      <c r="D228" t="str" s="97" cm="1">
        <f t="array" ref="D228">'Question_Bank'!D220</f>
        <v>Numerical</v>
      </c>
      <c r="E228" t="str" s="97" cm="1">
        <f t="array" ref="E228">'Question_Bank'!E220</f>
        <v>Numerical</v>
      </c>
      <c r="F228" t="str" s="97" cm="1">
        <f t="array" ref="F228">'Question_Bank'!F220</f>
        <v>MCQ</v>
      </c>
      <c r="G228" t="str" s="97" cm="1">
        <f t="array" ref="G228">'Question_Bank'!G220</f>
        <v>What comes next: 3, 6, 9, 12, ?</v>
      </c>
      <c r="H228" t="str" s="97" cm="1">
        <f t="array" ref="H228">'Question_Bank'!H220</f>
        <v>13</v>
      </c>
      <c r="I228" t="str" s="97" cm="1">
        <f t="array" ref="I228">'Question_Bank'!I220</f>
        <v>14</v>
      </c>
      <c r="J228" t="str" s="97" cm="1">
        <f t="array" ref="J228">'Question_Bank'!J220</f>
        <v>15</v>
      </c>
      <c r="K228" t="str" s="97" cm="1">
        <f t="array" ref="K228">'Question_Bank'!K220</f>
        <v>18</v>
      </c>
      <c r="L228" t="str" s="97" cm="1">
        <f t="array" ref="L228">'Question_Bank'!L220</f>
        <v>C</v>
      </c>
      <c r="M228" s="132"/>
      <c r="N228" t="str" s="97" cm="1">
        <f t="array" ref="N228">IF(M228="","",IF(F228="MCQ",IF(UPPER(M228)=UPPER(L228),1,0),IF(O228="Yes",6-VALUE(M228),VALUE(M228))))</f>
      </c>
      <c r="O228" t="str" s="97" cm="1">
        <f t="array" ref="O228">'Question_Bank'!N220</f>
        <v>No</v>
      </c>
      <c r="P228" s="133" cm="1">
        <f t="array" ref="P228">IF(F228="MCQ",1,5)</f>
        <v>1</v>
      </c>
    </row>
    <row r="229" ht="42" customHeight="1">
      <c r="A229" t="str" s="130" cm="1">
        <f t="array" ref="A229">'Question_Bank'!A221</f>
        <v>NPI0217</v>
      </c>
      <c r="B229" t="str" s="97" cm="1">
        <f t="array" ref="B229">'Question_Bank'!B221</f>
        <v>8-12</v>
      </c>
      <c r="C229" t="str" s="97" cm="1">
        <f t="array" ref="C229">'Question_Bank'!C221</f>
        <v>Cognitive Ability</v>
      </c>
      <c r="D229" t="str" s="97" cm="1">
        <f t="array" ref="D229">'Question_Bank'!D221</f>
        <v>Numerical</v>
      </c>
      <c r="E229" t="str" s="97" cm="1">
        <f t="array" ref="E229">'Question_Bank'!E221</f>
        <v>Numerical</v>
      </c>
      <c r="F229" t="str" s="97" cm="1">
        <f t="array" ref="F229">'Question_Bank'!F221</f>
        <v>MCQ</v>
      </c>
      <c r="G229" t="str" s="97" cm="1">
        <f t="array" ref="G229">'Question_Bank'!G221</f>
        <v>If 5 notebooks cost ₹150, one costs:</v>
      </c>
      <c r="H229" t="str" s="97" cm="1">
        <f t="array" ref="H229">'Question_Bank'!H221</f>
        <v>₹20</v>
      </c>
      <c r="I229" t="str" s="97" cm="1">
        <f t="array" ref="I229">'Question_Bank'!I221</f>
        <v>₹25</v>
      </c>
      <c r="J229" t="str" s="97" cm="1">
        <f t="array" ref="J229">'Question_Bank'!J221</f>
        <v>₹30</v>
      </c>
      <c r="K229" t="str" s="97" cm="1">
        <f t="array" ref="K229">'Question_Bank'!K221</f>
        <v>₹35</v>
      </c>
      <c r="L229" t="str" s="97" cm="1">
        <f t="array" ref="L229">'Question_Bank'!L221</f>
        <v>C</v>
      </c>
      <c r="M229" s="132"/>
      <c r="N229" t="str" s="97" cm="1">
        <f t="array" ref="N229">IF(M229="","",IF(F229="MCQ",IF(UPPER(M229)=UPPER(L229),1,0),IF(O229="Yes",6-VALUE(M229),VALUE(M229))))</f>
      </c>
      <c r="O229" t="str" s="97" cm="1">
        <f t="array" ref="O229">'Question_Bank'!N221</f>
        <v>No</v>
      </c>
      <c r="P229" s="133" cm="1">
        <f t="array" ref="P229">IF(F229="MCQ",1,5)</f>
        <v>1</v>
      </c>
    </row>
    <row r="230" ht="42" customHeight="1">
      <c r="A230" t="str" s="130" cm="1">
        <f t="array" ref="A230">'Question_Bank'!A222</f>
        <v>NPI0218</v>
      </c>
      <c r="B230" t="str" s="97" cm="1">
        <f t="array" ref="B230">'Question_Bank'!B222</f>
        <v>8-12</v>
      </c>
      <c r="C230" t="str" s="97" cm="1">
        <f t="array" ref="C230">'Question_Bank'!C222</f>
        <v>Cognitive Ability</v>
      </c>
      <c r="D230" t="str" s="97" cm="1">
        <f t="array" ref="D230">'Question_Bank'!D222</f>
        <v>Numerical</v>
      </c>
      <c r="E230" t="str" s="97" cm="1">
        <f t="array" ref="E230">'Question_Bank'!E222</f>
        <v>Numerical</v>
      </c>
      <c r="F230" t="str" s="97" cm="1">
        <f t="array" ref="F230">'Question_Bank'!F222</f>
        <v>MCQ</v>
      </c>
      <c r="G230" t="str" s="97" cm="1">
        <f t="array" ref="G230">'Question_Bank'!G222</f>
        <v>What is 20% of 250?</v>
      </c>
      <c r="H230" t="str" s="97" cm="1">
        <f t="array" ref="H230">'Question_Bank'!H222</f>
        <v>25</v>
      </c>
      <c r="I230" t="str" s="97" cm="1">
        <f t="array" ref="I230">'Question_Bank'!I222</f>
        <v>40</v>
      </c>
      <c r="J230" t="str" s="97" cm="1">
        <f t="array" ref="J230">'Question_Bank'!J222</f>
        <v>50</v>
      </c>
      <c r="K230" t="str" s="97" cm="1">
        <f t="array" ref="K230">'Question_Bank'!K222</f>
        <v>60</v>
      </c>
      <c r="L230" t="str" s="97" cm="1">
        <f t="array" ref="L230">'Question_Bank'!L222</f>
        <v>C</v>
      </c>
      <c r="M230" s="132"/>
      <c r="N230" t="str" s="97" cm="1">
        <f t="array" ref="N230">IF(M230="","",IF(F230="MCQ",IF(UPPER(M230)=UPPER(L230),1,0),IF(O230="Yes",6-VALUE(M230),VALUE(M230))))</f>
      </c>
      <c r="O230" t="str" s="97" cm="1">
        <f t="array" ref="O230">'Question_Bank'!N222</f>
        <v>No</v>
      </c>
      <c r="P230" s="133" cm="1">
        <f t="array" ref="P230">IF(F230="MCQ",1,5)</f>
        <v>1</v>
      </c>
    </row>
    <row r="231" ht="42" customHeight="1">
      <c r="A231" t="str" s="130" cm="1">
        <f t="array" ref="A231">'Question_Bank'!A223</f>
        <v>NPI0219</v>
      </c>
      <c r="B231" t="str" s="97" cm="1">
        <f t="array" ref="B231">'Question_Bank'!B223</f>
        <v>8-12</v>
      </c>
      <c r="C231" t="str" s="97" cm="1">
        <f t="array" ref="C231">'Question_Bank'!C223</f>
        <v>Cognitive Ability</v>
      </c>
      <c r="D231" t="str" s="97" cm="1">
        <f t="array" ref="D231">'Question_Bank'!D223</f>
        <v>Numerical</v>
      </c>
      <c r="E231" t="str" s="97" cm="1">
        <f t="array" ref="E231">'Question_Bank'!E223</f>
        <v>Numerical</v>
      </c>
      <c r="F231" t="str" s="97" cm="1">
        <f t="array" ref="F231">'Question_Bank'!F223</f>
        <v>MCQ</v>
      </c>
      <c r="G231" t="str" s="97" cm="1">
        <f t="array" ref="G231">'Question_Bank'!G223</f>
        <v>Speed: 180 km in 3 hours =</v>
      </c>
      <c r="H231" t="str" s="97" cm="1">
        <f t="array" ref="H231">'Question_Bank'!H223</f>
        <v>40</v>
      </c>
      <c r="I231" t="str" s="97" cm="1">
        <f t="array" ref="I231">'Question_Bank'!I223</f>
        <v>50</v>
      </c>
      <c r="J231" t="str" s="97" cm="1">
        <f t="array" ref="J231">'Question_Bank'!J223</f>
        <v>60</v>
      </c>
      <c r="K231" t="str" s="97" cm="1">
        <f t="array" ref="K231">'Question_Bank'!K223</f>
        <v>70</v>
      </c>
      <c r="L231" t="str" s="97" cm="1">
        <f t="array" ref="L231">'Question_Bank'!L223</f>
        <v>C</v>
      </c>
      <c r="M231" s="132"/>
      <c r="N231" t="str" s="97" cm="1">
        <f t="array" ref="N231">IF(M231="","",IF(F231="MCQ",IF(UPPER(M231)=UPPER(L231),1,0),IF(O231="Yes",6-VALUE(M231),VALUE(M231))))</f>
      </c>
      <c r="O231" t="str" s="97" cm="1">
        <f t="array" ref="O231">'Question_Bank'!N223</f>
        <v>No</v>
      </c>
      <c r="P231" s="133" cm="1">
        <f t="array" ref="P231">IF(F231="MCQ",1,5)</f>
        <v>1</v>
      </c>
    </row>
    <row r="232" ht="42" customHeight="1">
      <c r="A232" t="str" s="130" cm="1">
        <f t="array" ref="A232">'Question_Bank'!A224</f>
        <v>NPI0220</v>
      </c>
      <c r="B232" t="str" s="97" cm="1">
        <f t="array" ref="B232">'Question_Bank'!B224</f>
        <v>8-12</v>
      </c>
      <c r="C232" t="str" s="97" cm="1">
        <f t="array" ref="C232">'Question_Bank'!C224</f>
        <v>Cognitive Ability</v>
      </c>
      <c r="D232" t="str" s="97" cm="1">
        <f t="array" ref="D232">'Question_Bank'!D224</f>
        <v>Numerical</v>
      </c>
      <c r="E232" t="str" s="97" cm="1">
        <f t="array" ref="E232">'Question_Bank'!E224</f>
        <v>Numerical</v>
      </c>
      <c r="F232" t="str" s="97" cm="1">
        <f t="array" ref="F232">'Question_Bank'!F224</f>
        <v>MCQ</v>
      </c>
      <c r="G232" t="str" s="97" cm="1">
        <f t="array" ref="G232">'Question_Bank'!G224</f>
        <v>2,4,8,16,?</v>
      </c>
      <c r="H232" t="str" s="97" cm="1">
        <f t="array" ref="H232">'Question_Bank'!H224</f>
        <v>24</v>
      </c>
      <c r="I232" t="str" s="97" cm="1">
        <f t="array" ref="I232">'Question_Bank'!I224</f>
        <v>28</v>
      </c>
      <c r="J232" t="str" s="97" cm="1">
        <f t="array" ref="J232">'Question_Bank'!J224</f>
        <v>32</v>
      </c>
      <c r="K232" t="str" s="97" cm="1">
        <f t="array" ref="K232">'Question_Bank'!K224</f>
        <v>36</v>
      </c>
      <c r="L232" t="str" s="97" cm="1">
        <f t="array" ref="L232">'Question_Bank'!L224</f>
        <v>C</v>
      </c>
      <c r="M232" s="132"/>
      <c r="N232" t="str" s="97" cm="1">
        <f t="array" ref="N232">IF(M232="","",IF(F232="MCQ",IF(UPPER(M232)=UPPER(L232),1,0),IF(O232="Yes",6-VALUE(M232),VALUE(M232))))</f>
      </c>
      <c r="O232" t="str" s="97" cm="1">
        <f t="array" ref="O232">'Question_Bank'!N224</f>
        <v>No</v>
      </c>
      <c r="P232" s="133" cm="1">
        <f t="array" ref="P232">IF(F232="MCQ",1,5)</f>
        <v>1</v>
      </c>
    </row>
    <row r="233" ht="42" customHeight="1">
      <c r="A233" t="str" s="130" cm="1">
        <f t="array" ref="A233">'Question_Bank'!A225</f>
        <v>NPI0221</v>
      </c>
      <c r="B233" t="str" s="97" cm="1">
        <f t="array" ref="B233">'Question_Bank'!B225</f>
        <v>8-12</v>
      </c>
      <c r="C233" t="str" s="97" cm="1">
        <f t="array" ref="C233">'Question_Bank'!C225</f>
        <v>Cognitive Ability</v>
      </c>
      <c r="D233" t="str" s="97" cm="1">
        <f t="array" ref="D233">'Question_Bank'!D225</f>
        <v>Numerical</v>
      </c>
      <c r="E233" t="str" s="97" cm="1">
        <f t="array" ref="E233">'Question_Bank'!E225</f>
        <v>Numerical</v>
      </c>
      <c r="F233" t="str" s="97" cm="1">
        <f t="array" ref="F233">'Question_Bank'!F225</f>
        <v>MCQ</v>
      </c>
      <c r="G233" t="str" s="97" cm="1">
        <f t="array" ref="G233">'Question_Bank'!G225</f>
        <v>x+7=19, x=</v>
      </c>
      <c r="H233" t="str" s="97" cm="1">
        <f t="array" ref="H233">'Question_Bank'!H225</f>
        <v>10</v>
      </c>
      <c r="I233" t="str" s="97" cm="1">
        <f t="array" ref="I233">'Question_Bank'!I225</f>
        <v>11</v>
      </c>
      <c r="J233" t="str" s="97" cm="1">
        <f t="array" ref="J233">'Question_Bank'!J225</f>
        <v>12</v>
      </c>
      <c r="K233" t="str" s="97" cm="1">
        <f t="array" ref="K233">'Question_Bank'!K225</f>
        <v>13</v>
      </c>
      <c r="L233" t="str" s="97" cm="1">
        <f t="array" ref="L233">'Question_Bank'!L225</f>
        <v>C</v>
      </c>
      <c r="M233" s="132"/>
      <c r="N233" t="str" s="97" cm="1">
        <f t="array" ref="N233">IF(M233="","",IF(F233="MCQ",IF(UPPER(M233)=UPPER(L233),1,0),IF(O233="Yes",6-VALUE(M233),VALUE(M233))))</f>
      </c>
      <c r="O233" t="str" s="97" cm="1">
        <f t="array" ref="O233">'Question_Bank'!N225</f>
        <v>No</v>
      </c>
      <c r="P233" s="133" cm="1">
        <f t="array" ref="P233">IF(F233="MCQ",1,5)</f>
        <v>1</v>
      </c>
    </row>
    <row r="234" ht="42" customHeight="1">
      <c r="A234" t="str" s="130" cm="1">
        <f t="array" ref="A234">'Question_Bank'!A226</f>
        <v>NPI0222</v>
      </c>
      <c r="B234" t="str" s="97" cm="1">
        <f t="array" ref="B234">'Question_Bank'!B226</f>
        <v>8-12</v>
      </c>
      <c r="C234" t="str" s="97" cm="1">
        <f t="array" ref="C234">'Question_Bank'!C226</f>
        <v>Cognitive Ability</v>
      </c>
      <c r="D234" t="str" s="97" cm="1">
        <f t="array" ref="D234">'Question_Bank'!D226</f>
        <v>Numerical</v>
      </c>
      <c r="E234" t="str" s="97" cm="1">
        <f t="array" ref="E234">'Question_Bank'!E226</f>
        <v>Numerical</v>
      </c>
      <c r="F234" t="str" s="97" cm="1">
        <f t="array" ref="F234">'Question_Bank'!F226</f>
        <v>MCQ</v>
      </c>
      <c r="G234" t="str" s="97" cm="1">
        <f t="array" ref="G234">'Question_Bank'!G226</f>
        <v>Average of 8,10,12,14</v>
      </c>
      <c r="H234" t="str" s="97" cm="1">
        <f t="array" ref="H234">'Question_Bank'!H226</f>
        <v>10</v>
      </c>
      <c r="I234" t="str" s="97" cm="1">
        <f t="array" ref="I234">'Question_Bank'!I226</f>
        <v>11</v>
      </c>
      <c r="J234" t="str" s="97" cm="1">
        <f t="array" ref="J234">'Question_Bank'!J226</f>
        <v>12</v>
      </c>
      <c r="K234" t="str" s="97" cm="1">
        <f t="array" ref="K234">'Question_Bank'!K226</f>
        <v>13</v>
      </c>
      <c r="L234" t="str" s="97" cm="1">
        <f t="array" ref="L234">'Question_Bank'!L226</f>
        <v>B</v>
      </c>
      <c r="M234" s="132"/>
      <c r="N234" t="str" s="97" cm="1">
        <f t="array" ref="N234">IF(M234="","",IF(F234="MCQ",IF(UPPER(M234)=UPPER(L234),1,0),IF(O234="Yes",6-VALUE(M234),VALUE(M234))))</f>
      </c>
      <c r="O234" t="str" s="97" cm="1">
        <f t="array" ref="O234">'Question_Bank'!N226</f>
        <v>No</v>
      </c>
      <c r="P234" s="133" cm="1">
        <f t="array" ref="P234">IF(F234="MCQ",1,5)</f>
        <v>1</v>
      </c>
    </row>
    <row r="235" ht="42" customHeight="1">
      <c r="A235" t="str" s="130" cm="1">
        <f t="array" ref="A235">'Question_Bank'!A227</f>
        <v>NPI0223</v>
      </c>
      <c r="B235" t="str" s="97" cm="1">
        <f t="array" ref="B235">'Question_Bank'!B227</f>
        <v>8-12</v>
      </c>
      <c r="C235" t="str" s="97" cm="1">
        <f t="array" ref="C235">'Question_Bank'!C227</f>
        <v>Cognitive Ability</v>
      </c>
      <c r="D235" t="str" s="97" cm="1">
        <f t="array" ref="D235">'Question_Bank'!D227</f>
        <v>Numerical</v>
      </c>
      <c r="E235" t="str" s="97" cm="1">
        <f t="array" ref="E235">'Question_Bank'!E227</f>
        <v>Numerical</v>
      </c>
      <c r="F235" t="str" s="97" cm="1">
        <f t="array" ref="F235">'Question_Bank'!F227</f>
        <v>MCQ</v>
      </c>
      <c r="G235" t="str" s="97" cm="1">
        <f t="array" ref="G235">'Question_Bank'!G227</f>
        <v>Ratio 2:3 total 25, first part</v>
      </c>
      <c r="H235" t="str" s="97" cm="1">
        <f t="array" ref="H235">'Question_Bank'!H227</f>
        <v>8</v>
      </c>
      <c r="I235" t="str" s="97" cm="1">
        <f t="array" ref="I235">'Question_Bank'!I227</f>
        <v>10</v>
      </c>
      <c r="J235" t="str" s="97" cm="1">
        <f t="array" ref="J235">'Question_Bank'!J227</f>
        <v>12</v>
      </c>
      <c r="K235" t="str" s="97" cm="1">
        <f t="array" ref="K235">'Question_Bank'!K227</f>
        <v>15</v>
      </c>
      <c r="L235" t="str" s="97" cm="1">
        <f t="array" ref="L235">'Question_Bank'!L227</f>
        <v>B</v>
      </c>
      <c r="M235" s="132"/>
      <c r="N235" t="str" s="97" cm="1">
        <f t="array" ref="N235">IF(M235="","",IF(F235="MCQ",IF(UPPER(M235)=UPPER(L235),1,0),IF(O235="Yes",6-VALUE(M235),VALUE(M235))))</f>
      </c>
      <c r="O235" t="str" s="97" cm="1">
        <f t="array" ref="O235">'Question_Bank'!N227</f>
        <v>No</v>
      </c>
      <c r="P235" s="133" cm="1">
        <f t="array" ref="P235">IF(F235="MCQ",1,5)</f>
        <v>1</v>
      </c>
    </row>
    <row r="236" ht="42" customHeight="1">
      <c r="A236" t="str" s="130" cm="1">
        <f t="array" ref="A236">'Question_Bank'!A228</f>
        <v>NPI0224</v>
      </c>
      <c r="B236" t="str" s="97" cm="1">
        <f t="array" ref="B236">'Question_Bank'!B228</f>
        <v>8-12</v>
      </c>
      <c r="C236" t="str" s="97" cm="1">
        <f t="array" ref="C236">'Question_Bank'!C228</f>
        <v>Cognitive Ability</v>
      </c>
      <c r="D236" t="str" s="97" cm="1">
        <f t="array" ref="D236">'Question_Bank'!D228</f>
        <v>Numerical</v>
      </c>
      <c r="E236" t="str" s="97" cm="1">
        <f t="array" ref="E236">'Question_Bank'!E228</f>
        <v>Numerical</v>
      </c>
      <c r="F236" t="str" s="97" cm="1">
        <f t="array" ref="F236">'Question_Bank'!F228</f>
        <v>MCQ</v>
      </c>
      <c r="G236" t="str" s="97" cm="1">
        <f t="array" ref="G236">'Question_Bank'!G228</f>
        <v>15 × 6</v>
      </c>
      <c r="H236" t="str" s="97" cm="1">
        <f t="array" ref="H236">'Question_Bank'!H228</f>
        <v>80</v>
      </c>
      <c r="I236" t="str" s="97" cm="1">
        <f t="array" ref="I236">'Question_Bank'!I228</f>
        <v>85</v>
      </c>
      <c r="J236" t="str" s="97" cm="1">
        <f t="array" ref="J236">'Question_Bank'!J228</f>
        <v>90</v>
      </c>
      <c r="K236" t="str" s="97" cm="1">
        <f t="array" ref="K236">'Question_Bank'!K228</f>
        <v>95</v>
      </c>
      <c r="L236" t="str" s="97" cm="1">
        <f t="array" ref="L236">'Question_Bank'!L228</f>
        <v>C</v>
      </c>
      <c r="M236" s="132"/>
      <c r="N236" t="str" s="97" cm="1">
        <f t="array" ref="N236">IF(M236="","",IF(F236="MCQ",IF(UPPER(M236)=UPPER(L236),1,0),IF(O236="Yes",6-VALUE(M236),VALUE(M236))))</f>
      </c>
      <c r="O236" t="str" s="97" cm="1">
        <f t="array" ref="O236">'Question_Bank'!N228</f>
        <v>No</v>
      </c>
      <c r="P236" s="133" cm="1">
        <f t="array" ref="P236">IF(F236="MCQ",1,5)</f>
        <v>1</v>
      </c>
    </row>
    <row r="237" ht="42" customHeight="1">
      <c r="A237" t="str" s="130" cm="1">
        <f t="array" ref="A237">'Question_Bank'!A229</f>
        <v>NPI0225</v>
      </c>
      <c r="B237" t="str" s="97" cm="1">
        <f t="array" ref="B237">'Question_Bank'!B229</f>
        <v>8-12</v>
      </c>
      <c r="C237" t="str" s="97" cm="1">
        <f t="array" ref="C237">'Question_Bank'!C229</f>
        <v>Cognitive Ability</v>
      </c>
      <c r="D237" t="str" s="97" cm="1">
        <f t="array" ref="D237">'Question_Bank'!D229</f>
        <v>Numerical</v>
      </c>
      <c r="E237" t="str" s="97" cm="1">
        <f t="array" ref="E237">'Question_Bank'!E229</f>
        <v>Numerical</v>
      </c>
      <c r="F237" t="str" s="97" cm="1">
        <f t="array" ref="F237">'Question_Bank'!F229</f>
        <v>MCQ</v>
      </c>
      <c r="G237" t="str" s="97" cm="1">
        <f t="array" ref="G237">'Question_Bank'!G229</f>
        <v>10% discount on ₹800 final price</v>
      </c>
      <c r="H237" t="str" s="97" cm="1">
        <f t="array" ref="H237">'Question_Bank'!H229</f>
        <v>₹700</v>
      </c>
      <c r="I237" t="str" s="97" cm="1">
        <f t="array" ref="I237">'Question_Bank'!I229</f>
        <v>₹720</v>
      </c>
      <c r="J237" t="str" s="97" cm="1">
        <f t="array" ref="J237">'Question_Bank'!J229</f>
        <v>₹760</v>
      </c>
      <c r="K237" t="str" s="97" cm="1">
        <f t="array" ref="K237">'Question_Bank'!K229</f>
        <v>₹780</v>
      </c>
      <c r="L237" t="str" s="97" cm="1">
        <f t="array" ref="L237">'Question_Bank'!L229</f>
        <v>B</v>
      </c>
      <c r="M237" s="132"/>
      <c r="N237" t="str" s="97" cm="1">
        <f t="array" ref="N237">IF(M237="","",IF(F237="MCQ",IF(UPPER(M237)=UPPER(L237),1,0),IF(O237="Yes",6-VALUE(M237),VALUE(M237))))</f>
      </c>
      <c r="O237" t="str" s="97" cm="1">
        <f t="array" ref="O237">'Question_Bank'!N229</f>
        <v>No</v>
      </c>
      <c r="P237" s="133" cm="1">
        <f t="array" ref="P237">IF(F237="MCQ",1,5)</f>
        <v>1</v>
      </c>
    </row>
    <row r="238" ht="42" customHeight="1">
      <c r="A238" t="str" s="130" cm="1">
        <f t="array" ref="A238">'Question_Bank'!A230</f>
        <v>NPI0226</v>
      </c>
      <c r="B238" t="str" s="97" cm="1">
        <f t="array" ref="B238">'Question_Bank'!B230</f>
        <v>8-12</v>
      </c>
      <c r="C238" t="str" s="97" cm="1">
        <f t="array" ref="C238">'Question_Bank'!C230</f>
        <v>Cognitive Ability</v>
      </c>
      <c r="D238" t="str" s="97" cm="1">
        <f t="array" ref="D238">'Question_Bank'!D230</f>
        <v>Numerical</v>
      </c>
      <c r="E238" t="str" s="97" cm="1">
        <f t="array" ref="E238">'Question_Bank'!E230</f>
        <v>Numerical</v>
      </c>
      <c r="F238" t="str" s="97" cm="1">
        <f t="array" ref="F238">'Question_Bank'!F230</f>
        <v>MCQ</v>
      </c>
      <c r="G238" t="str" s="97" cm="1">
        <f t="array" ref="G238">'Question_Bank'!G230</f>
        <v>5,10,20,40,?</v>
      </c>
      <c r="H238" t="str" s="97" cm="1">
        <f t="array" ref="H238">'Question_Bank'!H230</f>
        <v>60</v>
      </c>
      <c r="I238" t="str" s="97" cm="1">
        <f t="array" ref="I238">'Question_Bank'!I230</f>
        <v>70</v>
      </c>
      <c r="J238" t="str" s="97" cm="1">
        <f t="array" ref="J238">'Question_Bank'!J230</f>
        <v>80</v>
      </c>
      <c r="K238" t="str" s="97" cm="1">
        <f t="array" ref="K238">'Question_Bank'!K230</f>
        <v>100</v>
      </c>
      <c r="L238" t="str" s="97" cm="1">
        <f t="array" ref="L238">'Question_Bank'!L230</f>
        <v>C</v>
      </c>
      <c r="M238" s="132"/>
      <c r="N238" t="str" s="97" cm="1">
        <f t="array" ref="N238">IF(M238="","",IF(F238="MCQ",IF(UPPER(M238)=UPPER(L238),1,0),IF(O238="Yes",6-VALUE(M238),VALUE(M238))))</f>
      </c>
      <c r="O238" t="str" s="97" cm="1">
        <f t="array" ref="O238">'Question_Bank'!N230</f>
        <v>No</v>
      </c>
      <c r="P238" s="133" cm="1">
        <f t="array" ref="P238">IF(F238="MCQ",1,5)</f>
        <v>1</v>
      </c>
    </row>
    <row r="239" ht="42" customHeight="1">
      <c r="A239" t="str" s="130" cm="1">
        <f t="array" ref="A239">'Question_Bank'!A231</f>
        <v>NPI0227</v>
      </c>
      <c r="B239" t="str" s="97" cm="1">
        <f t="array" ref="B239">'Question_Bank'!B231</f>
        <v>8-12</v>
      </c>
      <c r="C239" t="str" s="97" cm="1">
        <f t="array" ref="C239">'Question_Bank'!C231</f>
        <v>Cognitive Ability</v>
      </c>
      <c r="D239" t="str" s="97" cm="1">
        <f t="array" ref="D239">'Question_Bank'!D231</f>
        <v>Numerical</v>
      </c>
      <c r="E239" t="str" s="97" cm="1">
        <f t="array" ref="E239">'Question_Bank'!E231</f>
        <v>Numerical</v>
      </c>
      <c r="F239" t="str" s="97" cm="1">
        <f t="array" ref="F239">'Question_Bank'!F231</f>
        <v>MCQ</v>
      </c>
      <c r="G239" t="str" s="97" cm="1">
        <f t="array" ref="G239">'Question_Bank'!G231</f>
        <v>3/4 of number is 60, number</v>
      </c>
      <c r="H239" t="str" s="97" cm="1">
        <f t="array" ref="H239">'Question_Bank'!H231</f>
        <v>75</v>
      </c>
      <c r="I239" t="str" s="97" cm="1">
        <f t="array" ref="I239">'Question_Bank'!I231</f>
        <v>80</v>
      </c>
      <c r="J239" t="str" s="97" cm="1">
        <f t="array" ref="J239">'Question_Bank'!J231</f>
        <v>90</v>
      </c>
      <c r="K239" t="str" s="97" cm="1">
        <f t="array" ref="K239">'Question_Bank'!K231</f>
        <v>100</v>
      </c>
      <c r="L239" t="str" s="97" cm="1">
        <f t="array" ref="L239">'Question_Bank'!L231</f>
        <v>B</v>
      </c>
      <c r="M239" s="132"/>
      <c r="N239" t="str" s="97" cm="1">
        <f t="array" ref="N239">IF(M239="","",IF(F239="MCQ",IF(UPPER(M239)=UPPER(L239),1,0),IF(O239="Yes",6-VALUE(M239),VALUE(M239))))</f>
      </c>
      <c r="O239" t="str" s="97" cm="1">
        <f t="array" ref="O239">'Question_Bank'!N231</f>
        <v>No</v>
      </c>
      <c r="P239" s="133" cm="1">
        <f t="array" ref="P239">IF(F239="MCQ",1,5)</f>
        <v>1</v>
      </c>
    </row>
    <row r="240" ht="42" customHeight="1">
      <c r="A240" t="str" s="130" cm="1">
        <f t="array" ref="A240">'Question_Bank'!A232</f>
        <v>NPI0228</v>
      </c>
      <c r="B240" t="str" s="97" cm="1">
        <f t="array" ref="B240">'Question_Bank'!B232</f>
        <v>8-12</v>
      </c>
      <c r="C240" t="str" s="97" cm="1">
        <f t="array" ref="C240">'Question_Bank'!C232</f>
        <v>Cognitive Ability</v>
      </c>
      <c r="D240" t="str" s="97" cm="1">
        <f t="array" ref="D240">'Question_Bank'!D232</f>
        <v>Numerical</v>
      </c>
      <c r="E240" t="str" s="97" cm="1">
        <f t="array" ref="E240">'Question_Bank'!E232</f>
        <v>Numerical</v>
      </c>
      <c r="F240" t="str" s="97" cm="1">
        <f t="array" ref="F240">'Question_Bank'!F232</f>
        <v>MCQ</v>
      </c>
      <c r="G240" t="str" s="97" cm="1">
        <f t="array" ref="G240">'Question_Bank'!G232</f>
        <v>Square of 13</v>
      </c>
      <c r="H240" t="str" s="97" cm="1">
        <f t="array" ref="H240">'Question_Bank'!H232</f>
        <v>156</v>
      </c>
      <c r="I240" t="str" s="97" cm="1">
        <f t="array" ref="I240">'Question_Bank'!I232</f>
        <v>169</v>
      </c>
      <c r="J240" t="str" s="97" cm="1">
        <f t="array" ref="J240">'Question_Bank'!J232</f>
        <v>178</v>
      </c>
      <c r="K240" t="str" s="97" cm="1">
        <f t="array" ref="K240">'Question_Bank'!K232</f>
        <v>196</v>
      </c>
      <c r="L240" t="str" s="97" cm="1">
        <f t="array" ref="L240">'Question_Bank'!L232</f>
        <v>B</v>
      </c>
      <c r="M240" s="132"/>
      <c r="N240" t="str" s="97" cm="1">
        <f t="array" ref="N240">IF(M240="","",IF(F240="MCQ",IF(UPPER(M240)=UPPER(L240),1,0),IF(O240="Yes",6-VALUE(M240),VALUE(M240))))</f>
      </c>
      <c r="O240" t="str" s="97" cm="1">
        <f t="array" ref="O240">'Question_Bank'!N232</f>
        <v>No</v>
      </c>
      <c r="P240" s="133" cm="1">
        <f t="array" ref="P240">IF(F240="MCQ",1,5)</f>
        <v>1</v>
      </c>
    </row>
    <row r="241" ht="42" customHeight="1">
      <c r="A241" t="str" s="130" cm="1">
        <f t="array" ref="A241">'Question_Bank'!A233</f>
        <v>NPI0229</v>
      </c>
      <c r="B241" t="str" s="97" cm="1">
        <f t="array" ref="B241">'Question_Bank'!B233</f>
        <v>8-12</v>
      </c>
      <c r="C241" t="str" s="97" cm="1">
        <f t="array" ref="C241">'Question_Bank'!C233</f>
        <v>Cognitive Ability</v>
      </c>
      <c r="D241" t="str" s="97" cm="1">
        <f t="array" ref="D241">'Question_Bank'!D233</f>
        <v>Numerical</v>
      </c>
      <c r="E241" t="str" s="97" cm="1">
        <f t="array" ref="E241">'Question_Bank'!E233</f>
        <v>Numerical</v>
      </c>
      <c r="F241" t="str" s="97" cm="1">
        <f t="array" ref="F241">'Question_Bank'!F233</f>
        <v>MCQ</v>
      </c>
      <c r="G241" t="str" s="97" cm="1">
        <f t="array" ref="G241">'Question_Bank'!G233</f>
        <v>12 workers × 6 days work-days</v>
      </c>
      <c r="H241" t="str" s="97" cm="1">
        <f t="array" ref="H241">'Question_Bank'!H233</f>
        <v>18</v>
      </c>
      <c r="I241" t="str" s="97" cm="1">
        <f t="array" ref="I241">'Question_Bank'!I233</f>
        <v>36</v>
      </c>
      <c r="J241" t="str" s="97" cm="1">
        <f t="array" ref="J241">'Question_Bank'!J233</f>
        <v>72</v>
      </c>
      <c r="K241" t="str" s="97" cm="1">
        <f t="array" ref="K241">'Question_Bank'!K233</f>
        <v>108</v>
      </c>
      <c r="L241" t="str" s="97" cm="1">
        <f t="array" ref="L241">'Question_Bank'!L233</f>
        <v>C</v>
      </c>
      <c r="M241" s="132"/>
      <c r="N241" t="str" s="97" cm="1">
        <f t="array" ref="N241">IF(M241="","",IF(F241="MCQ",IF(UPPER(M241)=UPPER(L241),1,0),IF(O241="Yes",6-VALUE(M241),VALUE(M241))))</f>
      </c>
      <c r="O241" t="str" s="97" cm="1">
        <f t="array" ref="O241">'Question_Bank'!N233</f>
        <v>No</v>
      </c>
      <c r="P241" s="133" cm="1">
        <f t="array" ref="P241">IF(F241="MCQ",1,5)</f>
        <v>1</v>
      </c>
    </row>
    <row r="242" ht="42" customHeight="1">
      <c r="A242" t="str" s="130" cm="1">
        <f t="array" ref="A242">'Question_Bank'!A234</f>
        <v>NPI0230</v>
      </c>
      <c r="B242" t="str" s="97" cm="1">
        <f t="array" ref="B242">'Question_Bank'!B234</f>
        <v>8-12</v>
      </c>
      <c r="C242" t="str" s="97" cm="1">
        <f t="array" ref="C242">'Question_Bank'!C234</f>
        <v>Cognitive Ability</v>
      </c>
      <c r="D242" t="str" s="97" cm="1">
        <f t="array" ref="D242">'Question_Bank'!D234</f>
        <v>Numerical</v>
      </c>
      <c r="E242" t="str" s="97" cm="1">
        <f t="array" ref="E242">'Question_Bank'!E234</f>
        <v>Numerical</v>
      </c>
      <c r="F242" t="str" s="97" cm="1">
        <f t="array" ref="F242">'Question_Bank'!F234</f>
        <v>MCQ</v>
      </c>
      <c r="G242" t="str" s="97" cm="1">
        <f t="array" ref="G242">'Question_Bank'!G234</f>
        <v>7.5 + 2.25</v>
      </c>
      <c r="H242" t="str" s="97" cm="1">
        <f t="array" ref="H242">'Question_Bank'!H234</f>
        <v>9.25</v>
      </c>
      <c r="I242" t="str" s="97" cm="1">
        <f t="array" ref="I242">'Question_Bank'!I234</f>
        <v>9.50</v>
      </c>
      <c r="J242" t="str" s="97" cm="1">
        <f t="array" ref="J242">'Question_Bank'!J234</f>
        <v>9.75</v>
      </c>
      <c r="K242" t="str" s="97" cm="1">
        <f t="array" ref="K242">'Question_Bank'!K234</f>
        <v>10.00</v>
      </c>
      <c r="L242" t="str" s="97" cm="1">
        <f t="array" ref="L242">'Question_Bank'!L234</f>
        <v>C</v>
      </c>
      <c r="M242" s="132"/>
      <c r="N242" t="str" s="97" cm="1">
        <f t="array" ref="N242">IF(M242="","",IF(F242="MCQ",IF(UPPER(M242)=UPPER(L242),1,0),IF(O242="Yes",6-VALUE(M242),VALUE(M242))))</f>
      </c>
      <c r="O242" t="str" s="97" cm="1">
        <f t="array" ref="O242">'Question_Bank'!N234</f>
        <v>No</v>
      </c>
      <c r="P242" s="133" cm="1">
        <f t="array" ref="P242">IF(F242="MCQ",1,5)</f>
        <v>1</v>
      </c>
    </row>
    <row r="243" ht="42" customHeight="1">
      <c r="A243" t="str" s="130" cm="1">
        <f t="array" ref="A243">'Question_Bank'!A235</f>
        <v>NPI0231</v>
      </c>
      <c r="B243" t="str" s="97" cm="1">
        <f t="array" ref="B243">'Question_Bank'!B235</f>
        <v>8-12</v>
      </c>
      <c r="C243" t="str" s="97" cm="1">
        <f t="array" ref="C243">'Question_Bank'!C235</f>
        <v>Cognitive Ability</v>
      </c>
      <c r="D243" t="str" s="97" cm="1">
        <f t="array" ref="D243">'Question_Bank'!D235</f>
        <v>Numerical</v>
      </c>
      <c r="E243" t="str" s="97" cm="1">
        <f t="array" ref="E243">'Question_Bank'!E235</f>
        <v>Numerical</v>
      </c>
      <c r="F243" t="str" s="97" cm="1">
        <f t="array" ref="F243">'Question_Bank'!F235</f>
        <v>MCQ</v>
      </c>
      <c r="G243" t="str" s="97" cm="1">
        <f t="array" ref="G243">'Question_Bank'!G235</f>
        <v>144 ÷ 12</v>
      </c>
      <c r="H243" t="str" s="97" cm="1">
        <f t="array" ref="H243">'Question_Bank'!H235</f>
        <v>10</v>
      </c>
      <c r="I243" t="str" s="97" cm="1">
        <f t="array" ref="I243">'Question_Bank'!I235</f>
        <v>11</v>
      </c>
      <c r="J243" t="str" s="97" cm="1">
        <f t="array" ref="J243">'Question_Bank'!J235</f>
        <v>12</v>
      </c>
      <c r="K243" t="str" s="97" cm="1">
        <f t="array" ref="K243">'Question_Bank'!K235</f>
        <v>14</v>
      </c>
      <c r="L243" t="str" s="97" cm="1">
        <f t="array" ref="L243">'Question_Bank'!L235</f>
        <v>C</v>
      </c>
      <c r="M243" s="132"/>
      <c r="N243" t="str" s="97" cm="1">
        <f t="array" ref="N243">IF(M243="","",IF(F243="MCQ",IF(UPPER(M243)=UPPER(L243),1,0),IF(O243="Yes",6-VALUE(M243),VALUE(M243))))</f>
      </c>
      <c r="O243" t="str" s="97" cm="1">
        <f t="array" ref="O243">'Question_Bank'!N235</f>
        <v>No</v>
      </c>
      <c r="P243" s="133" cm="1">
        <f t="array" ref="P243">IF(F243="MCQ",1,5)</f>
        <v>1</v>
      </c>
    </row>
    <row r="244" ht="42" customHeight="1">
      <c r="A244" t="str" s="130" cm="1">
        <f t="array" ref="A244">'Question_Bank'!A236</f>
        <v>NPI0232</v>
      </c>
      <c r="B244" t="str" s="97" cm="1">
        <f t="array" ref="B244">'Question_Bank'!B236</f>
        <v>8-12</v>
      </c>
      <c r="C244" t="str" s="97" cm="1">
        <f t="array" ref="C244">'Question_Bank'!C236</f>
        <v>Cognitive Ability</v>
      </c>
      <c r="D244" t="str" s="97" cm="1">
        <f t="array" ref="D244">'Question_Bank'!D236</f>
        <v>Numerical</v>
      </c>
      <c r="E244" t="str" s="97" cm="1">
        <f t="array" ref="E244">'Question_Bank'!E236</f>
        <v>Numerical</v>
      </c>
      <c r="F244" t="str" s="97" cm="1">
        <f t="array" ref="F244">'Question_Bank'!F236</f>
        <v>MCQ</v>
      </c>
      <c r="G244" t="str" s="97" cm="1">
        <f t="array" ref="G244">'Question_Bank'!G236</f>
        <v>1,4,9,16,?</v>
      </c>
      <c r="H244" t="str" s="97" cm="1">
        <f t="array" ref="H244">'Question_Bank'!H236</f>
        <v>20</v>
      </c>
      <c r="I244" t="str" s="97" cm="1">
        <f t="array" ref="I244">'Question_Bank'!I236</f>
        <v>24</v>
      </c>
      <c r="J244" t="str" s="97" cm="1">
        <f t="array" ref="J244">'Question_Bank'!J236</f>
        <v>25</v>
      </c>
      <c r="K244" t="str" s="97" cm="1">
        <f t="array" ref="K244">'Question_Bank'!K236</f>
        <v>36</v>
      </c>
      <c r="L244" t="str" s="97" cm="1">
        <f t="array" ref="L244">'Question_Bank'!L236</f>
        <v>C</v>
      </c>
      <c r="M244" s="132"/>
      <c r="N244" t="str" s="97" cm="1">
        <f t="array" ref="N244">IF(M244="","",IF(F244="MCQ",IF(UPPER(M244)=UPPER(L244),1,0),IF(O244="Yes",6-VALUE(M244),VALUE(M244))))</f>
      </c>
      <c r="O244" t="str" s="97" cm="1">
        <f t="array" ref="O244">'Question_Bank'!N236</f>
        <v>No</v>
      </c>
      <c r="P244" s="133" cm="1">
        <f t="array" ref="P244">IF(F244="MCQ",1,5)</f>
        <v>1</v>
      </c>
    </row>
    <row r="245" ht="42" customHeight="1">
      <c r="A245" t="str" s="130" cm="1">
        <f t="array" ref="A245">'Question_Bank'!A237</f>
        <v>NPI0233</v>
      </c>
      <c r="B245" t="str" s="97" cm="1">
        <f t="array" ref="B245">'Question_Bank'!B237</f>
        <v>8-12</v>
      </c>
      <c r="C245" t="str" s="97" cm="1">
        <f t="array" ref="C245">'Question_Bank'!C237</f>
        <v>Cognitive Ability</v>
      </c>
      <c r="D245" t="str" s="97" cm="1">
        <f t="array" ref="D245">'Question_Bank'!D237</f>
        <v>Numerical</v>
      </c>
      <c r="E245" t="str" s="97" cm="1">
        <f t="array" ref="E245">'Question_Bank'!E237</f>
        <v>Numerical</v>
      </c>
      <c r="F245" t="str" s="97" cm="1">
        <f t="array" ref="F245">'Question_Bank'!F237</f>
        <v>MCQ</v>
      </c>
      <c r="G245" t="str" s="97" cm="1">
        <f t="array" ref="G245">'Question_Bank'!G237</f>
        <v>40 students, 60% girls</v>
      </c>
      <c r="H245" t="str" s="97" cm="1">
        <f t="array" ref="H245">'Question_Bank'!H237</f>
        <v>20</v>
      </c>
      <c r="I245" t="str" s="97" cm="1">
        <f t="array" ref="I245">'Question_Bank'!I237</f>
        <v>22</v>
      </c>
      <c r="J245" t="str" s="97" cm="1">
        <f t="array" ref="J245">'Question_Bank'!J237</f>
        <v>24</v>
      </c>
      <c r="K245" t="str" s="97" cm="1">
        <f t="array" ref="K245">'Question_Bank'!K237</f>
        <v>26</v>
      </c>
      <c r="L245" t="str" s="97" cm="1">
        <f t="array" ref="L245">'Question_Bank'!L237</f>
        <v>C</v>
      </c>
      <c r="M245" s="132"/>
      <c r="N245" t="str" s="97" cm="1">
        <f t="array" ref="N245">IF(M245="","",IF(F245="MCQ",IF(UPPER(M245)=UPPER(L245),1,0),IF(O245="Yes",6-VALUE(M245),VALUE(M245))))</f>
      </c>
      <c r="O245" t="str" s="97" cm="1">
        <f t="array" ref="O245">'Question_Bank'!N237</f>
        <v>No</v>
      </c>
      <c r="P245" s="133" cm="1">
        <f t="array" ref="P245">IF(F245="MCQ",1,5)</f>
        <v>1</v>
      </c>
    </row>
    <row r="246" ht="42" customHeight="1">
      <c r="A246" t="str" s="130" cm="1">
        <f t="array" ref="A246">'Question_Bank'!A238</f>
        <v>NPI0234</v>
      </c>
      <c r="B246" t="str" s="97" cm="1">
        <f t="array" ref="B246">'Question_Bank'!B238</f>
        <v>8-12</v>
      </c>
      <c r="C246" t="str" s="97" cm="1">
        <f t="array" ref="C246">'Question_Bank'!C238</f>
        <v>Cognitive Ability</v>
      </c>
      <c r="D246" t="str" s="97" cm="1">
        <f t="array" ref="D246">'Question_Bank'!D238</f>
        <v>Numerical</v>
      </c>
      <c r="E246" t="str" s="97" cm="1">
        <f t="array" ref="E246">'Question_Bank'!E238</f>
        <v>Numerical</v>
      </c>
      <c r="F246" t="str" s="97" cm="1">
        <f t="array" ref="F246">'Question_Bank'!F238</f>
        <v>MCQ</v>
      </c>
      <c r="G246" t="str" s="97" cm="1">
        <f t="array" ref="G246">'Question_Bank'!G238</f>
        <v>2 pencils ₹8, 7 pencils</v>
      </c>
      <c r="H246" t="str" s="97" cm="1">
        <f t="array" ref="H246">'Question_Bank'!H238</f>
        <v>₹24</v>
      </c>
      <c r="I246" t="str" s="97" cm="1">
        <f t="array" ref="I246">'Question_Bank'!I238</f>
        <v>₹26</v>
      </c>
      <c r="J246" t="str" s="97" cm="1">
        <f t="array" ref="J246">'Question_Bank'!J238</f>
        <v>₹28</v>
      </c>
      <c r="K246" t="str" s="97" cm="1">
        <f t="array" ref="K246">'Question_Bank'!K238</f>
        <v>₹30</v>
      </c>
      <c r="L246" t="str" s="97" cm="1">
        <f t="array" ref="L246">'Question_Bank'!L238</f>
        <v>C</v>
      </c>
      <c r="M246" s="132"/>
      <c r="N246" t="str" s="97" cm="1">
        <f t="array" ref="N246">IF(M246="","",IF(F246="MCQ",IF(UPPER(M246)=UPPER(L246),1,0),IF(O246="Yes",6-VALUE(M246),VALUE(M246))))</f>
      </c>
      <c r="O246" t="str" s="97" cm="1">
        <f t="array" ref="O246">'Question_Bank'!N238</f>
        <v>No</v>
      </c>
      <c r="P246" s="133" cm="1">
        <f t="array" ref="P246">IF(F246="MCQ",1,5)</f>
        <v>1</v>
      </c>
    </row>
    <row r="247" ht="42" customHeight="1">
      <c r="A247" t="str" s="130" cm="1">
        <f t="array" ref="A247">'Question_Bank'!A239</f>
        <v>NPI0235</v>
      </c>
      <c r="B247" t="str" s="97" cm="1">
        <f t="array" ref="B247">'Question_Bank'!B239</f>
        <v>8-12</v>
      </c>
      <c r="C247" t="str" s="97" cm="1">
        <f t="array" ref="C247">'Question_Bank'!C239</f>
        <v>Cognitive Ability</v>
      </c>
      <c r="D247" t="str" s="97" cm="1">
        <f t="array" ref="D247">'Question_Bank'!D239</f>
        <v>Numerical</v>
      </c>
      <c r="E247" t="str" s="97" cm="1">
        <f t="array" ref="E247">'Question_Bank'!E239</f>
        <v>Numerical</v>
      </c>
      <c r="F247" t="str" s="97" cm="1">
        <f t="array" ref="F247">'Question_Bank'!F239</f>
        <v>MCQ</v>
      </c>
      <c r="G247" t="str" s="97" cm="1">
        <f t="array" ref="G247">'Question_Bank'!G239</f>
        <v>0.25 as percentage</v>
      </c>
      <c r="H247" t="str" s="97" cm="1">
        <f t="array" ref="H247">'Question_Bank'!H239</f>
        <v>2.5%</v>
      </c>
      <c r="I247" t="str" s="97" cm="1">
        <f t="array" ref="I247">'Question_Bank'!I239</f>
        <v>25%</v>
      </c>
      <c r="J247" t="str" s="97" cm="1">
        <f t="array" ref="J247">'Question_Bank'!J239</f>
        <v>50%</v>
      </c>
      <c r="K247" t="str" s="97" cm="1">
        <f t="array" ref="K247">'Question_Bank'!K239</f>
        <v>75%</v>
      </c>
      <c r="L247" t="str" s="97" cm="1">
        <f t="array" ref="L247">'Question_Bank'!L239</f>
        <v>B</v>
      </c>
      <c r="M247" s="132"/>
      <c r="N247" t="str" s="97" cm="1">
        <f t="array" ref="N247">IF(M247="","",IF(F247="MCQ",IF(UPPER(M247)=UPPER(L247),1,0),IF(O247="Yes",6-VALUE(M247),VALUE(M247))))</f>
      </c>
      <c r="O247" t="str" s="97" cm="1">
        <f t="array" ref="O247">'Question_Bank'!N239</f>
        <v>No</v>
      </c>
      <c r="P247" s="133" cm="1">
        <f t="array" ref="P247">IF(F247="MCQ",1,5)</f>
        <v>1</v>
      </c>
    </row>
    <row r="248" ht="42" customHeight="1">
      <c r="A248" t="str" s="130" cm="1">
        <f t="array" ref="A248">'Question_Bank'!A240</f>
        <v>NPI0236</v>
      </c>
      <c r="B248" t="str" s="97" cm="1">
        <f t="array" ref="B248">'Question_Bank'!B240</f>
        <v>8-12</v>
      </c>
      <c r="C248" t="str" s="97" cm="1">
        <f t="array" ref="C248">'Question_Bank'!C240</f>
        <v>Cognitive Ability</v>
      </c>
      <c r="D248" t="str" s="97" cm="1">
        <f t="array" ref="D248">'Question_Bank'!D240</f>
        <v>Logic</v>
      </c>
      <c r="E248" t="str" s="97" cm="1">
        <f t="array" ref="E248">'Question_Bank'!E240</f>
        <v>Logic</v>
      </c>
      <c r="F248" t="str" s="97" cm="1">
        <f t="array" ref="F248">'Question_Bank'!F240</f>
        <v>MCQ</v>
      </c>
      <c r="G248" t="str" s="97" cm="1">
        <f t="array" ref="G248">'Question_Bank'!G240</f>
        <v>All roses are flowers. Which is definitely true?</v>
      </c>
      <c r="H248" t="str" s="97" cm="1">
        <f t="array" ref="H248">'Question_Bank'!H240</f>
        <v>All roses fade</v>
      </c>
      <c r="I248" t="str" s="97" cm="1">
        <f t="array" ref="I248">'Question_Bank'!I240</f>
        <v>Some roses fade</v>
      </c>
      <c r="J248" t="str" s="97" cm="1">
        <f t="array" ref="J248">'Question_Bank'!J240</f>
        <v>Roses are flowers</v>
      </c>
      <c r="K248" t="str" s="97" cm="1">
        <f t="array" ref="K248">'Question_Bank'!K240</f>
        <v>No flowers are roses</v>
      </c>
      <c r="L248" t="str" s="97" cm="1">
        <f t="array" ref="L248">'Question_Bank'!L240</f>
        <v>C</v>
      </c>
      <c r="M248" s="132"/>
      <c r="N248" t="str" s="97" cm="1">
        <f t="array" ref="N248">IF(M248="","",IF(F248="MCQ",IF(UPPER(M248)=UPPER(L248),1,0),IF(O248="Yes",6-VALUE(M248),VALUE(M248))))</f>
      </c>
      <c r="O248" t="str" s="97" cm="1">
        <f t="array" ref="O248">'Question_Bank'!N240</f>
        <v>No</v>
      </c>
      <c r="P248" s="133" cm="1">
        <f t="array" ref="P248">IF(F248="MCQ",1,5)</f>
        <v>1</v>
      </c>
    </row>
    <row r="249" ht="42" customHeight="1">
      <c r="A249" t="str" s="130" cm="1">
        <f t="array" ref="A249">'Question_Bank'!A241</f>
        <v>NPI0237</v>
      </c>
      <c r="B249" t="str" s="97" cm="1">
        <f t="array" ref="B249">'Question_Bank'!B241</f>
        <v>8-12</v>
      </c>
      <c r="C249" t="str" s="97" cm="1">
        <f t="array" ref="C249">'Question_Bank'!C241</f>
        <v>Cognitive Ability</v>
      </c>
      <c r="D249" t="str" s="97" cm="1">
        <f t="array" ref="D249">'Question_Bank'!D241</f>
        <v>Logic</v>
      </c>
      <c r="E249" t="str" s="97" cm="1">
        <f t="array" ref="E249">'Question_Bank'!E241</f>
        <v>Logic</v>
      </c>
      <c r="F249" t="str" s="97" cm="1">
        <f t="array" ref="F249">'Question_Bank'!F241</f>
        <v>MCQ</v>
      </c>
      <c r="G249" t="str" s="97" cm="1">
        <f t="array" ref="G249">'Question_Bank'!G241</f>
        <v>Wednesday + 10 days</v>
      </c>
      <c r="H249" t="str" s="97" cm="1">
        <f t="array" ref="H249">'Question_Bank'!H241</f>
        <v>Friday</v>
      </c>
      <c r="I249" t="str" s="97" cm="1">
        <f t="array" ref="I249">'Question_Bank'!I241</f>
        <v>Saturday</v>
      </c>
      <c r="J249" t="str" s="97" cm="1">
        <f t="array" ref="J249">'Question_Bank'!J241</f>
        <v>Sunday</v>
      </c>
      <c r="K249" t="str" s="97" cm="1">
        <f t="array" ref="K249">'Question_Bank'!K241</f>
        <v>Monday</v>
      </c>
      <c r="L249" t="str" s="97" cm="1">
        <f t="array" ref="L249">'Question_Bank'!L241</f>
        <v>B</v>
      </c>
      <c r="M249" s="132"/>
      <c r="N249" t="str" s="97" cm="1">
        <f t="array" ref="N249">IF(M249="","",IF(F249="MCQ",IF(UPPER(M249)=UPPER(L249),1,0),IF(O249="Yes",6-VALUE(M249),VALUE(M249))))</f>
      </c>
      <c r="O249" t="str" s="97" cm="1">
        <f t="array" ref="O249">'Question_Bank'!N241</f>
        <v>No</v>
      </c>
      <c r="P249" s="133" cm="1">
        <f t="array" ref="P249">IF(F249="MCQ",1,5)</f>
        <v>1</v>
      </c>
    </row>
    <row r="250" ht="42" customHeight="1">
      <c r="A250" t="str" s="130" cm="1">
        <f t="array" ref="A250">'Question_Bank'!A242</f>
        <v>NPI0238</v>
      </c>
      <c r="B250" t="str" s="97" cm="1">
        <f t="array" ref="B250">'Question_Bank'!B242</f>
        <v>8-12</v>
      </c>
      <c r="C250" t="str" s="97" cm="1">
        <f t="array" ref="C250">'Question_Bank'!C242</f>
        <v>Cognitive Ability</v>
      </c>
      <c r="D250" t="str" s="97" cm="1">
        <f t="array" ref="D250">'Question_Bank'!D242</f>
        <v>Logic</v>
      </c>
      <c r="E250" t="str" s="97" cm="1">
        <f t="array" ref="E250">'Question_Bank'!E242</f>
        <v>Logic</v>
      </c>
      <c r="F250" t="str" s="97" cm="1">
        <f t="array" ref="F250">'Question_Bank'!F242</f>
        <v>MCQ</v>
      </c>
      <c r="G250" t="str" s="97" cm="1">
        <f t="array" ref="G250">'Question_Bank'!G242</f>
        <v>Odd one: Pen, Pencil, Eraser, Mango</v>
      </c>
      <c r="H250" t="str" s="97" cm="1">
        <f t="array" ref="H250">'Question_Bank'!H242</f>
        <v>Pen</v>
      </c>
      <c r="I250" t="str" s="97" cm="1">
        <f t="array" ref="I250">'Question_Bank'!I242</f>
        <v>Pencil</v>
      </c>
      <c r="J250" t="str" s="97" cm="1">
        <f t="array" ref="J250">'Question_Bank'!J242</f>
        <v>Eraser</v>
      </c>
      <c r="K250" t="str" s="97" cm="1">
        <f t="array" ref="K250">'Question_Bank'!K242</f>
        <v>Mango</v>
      </c>
      <c r="L250" t="str" s="97" cm="1">
        <f t="array" ref="L250">'Question_Bank'!L242</f>
        <v>D</v>
      </c>
      <c r="M250" s="132"/>
      <c r="N250" t="str" s="97" cm="1">
        <f t="array" ref="N250">IF(M250="","",IF(F250="MCQ",IF(UPPER(M250)=UPPER(L250),1,0),IF(O250="Yes",6-VALUE(M250),VALUE(M250))))</f>
      </c>
      <c r="O250" t="str" s="97" cm="1">
        <f t="array" ref="O250">'Question_Bank'!N242</f>
        <v>No</v>
      </c>
      <c r="P250" s="133" cm="1">
        <f t="array" ref="P250">IF(F250="MCQ",1,5)</f>
        <v>1</v>
      </c>
    </row>
    <row r="251" ht="42" customHeight="1">
      <c r="A251" t="str" s="130" cm="1">
        <f t="array" ref="A251">'Question_Bank'!A243</f>
        <v>NPI0239</v>
      </c>
      <c r="B251" t="str" s="97" cm="1">
        <f t="array" ref="B251">'Question_Bank'!B243</f>
        <v>8-12</v>
      </c>
      <c r="C251" t="str" s="97" cm="1">
        <f t="array" ref="C251">'Question_Bank'!C243</f>
        <v>Cognitive Ability</v>
      </c>
      <c r="D251" t="str" s="97" cm="1">
        <f t="array" ref="D251">'Question_Bank'!D243</f>
        <v>Logic</v>
      </c>
      <c r="E251" t="str" s="97" cm="1">
        <f t="array" ref="E251">'Question_Bank'!E243</f>
        <v>Logic</v>
      </c>
      <c r="F251" t="str" s="97" cm="1">
        <f t="array" ref="F251">'Question_Bank'!F243</f>
        <v>MCQ</v>
      </c>
      <c r="G251" t="str" s="97" cm="1">
        <f t="array" ref="G251">'Question_Bank'!G243</f>
        <v>A taller than B, B taller than C. Tallest?</v>
      </c>
      <c r="H251" t="str" s="97" cm="1">
        <f t="array" ref="H251">'Question_Bank'!H243</f>
        <v>A</v>
      </c>
      <c r="I251" t="str" s="97" cm="1">
        <f t="array" ref="I251">'Question_Bank'!I243</f>
        <v>B</v>
      </c>
      <c r="J251" t="str" s="97" cm="1">
        <f t="array" ref="J251">'Question_Bank'!J243</f>
        <v>C</v>
      </c>
      <c r="K251" t="str" s="97" cm="1">
        <f t="array" ref="K251">'Question_Bank'!K243</f>
        <v>Cannot say</v>
      </c>
      <c r="L251" t="str" s="97" cm="1">
        <f t="array" ref="L251">'Question_Bank'!L243</f>
        <v>A</v>
      </c>
      <c r="M251" s="132"/>
      <c r="N251" t="str" s="97" cm="1">
        <f t="array" ref="N251">IF(M251="","",IF(F251="MCQ",IF(UPPER(M251)=UPPER(L251),1,0),IF(O251="Yes",6-VALUE(M251),VALUE(M251))))</f>
      </c>
      <c r="O251" t="str" s="97" cm="1">
        <f t="array" ref="O251">'Question_Bank'!N243</f>
        <v>No</v>
      </c>
      <c r="P251" s="133" cm="1">
        <f t="array" ref="P251">IF(F251="MCQ",1,5)</f>
        <v>1</v>
      </c>
    </row>
    <row r="252" ht="42" customHeight="1">
      <c r="A252" t="str" s="130" cm="1">
        <f t="array" ref="A252">'Question_Bank'!A244</f>
        <v>NPI0240</v>
      </c>
      <c r="B252" t="str" s="97" cm="1">
        <f t="array" ref="B252">'Question_Bank'!B244</f>
        <v>8-12</v>
      </c>
      <c r="C252" t="str" s="97" cm="1">
        <f t="array" ref="C252">'Question_Bank'!C244</f>
        <v>Cognitive Ability</v>
      </c>
      <c r="D252" t="str" s="97" cm="1">
        <f t="array" ref="D252">'Question_Bank'!D244</f>
        <v>Logic</v>
      </c>
      <c r="E252" t="str" s="97" cm="1">
        <f t="array" ref="E252">'Question_Bank'!E244</f>
        <v>Logic</v>
      </c>
      <c r="F252" t="str" s="97" cm="1">
        <f t="array" ref="F252">'Question_Bank'!F244</f>
        <v>MCQ</v>
      </c>
      <c r="G252" t="str" s="97" cm="1">
        <f t="array" ref="G252">'Question_Bank'!G244</f>
        <v>Bird:Fly :: Fish:?</v>
      </c>
      <c r="H252" t="str" s="97" cm="1">
        <f t="array" ref="H252">'Question_Bank'!H244</f>
        <v>Run</v>
      </c>
      <c r="I252" t="str" s="97" cm="1">
        <f t="array" ref="I252">'Question_Bank'!I244</f>
        <v>Swim</v>
      </c>
      <c r="J252" t="str" s="97" cm="1">
        <f t="array" ref="J252">'Question_Bank'!J244</f>
        <v>Walk</v>
      </c>
      <c r="K252" t="str" s="97" cm="1">
        <f t="array" ref="K252">'Question_Bank'!K244</f>
        <v>Climb</v>
      </c>
      <c r="L252" t="str" s="97" cm="1">
        <f t="array" ref="L252">'Question_Bank'!L244</f>
        <v>B</v>
      </c>
      <c r="M252" s="132"/>
      <c r="N252" t="str" s="97" cm="1">
        <f t="array" ref="N252">IF(M252="","",IF(F252="MCQ",IF(UPPER(M252)=UPPER(L252),1,0),IF(O252="Yes",6-VALUE(M252),VALUE(M252))))</f>
      </c>
      <c r="O252" t="str" s="97" cm="1">
        <f t="array" ref="O252">'Question_Bank'!N244</f>
        <v>No</v>
      </c>
      <c r="P252" s="133" cm="1">
        <f t="array" ref="P252">IF(F252="MCQ",1,5)</f>
        <v>1</v>
      </c>
    </row>
    <row r="253" ht="42" customHeight="1">
      <c r="A253" t="str" s="130" cm="1">
        <f t="array" ref="A253">'Question_Bank'!A245</f>
        <v>NPI0241</v>
      </c>
      <c r="B253" t="str" s="97" cm="1">
        <f t="array" ref="B253">'Question_Bank'!B245</f>
        <v>8-12</v>
      </c>
      <c r="C253" t="str" s="97" cm="1">
        <f t="array" ref="C253">'Question_Bank'!C245</f>
        <v>Cognitive Ability</v>
      </c>
      <c r="D253" t="str" s="97" cm="1">
        <f t="array" ref="D253">'Question_Bank'!D245</f>
        <v>Logic</v>
      </c>
      <c r="E253" t="str" s="97" cm="1">
        <f t="array" ref="E253">'Question_Bank'!E245</f>
        <v>Logic</v>
      </c>
      <c r="F253" t="str" s="97" cm="1">
        <f t="array" ref="F253">'Question_Bank'!F245</f>
        <v>MCQ</v>
      </c>
      <c r="G253" t="str" s="97" cm="1">
        <f t="array" ref="G253">'Question_Bank'!G245</f>
        <v>All squares are rectangles, then</v>
      </c>
      <c r="H253" t="str" s="97" cm="1">
        <f t="array" ref="H253">'Question_Bank'!H245</f>
        <v>All rectangles squares</v>
      </c>
      <c r="I253" t="str" s="97" cm="1">
        <f t="array" ref="I253">'Question_Bank'!I245</f>
        <v>Some rectangles may be squares</v>
      </c>
      <c r="J253" t="str" s="97" cm="1">
        <f t="array" ref="J253">'Question_Bank'!J245</f>
        <v>No square rectangle</v>
      </c>
      <c r="K253" t="str" s="97" cm="1">
        <f t="array" ref="K253">'Question_Bank'!K245</f>
        <v>Cannot say</v>
      </c>
      <c r="L253" t="str" s="97" cm="1">
        <f t="array" ref="L253">'Question_Bank'!L245</f>
        <v>B</v>
      </c>
      <c r="M253" s="132"/>
      <c r="N253" t="str" s="97" cm="1">
        <f t="array" ref="N253">IF(M253="","",IF(F253="MCQ",IF(UPPER(M253)=UPPER(L253),1,0),IF(O253="Yes",6-VALUE(M253),VALUE(M253))))</f>
      </c>
      <c r="O253" t="str" s="97" cm="1">
        <f t="array" ref="O253">'Question_Bank'!N245</f>
        <v>No</v>
      </c>
      <c r="P253" s="133" cm="1">
        <f t="array" ref="P253">IF(F253="MCQ",1,5)</f>
        <v>1</v>
      </c>
    </row>
    <row r="254" ht="42" customHeight="1">
      <c r="A254" t="str" s="130" cm="1">
        <f t="array" ref="A254">'Question_Bank'!A246</f>
        <v>NPI0242</v>
      </c>
      <c r="B254" t="str" s="97" cm="1">
        <f t="array" ref="B254">'Question_Bank'!B246</f>
        <v>8-12</v>
      </c>
      <c r="C254" t="str" s="97" cm="1">
        <f t="array" ref="C254">'Question_Bank'!C246</f>
        <v>Cognitive Ability</v>
      </c>
      <c r="D254" t="str" s="97" cm="1">
        <f t="array" ref="D254">'Question_Bank'!D246</f>
        <v>Logic</v>
      </c>
      <c r="E254" t="str" s="97" cm="1">
        <f t="array" ref="E254">'Question_Bank'!E246</f>
        <v>Logic</v>
      </c>
      <c r="F254" t="str" s="97" cm="1">
        <f t="array" ref="F254">'Question_Bank'!F246</f>
        <v>MCQ</v>
      </c>
      <c r="G254" t="str" s="97" cm="1">
        <f t="array" ref="G254">'Question_Bank'!G246</f>
        <v>Riya older than Sam, Sam older than Tina. Tina is</v>
      </c>
      <c r="H254" t="str" s="97" cm="1">
        <f t="array" ref="H254">'Question_Bank'!H246</f>
        <v>Oldest</v>
      </c>
      <c r="I254" t="str" s="97" cm="1">
        <f t="array" ref="I254">'Question_Bank'!I246</f>
        <v>Youngest</v>
      </c>
      <c r="J254" t="str" s="97" cm="1">
        <f t="array" ref="J254">'Question_Bank'!J246</f>
        <v>Same</v>
      </c>
      <c r="K254" t="str" s="97" cm="1">
        <f t="array" ref="K254">'Question_Bank'!K246</f>
        <v>Cannot say</v>
      </c>
      <c r="L254" t="str" s="97" cm="1">
        <f t="array" ref="L254">'Question_Bank'!L246</f>
        <v>B</v>
      </c>
      <c r="M254" s="132"/>
      <c r="N254" t="str" s="97" cm="1">
        <f t="array" ref="N254">IF(M254="","",IF(F254="MCQ",IF(UPPER(M254)=UPPER(L254),1,0),IF(O254="Yes",6-VALUE(M254),VALUE(M254))))</f>
      </c>
      <c r="O254" t="str" s="97" cm="1">
        <f t="array" ref="O254">'Question_Bank'!N246</f>
        <v>No</v>
      </c>
      <c r="P254" s="133" cm="1">
        <f t="array" ref="P254">IF(F254="MCQ",1,5)</f>
        <v>1</v>
      </c>
    </row>
    <row r="255" ht="42" customHeight="1">
      <c r="A255" t="str" s="130" cm="1">
        <f t="array" ref="A255">'Question_Bank'!A247</f>
        <v>NPI0243</v>
      </c>
      <c r="B255" t="str" s="97" cm="1">
        <f t="array" ref="B255">'Question_Bank'!B247</f>
        <v>8-12</v>
      </c>
      <c r="C255" t="str" s="97" cm="1">
        <f t="array" ref="C255">'Question_Bank'!C247</f>
        <v>Cognitive Ability</v>
      </c>
      <c r="D255" t="str" s="97" cm="1">
        <f t="array" ref="D255">'Question_Bank'!D247</f>
        <v>Logic</v>
      </c>
      <c r="E255" t="str" s="97" cm="1">
        <f t="array" ref="E255">'Question_Bank'!E247</f>
        <v>Logic</v>
      </c>
      <c r="F255" t="str" s="97" cm="1">
        <f t="array" ref="F255">'Question_Bank'!F247</f>
        <v>MCQ</v>
      </c>
      <c r="G255" t="str" s="97" cm="1">
        <f t="array" ref="G255">'Question_Bank'!G247</f>
        <v>Some students athletes. All athletes practice. Some students practice.</v>
      </c>
      <c r="H255" t="str" s="97" cm="1">
        <f t="array" ref="H255">'Question_Bank'!H247</f>
        <v>True</v>
      </c>
      <c r="I255" t="str" s="97" cm="1">
        <f t="array" ref="I255">'Question_Bank'!I247</f>
        <v>False</v>
      </c>
      <c r="J255" t="str" s="97" cm="1">
        <f t="array" ref="J255">'Question_Bank'!J247</f>
        <v>Cannot say</v>
      </c>
      <c r="K255" t="str" s="97" cm="1">
        <f t="array" ref="K255">'Question_Bank'!K247</f>
        <v>Opposite</v>
      </c>
      <c r="L255" t="str" s="97" cm="1">
        <f t="array" ref="L255">'Question_Bank'!L247</f>
        <v>A</v>
      </c>
      <c r="M255" s="132"/>
      <c r="N255" t="str" s="97" cm="1">
        <f t="array" ref="N255">IF(M255="","",IF(F255="MCQ",IF(UPPER(M255)=UPPER(L255),1,0),IF(O255="Yes",6-VALUE(M255),VALUE(M255))))</f>
      </c>
      <c r="O255" t="str" s="97" cm="1">
        <f t="array" ref="O255">'Question_Bank'!N247</f>
        <v>No</v>
      </c>
      <c r="P255" s="133" cm="1">
        <f t="array" ref="P255">IF(F255="MCQ",1,5)</f>
        <v>1</v>
      </c>
    </row>
    <row r="256" ht="42" customHeight="1">
      <c r="A256" t="str" s="130" cm="1">
        <f t="array" ref="A256">'Question_Bank'!A248</f>
        <v>NPI0244</v>
      </c>
      <c r="B256" t="str" s="97" cm="1">
        <f t="array" ref="B256">'Question_Bank'!B248</f>
        <v>8-12</v>
      </c>
      <c r="C256" t="str" s="97" cm="1">
        <f t="array" ref="C256">'Question_Bank'!C248</f>
        <v>Cognitive Ability</v>
      </c>
      <c r="D256" t="str" s="97" cm="1">
        <f t="array" ref="D256">'Question_Bank'!D248</f>
        <v>Logic</v>
      </c>
      <c r="E256" t="str" s="97" cm="1">
        <f t="array" ref="E256">'Question_Bank'!E248</f>
        <v>Logic</v>
      </c>
      <c r="F256" t="str" s="97" cm="1">
        <f t="array" ref="F256">'Question_Bank'!F248</f>
        <v>MCQ</v>
      </c>
      <c r="G256" t="str" s="97" cm="1">
        <f t="array" ref="G256">'Question_Bank'!G248</f>
        <v>Plants wilt because</v>
      </c>
      <c r="H256" t="str" s="97" cm="1">
        <f t="array" ref="H256">'Question_Bank'!H248</f>
        <v>They sing</v>
      </c>
      <c r="I256" t="str" s="97" cm="1">
        <f t="array" ref="I256">'Question_Bank'!I248</f>
        <v>They lack water</v>
      </c>
      <c r="J256" t="str" s="97" cm="1">
        <f t="array" ref="J256">'Question_Bank'!J248</f>
        <v>They read</v>
      </c>
      <c r="K256" t="str" s="97" cm="1">
        <f t="array" ref="K256">'Question_Bank'!K248</f>
        <v>They run</v>
      </c>
      <c r="L256" t="str" s="97" cm="1">
        <f t="array" ref="L256">'Question_Bank'!L248</f>
        <v>B</v>
      </c>
      <c r="M256" s="132"/>
      <c r="N256" t="str" s="97" cm="1">
        <f t="array" ref="N256">IF(M256="","",IF(F256="MCQ",IF(UPPER(M256)=UPPER(L256),1,0),IF(O256="Yes",6-VALUE(M256),VALUE(M256))))</f>
      </c>
      <c r="O256" t="str" s="97" cm="1">
        <f t="array" ref="O256">'Question_Bank'!N248</f>
        <v>No</v>
      </c>
      <c r="P256" s="133" cm="1">
        <f t="array" ref="P256">IF(F256="MCQ",1,5)</f>
        <v>1</v>
      </c>
    </row>
    <row r="257" ht="42" customHeight="1">
      <c r="A257" t="str" s="130" cm="1">
        <f t="array" ref="A257">'Question_Bank'!A249</f>
        <v>NPI0245</v>
      </c>
      <c r="B257" t="str" s="97" cm="1">
        <f t="array" ref="B257">'Question_Bank'!B249</f>
        <v>8-12</v>
      </c>
      <c r="C257" t="str" s="97" cm="1">
        <f t="array" ref="C257">'Question_Bank'!C249</f>
        <v>Cognitive Ability</v>
      </c>
      <c r="D257" t="str" s="97" cm="1">
        <f t="array" ref="D257">'Question_Bank'!D249</f>
        <v>Logic</v>
      </c>
      <c r="E257" t="str" s="97" cm="1">
        <f t="array" ref="E257">'Question_Bank'!E249</f>
        <v>Logic</v>
      </c>
      <c r="F257" t="str" s="97" cm="1">
        <f t="array" ref="F257">'Question_Bank'!F249</f>
        <v>MCQ</v>
      </c>
      <c r="G257" t="str" s="97" cm="1">
        <f t="array" ref="G257">'Question_Bank'!G249</f>
        <v>Book:Read :: Food:?</v>
      </c>
      <c r="H257" t="str" s="97" cm="1">
        <f t="array" ref="H257">'Question_Bank'!H249</f>
        <v>Cook</v>
      </c>
      <c r="I257" t="str" s="97" cm="1">
        <f t="array" ref="I257">'Question_Bank'!I249</f>
        <v>Eat</v>
      </c>
      <c r="J257" t="str" s="97" cm="1">
        <f t="array" ref="J257">'Question_Bank'!J249</f>
        <v>Write</v>
      </c>
      <c r="K257" t="str" s="97" cm="1">
        <f t="array" ref="K257">'Question_Bank'!K249</f>
        <v>Draw</v>
      </c>
      <c r="L257" t="str" s="97" cm="1">
        <f t="array" ref="L257">'Question_Bank'!L249</f>
        <v>B</v>
      </c>
      <c r="M257" s="132"/>
      <c r="N257" t="str" s="97" cm="1">
        <f t="array" ref="N257">IF(M257="","",IF(F257="MCQ",IF(UPPER(M257)=UPPER(L257),1,0),IF(O257="Yes",6-VALUE(M257),VALUE(M257))))</f>
      </c>
      <c r="O257" t="str" s="97" cm="1">
        <f t="array" ref="O257">'Question_Bank'!N249</f>
        <v>No</v>
      </c>
      <c r="P257" s="133" cm="1">
        <f t="array" ref="P257">IF(F257="MCQ",1,5)</f>
        <v>1</v>
      </c>
    </row>
    <row r="258" ht="42" customHeight="1">
      <c r="A258" t="str" s="130" cm="1">
        <f t="array" ref="A258">'Question_Bank'!A250</f>
        <v>NPI0246</v>
      </c>
      <c r="B258" t="str" s="97" cm="1">
        <f t="array" ref="B258">'Question_Bank'!B250</f>
        <v>8-12</v>
      </c>
      <c r="C258" t="str" s="97" cm="1">
        <f t="array" ref="C258">'Question_Bank'!C250</f>
        <v>Cognitive Ability</v>
      </c>
      <c r="D258" t="str" s="97" cm="1">
        <f t="array" ref="D258">'Question_Bank'!D250</f>
        <v>Logic</v>
      </c>
      <c r="E258" t="str" s="97" cm="1">
        <f t="array" ref="E258">'Question_Bank'!E250</f>
        <v>Logic</v>
      </c>
      <c r="F258" t="str" s="97" cm="1">
        <f t="array" ref="F258">'Question_Bank'!F250</f>
        <v>MCQ</v>
      </c>
      <c r="G258" t="str" s="97" cm="1">
        <f t="array" ref="G258">'Question_Bank'!G250</f>
        <v>CAT-&gt;DBU, DOG-&gt;</v>
      </c>
      <c r="H258" t="str" s="97" cm="1">
        <f t="array" ref="H258">'Question_Bank'!H250</f>
        <v>EPH</v>
      </c>
      <c r="I258" t="str" s="97" cm="1">
        <f t="array" ref="I258">'Question_Bank'!I250</f>
        <v>EOG</v>
      </c>
      <c r="J258" t="str" s="97" cm="1">
        <f t="array" ref="J258">'Question_Bank'!J250</f>
        <v>CNG</v>
      </c>
      <c r="K258" t="str" s="97" cm="1">
        <f t="array" ref="K258">'Question_Bank'!K250</f>
        <v>FPI</v>
      </c>
      <c r="L258" t="str" s="97" cm="1">
        <f t="array" ref="L258">'Question_Bank'!L250</f>
        <v>A</v>
      </c>
      <c r="M258" s="132"/>
      <c r="N258" t="str" s="97" cm="1">
        <f t="array" ref="N258">IF(M258="","",IF(F258="MCQ",IF(UPPER(M258)=UPPER(L258),1,0),IF(O258="Yes",6-VALUE(M258),VALUE(M258))))</f>
      </c>
      <c r="O258" t="str" s="97" cm="1">
        <f t="array" ref="O258">'Question_Bank'!N250</f>
        <v>No</v>
      </c>
      <c r="P258" s="133" cm="1">
        <f t="array" ref="P258">IF(F258="MCQ",1,5)</f>
        <v>1</v>
      </c>
    </row>
    <row r="259" ht="42" customHeight="1">
      <c r="A259" t="str" s="130" cm="1">
        <f t="array" ref="A259">'Question_Bank'!A251</f>
        <v>NPI0247</v>
      </c>
      <c r="B259" t="str" s="97" cm="1">
        <f t="array" ref="B259">'Question_Bank'!B251</f>
        <v>8-12</v>
      </c>
      <c r="C259" t="str" s="97" cm="1">
        <f t="array" ref="C259">'Question_Bank'!C251</f>
        <v>Cognitive Ability</v>
      </c>
      <c r="D259" t="str" s="97" cm="1">
        <f t="array" ref="D259">'Question_Bank'!D251</f>
        <v>Logic</v>
      </c>
      <c r="E259" t="str" s="97" cm="1">
        <f t="array" ref="E259">'Question_Bank'!E251</f>
        <v>Logic</v>
      </c>
      <c r="F259" t="str" s="97" cm="1">
        <f t="array" ref="F259">'Question_Bank'!F251</f>
        <v>MCQ</v>
      </c>
      <c r="G259" t="str" s="97" cm="1">
        <f t="array" ref="G259">'Question_Bank'!G251</f>
        <v>Odd one: Circle, Triangle, Square, Table</v>
      </c>
      <c r="H259" t="str" s="97" cm="1">
        <f t="array" ref="H259">'Question_Bank'!H251</f>
        <v>Circle</v>
      </c>
      <c r="I259" t="str" s="97" cm="1">
        <f t="array" ref="I259">'Question_Bank'!I251</f>
        <v>Triangle</v>
      </c>
      <c r="J259" t="str" s="97" cm="1">
        <f t="array" ref="J259">'Question_Bank'!J251</f>
        <v>Square</v>
      </c>
      <c r="K259" t="str" s="97" cm="1">
        <f t="array" ref="K259">'Question_Bank'!K251</f>
        <v>Table</v>
      </c>
      <c r="L259" t="str" s="97" cm="1">
        <f t="array" ref="L259">'Question_Bank'!L251</f>
        <v>D</v>
      </c>
      <c r="M259" s="132"/>
      <c r="N259" t="str" s="97" cm="1">
        <f t="array" ref="N259">IF(M259="","",IF(F259="MCQ",IF(UPPER(M259)=UPPER(L259),1,0),IF(O259="Yes",6-VALUE(M259),VALUE(M259))))</f>
      </c>
      <c r="O259" t="str" s="97" cm="1">
        <f t="array" ref="O259">'Question_Bank'!N251</f>
        <v>No</v>
      </c>
      <c r="P259" s="133" cm="1">
        <f t="array" ref="P259">IF(F259="MCQ",1,5)</f>
        <v>1</v>
      </c>
    </row>
    <row r="260" ht="42" customHeight="1">
      <c r="A260" t="str" s="130" cm="1">
        <f t="array" ref="A260">'Question_Bank'!A252</f>
        <v>NPI0248</v>
      </c>
      <c r="B260" t="str" s="97" cm="1">
        <f t="array" ref="B260">'Question_Bank'!B252</f>
        <v>8-12</v>
      </c>
      <c r="C260" t="str" s="97" cm="1">
        <f t="array" ref="C260">'Question_Bank'!C252</f>
        <v>Cognitive Ability</v>
      </c>
      <c r="D260" t="str" s="97" cm="1">
        <f t="array" ref="D260">'Question_Bank'!D252</f>
        <v>Logic</v>
      </c>
      <c r="E260" t="str" s="97" cm="1">
        <f t="array" ref="E260">'Question_Bank'!E252</f>
        <v>Logic</v>
      </c>
      <c r="F260" t="str" s="97" cm="1">
        <f t="array" ref="F260">'Question_Bank'!F252</f>
        <v>MCQ</v>
      </c>
      <c r="G260" t="str" s="97" cm="1">
        <f t="array" ref="G260">'Question_Bank'!G252</f>
        <v>Rule +3: 4,7,10,?</v>
      </c>
      <c r="H260" t="str" s="97" cm="1">
        <f t="array" ref="H260">'Question_Bank'!H252</f>
        <v>12</v>
      </c>
      <c r="I260" t="str" s="97" cm="1">
        <f t="array" ref="I260">'Question_Bank'!I252</f>
        <v>13</v>
      </c>
      <c r="J260" t="str" s="97" cm="1">
        <f t="array" ref="J260">'Question_Bank'!J252</f>
        <v>14</v>
      </c>
      <c r="K260" t="str" s="97" cm="1">
        <f t="array" ref="K260">'Question_Bank'!K252</f>
        <v>15</v>
      </c>
      <c r="L260" t="str" s="97" cm="1">
        <f t="array" ref="L260">'Question_Bank'!L252</f>
        <v>B</v>
      </c>
      <c r="M260" s="132"/>
      <c r="N260" t="str" s="97" cm="1">
        <f t="array" ref="N260">IF(M260="","",IF(F260="MCQ",IF(UPPER(M260)=UPPER(L260),1,0),IF(O260="Yes",6-VALUE(M260),VALUE(M260))))</f>
      </c>
      <c r="O260" t="str" s="97" cm="1">
        <f t="array" ref="O260">'Question_Bank'!N252</f>
        <v>No</v>
      </c>
      <c r="P260" s="133" cm="1">
        <f t="array" ref="P260">IF(F260="MCQ",1,5)</f>
        <v>1</v>
      </c>
    </row>
    <row r="261" ht="42" customHeight="1">
      <c r="A261" t="str" s="130" cm="1">
        <f t="array" ref="A261">'Question_Bank'!A253</f>
        <v>NPI0249</v>
      </c>
      <c r="B261" t="str" s="97" cm="1">
        <f t="array" ref="B261">'Question_Bank'!B253</f>
        <v>8-12</v>
      </c>
      <c r="C261" t="str" s="97" cm="1">
        <f t="array" ref="C261">'Question_Bank'!C253</f>
        <v>Cognitive Ability</v>
      </c>
      <c r="D261" t="str" s="97" cm="1">
        <f t="array" ref="D261">'Question_Bank'!D253</f>
        <v>Logic</v>
      </c>
      <c r="E261" t="str" s="97" cm="1">
        <f t="array" ref="E261">'Question_Bank'!E253</f>
        <v>Logic</v>
      </c>
      <c r="F261" t="str" s="97" cm="1">
        <f t="array" ref="F261">'Question_Bank'!F253</f>
        <v>MCQ</v>
      </c>
      <c r="G261" t="str" s="97" cm="1">
        <f t="array" ref="G261">'Question_Bank'!G253</f>
        <v>A brother of B, B sister of C. A is C’s</v>
      </c>
      <c r="H261" t="str" s="97" cm="1">
        <f t="array" ref="H261">'Question_Bank'!H253</f>
        <v>Sister</v>
      </c>
      <c r="I261" t="str" s="97" cm="1">
        <f t="array" ref="I261">'Question_Bank'!I253</f>
        <v>Brother</v>
      </c>
      <c r="J261" t="str" s="97" cm="1">
        <f t="array" ref="J261">'Question_Bank'!J253</f>
        <v>Mother</v>
      </c>
      <c r="K261" t="str" s="97" cm="1">
        <f t="array" ref="K261">'Question_Bank'!K253</f>
        <v>Cannot say</v>
      </c>
      <c r="L261" t="str" s="97" cm="1">
        <f t="array" ref="L261">'Question_Bank'!L253</f>
        <v>B</v>
      </c>
      <c r="M261" s="132"/>
      <c r="N261" t="str" s="97" cm="1">
        <f t="array" ref="N261">IF(M261="","",IF(F261="MCQ",IF(UPPER(M261)=UPPER(L261),1,0),IF(O261="Yes",6-VALUE(M261),VALUE(M261))))</f>
      </c>
      <c r="O261" t="str" s="97" cm="1">
        <f t="array" ref="O261">'Question_Bank'!N253</f>
        <v>No</v>
      </c>
      <c r="P261" s="133" cm="1">
        <f t="array" ref="P261">IF(F261="MCQ",1,5)</f>
        <v>1</v>
      </c>
    </row>
    <row r="262" ht="42" customHeight="1">
      <c r="A262" t="str" s="130" cm="1">
        <f t="array" ref="A262">'Question_Bank'!A254</f>
        <v>NPI0250</v>
      </c>
      <c r="B262" t="str" s="97" cm="1">
        <f t="array" ref="B262">'Question_Bank'!B254</f>
        <v>8-12</v>
      </c>
      <c r="C262" t="str" s="97" cm="1">
        <f t="array" ref="C262">'Question_Bank'!C254</f>
        <v>Cognitive Ability</v>
      </c>
      <c r="D262" t="str" s="97" cm="1">
        <f t="array" ref="D262">'Question_Bank'!D254</f>
        <v>Logic</v>
      </c>
      <c r="E262" t="str" s="97" cm="1">
        <f t="array" ref="E262">'Question_Bank'!E254</f>
        <v>Logic</v>
      </c>
      <c r="F262" t="str" s="97" cm="1">
        <f t="array" ref="F262">'Question_Bank'!F254</f>
        <v>MCQ</v>
      </c>
      <c r="G262" t="str" s="97" cm="1">
        <f t="array" ref="G262">'Question_Bank'!G254</f>
        <v>No birds are stones. Parrot is bird.</v>
      </c>
      <c r="H262" t="str" s="97" cm="1">
        <f t="array" ref="H262">'Question_Bank'!H254</f>
        <v>Parrot stone</v>
      </c>
      <c r="I262" t="str" s="97" cm="1">
        <f t="array" ref="I262">'Question_Bank'!I254</f>
        <v>Parrot not stone</v>
      </c>
      <c r="J262" t="str" s="97" cm="1">
        <f t="array" ref="J262">'Question_Bank'!J254</f>
        <v>All stones birds</v>
      </c>
      <c r="K262" t="str" s="97" cm="1">
        <f t="array" ref="K262">'Question_Bank'!K254</f>
        <v>Cannot say</v>
      </c>
      <c r="L262" t="str" s="97" cm="1">
        <f t="array" ref="L262">'Question_Bank'!L254</f>
        <v>B</v>
      </c>
      <c r="M262" s="132"/>
      <c r="N262" t="str" s="97" cm="1">
        <f t="array" ref="N262">IF(M262="","",IF(F262="MCQ",IF(UPPER(M262)=UPPER(L262),1,0),IF(O262="Yes",6-VALUE(M262),VALUE(M262))))</f>
      </c>
      <c r="O262" t="str" s="97" cm="1">
        <f t="array" ref="O262">'Question_Bank'!N254</f>
        <v>No</v>
      </c>
      <c r="P262" s="133" cm="1">
        <f t="array" ref="P262">IF(F262="MCQ",1,5)</f>
        <v>1</v>
      </c>
    </row>
    <row r="263" ht="42" customHeight="1">
      <c r="A263" t="str" s="130" cm="1">
        <f t="array" ref="A263">'Question_Bank'!A255</f>
        <v>NPI0251</v>
      </c>
      <c r="B263" t="str" s="97" cm="1">
        <f t="array" ref="B263">'Question_Bank'!B255</f>
        <v>8-12</v>
      </c>
      <c r="C263" t="str" s="97" cm="1">
        <f t="array" ref="C263">'Question_Bank'!C255</f>
        <v>Cognitive Ability</v>
      </c>
      <c r="D263" t="str" s="97" cm="1">
        <f t="array" ref="D263">'Question_Bank'!D255</f>
        <v>Logic</v>
      </c>
      <c r="E263" t="str" s="97" cm="1">
        <f t="array" ref="E263">'Question_Bank'!E255</f>
        <v>Logic</v>
      </c>
      <c r="F263" t="str" s="97" cm="1">
        <f t="array" ref="F263">'Question_Bank'!F255</f>
        <v>MCQ</v>
      </c>
      <c r="G263" t="str" s="97" cm="1">
        <f t="array" ref="G263">'Question_Bank'!G255</f>
        <v>All pens write. This is pen.</v>
      </c>
      <c r="H263" t="str" s="97" cm="1">
        <f t="array" ref="H263">'Question_Bank'!H255</f>
        <v>It writes</v>
      </c>
      <c r="I263" t="str" s="97" cm="1">
        <f t="array" ref="I263">'Question_Bank'!I255</f>
        <v>Never writes</v>
      </c>
      <c r="J263" t="str" s="97" cm="1">
        <f t="array" ref="J263">'Question_Bank'!J255</f>
        <v>Pencil</v>
      </c>
      <c r="K263" t="str" s="97" cm="1">
        <f t="array" ref="K263">'Question_Bank'!K255</f>
        <v>Cannot say</v>
      </c>
      <c r="L263" t="str" s="97" cm="1">
        <f t="array" ref="L263">'Question_Bank'!L255</f>
        <v>A</v>
      </c>
      <c r="M263" s="132"/>
      <c r="N263" t="str" s="97" cm="1">
        <f t="array" ref="N263">IF(M263="","",IF(F263="MCQ",IF(UPPER(M263)=UPPER(L263),1,0),IF(O263="Yes",6-VALUE(M263),VALUE(M263))))</f>
      </c>
      <c r="O263" t="str" s="97" cm="1">
        <f t="array" ref="O263">'Question_Bank'!N255</f>
        <v>No</v>
      </c>
      <c r="P263" s="133" cm="1">
        <f t="array" ref="P263">IF(F263="MCQ",1,5)</f>
        <v>1</v>
      </c>
    </row>
    <row r="264" ht="42" customHeight="1">
      <c r="A264" t="str" s="130" cm="1">
        <f t="array" ref="A264">'Question_Bank'!A256</f>
        <v>NPI0252</v>
      </c>
      <c r="B264" t="str" s="97" cm="1">
        <f t="array" ref="B264">'Question_Bank'!B256</f>
        <v>8-12</v>
      </c>
      <c r="C264" t="str" s="97" cm="1">
        <f t="array" ref="C264">'Question_Bank'!C256</f>
        <v>Cognitive Ability</v>
      </c>
      <c r="D264" t="str" s="97" cm="1">
        <f t="array" ref="D264">'Question_Bank'!D256</f>
        <v>Logic</v>
      </c>
      <c r="E264" t="str" s="97" cm="1">
        <f t="array" ref="E264">'Question_Bank'!E256</f>
        <v>Logic</v>
      </c>
      <c r="F264" t="str" s="97" cm="1">
        <f t="array" ref="F264">'Question_Bank'!F256</f>
        <v>MCQ</v>
      </c>
      <c r="G264" t="str" s="97" cm="1">
        <f t="array" ref="G264">'Question_Bank'!G256</f>
        <v>Morning:breakfast :: evening:?</v>
      </c>
      <c r="H264" t="str" s="97" cm="1">
        <f t="array" ref="H264">'Question_Bank'!H256</f>
        <v>Lunch</v>
      </c>
      <c r="I264" t="str" s="97" cm="1">
        <f t="array" ref="I264">'Question_Bank'!I256</f>
        <v>Dinner</v>
      </c>
      <c r="J264" t="str" s="97" cm="1">
        <f t="array" ref="J264">'Question_Bank'!J256</f>
        <v>School</v>
      </c>
      <c r="K264" t="str" s="97" cm="1">
        <f t="array" ref="K264">'Question_Bank'!K256</f>
        <v>Sleep</v>
      </c>
      <c r="L264" t="str" s="97" cm="1">
        <f t="array" ref="L264">'Question_Bank'!L256</f>
        <v>B</v>
      </c>
      <c r="M264" s="132"/>
      <c r="N264" t="str" s="97" cm="1">
        <f t="array" ref="N264">IF(M264="","",IF(F264="MCQ",IF(UPPER(M264)=UPPER(L264),1,0),IF(O264="Yes",6-VALUE(M264),VALUE(M264))))</f>
      </c>
      <c r="O264" t="str" s="97" cm="1">
        <f t="array" ref="O264">'Question_Bank'!N256</f>
        <v>No</v>
      </c>
      <c r="P264" s="133" cm="1">
        <f t="array" ref="P264">IF(F264="MCQ",1,5)</f>
        <v>1</v>
      </c>
    </row>
    <row r="265" ht="42" customHeight="1">
      <c r="A265" t="str" s="130" cm="1">
        <f t="array" ref="A265">'Question_Bank'!A257</f>
        <v>NPI0253</v>
      </c>
      <c r="B265" t="str" s="97" cm="1">
        <f t="array" ref="B265">'Question_Bank'!B257</f>
        <v>8-12</v>
      </c>
      <c r="C265" t="str" s="97" cm="1">
        <f t="array" ref="C265">'Question_Bank'!C257</f>
        <v>Cognitive Ability</v>
      </c>
      <c r="D265" t="str" s="97" cm="1">
        <f t="array" ref="D265">'Question_Bank'!D257</f>
        <v>Logic</v>
      </c>
      <c r="E265" t="str" s="97" cm="1">
        <f t="array" ref="E265">'Question_Bank'!E257</f>
        <v>Logic</v>
      </c>
      <c r="F265" t="str" s="97" cm="1">
        <f t="array" ref="F265">'Question_Bank'!F257</f>
        <v>MCQ</v>
      </c>
      <c r="G265" t="str" s="97" cm="1">
        <f t="array" ref="G265">'Question_Bank'!G257</f>
        <v>A heavier than B but lighter than C. Heaviest</v>
      </c>
      <c r="H265" t="str" s="97" cm="1">
        <f t="array" ref="H265">'Question_Bank'!H257</f>
        <v>A</v>
      </c>
      <c r="I265" t="str" s="97" cm="1">
        <f t="array" ref="I265">'Question_Bank'!I257</f>
        <v>B</v>
      </c>
      <c r="J265" t="str" s="97" cm="1">
        <f t="array" ref="J265">'Question_Bank'!J257</f>
        <v>C</v>
      </c>
      <c r="K265" t="str" s="97" cm="1">
        <f t="array" ref="K265">'Question_Bank'!K257</f>
        <v>Cannot say</v>
      </c>
      <c r="L265" t="str" s="97" cm="1">
        <f t="array" ref="L265">'Question_Bank'!L257</f>
        <v>C</v>
      </c>
      <c r="M265" s="132"/>
      <c r="N265" t="str" s="97" cm="1">
        <f t="array" ref="N265">IF(M265="","",IF(F265="MCQ",IF(UPPER(M265)=UPPER(L265),1,0),IF(O265="Yes",6-VALUE(M265),VALUE(M265))))</f>
      </c>
      <c r="O265" t="str" s="97" cm="1">
        <f t="array" ref="O265">'Question_Bank'!N257</f>
        <v>No</v>
      </c>
      <c r="P265" s="133" cm="1">
        <f t="array" ref="P265">IF(F265="MCQ",1,5)</f>
        <v>1</v>
      </c>
    </row>
    <row r="266" ht="42" customHeight="1">
      <c r="A266" t="str" s="130" cm="1">
        <f t="array" ref="A266">'Question_Bank'!A258</f>
        <v>NPI0254</v>
      </c>
      <c r="B266" t="str" s="97" cm="1">
        <f t="array" ref="B266">'Question_Bank'!B258</f>
        <v>8-12</v>
      </c>
      <c r="C266" t="str" s="97" cm="1">
        <f t="array" ref="C266">'Question_Bank'!C258</f>
        <v>Cognitive Ability</v>
      </c>
      <c r="D266" t="str" s="97" cm="1">
        <f t="array" ref="D266">'Question_Bank'!D258</f>
        <v>Logic</v>
      </c>
      <c r="E266" t="str" s="97" cm="1">
        <f t="array" ref="E266">'Question_Bank'!E258</f>
        <v>Logic</v>
      </c>
      <c r="F266" t="str" s="97" cm="1">
        <f t="array" ref="F266">'Question_Bank'!F258</f>
        <v>MCQ</v>
      </c>
      <c r="G266" t="str" s="97" cm="1">
        <f t="array" ref="G266">'Question_Bank'!G258</f>
        <v>Odd one: January, March, Friday, July</v>
      </c>
      <c r="H266" t="str" s="97" cm="1">
        <f t="array" ref="H266">'Question_Bank'!H258</f>
        <v>January</v>
      </c>
      <c r="I266" t="str" s="97" cm="1">
        <f t="array" ref="I266">'Question_Bank'!I258</f>
        <v>March</v>
      </c>
      <c r="J266" t="str" s="97" cm="1">
        <f t="array" ref="J266">'Question_Bank'!J258</f>
        <v>Friday</v>
      </c>
      <c r="K266" t="str" s="97" cm="1">
        <f t="array" ref="K266">'Question_Bank'!K258</f>
        <v>July</v>
      </c>
      <c r="L266" t="str" s="97" cm="1">
        <f t="array" ref="L266">'Question_Bank'!L258</f>
        <v>C</v>
      </c>
      <c r="M266" s="132"/>
      <c r="N266" t="str" s="97" cm="1">
        <f t="array" ref="N266">IF(M266="","",IF(F266="MCQ",IF(UPPER(M266)=UPPER(L266),1,0),IF(O266="Yes",6-VALUE(M266),VALUE(M266))))</f>
      </c>
      <c r="O266" t="str" s="97" cm="1">
        <f t="array" ref="O266">'Question_Bank'!N258</f>
        <v>No</v>
      </c>
      <c r="P266" s="133" cm="1">
        <f t="array" ref="P266">IF(F266="MCQ",1,5)</f>
        <v>1</v>
      </c>
    </row>
    <row r="267" ht="42" customHeight="1">
      <c r="A267" t="str" s="130" cm="1">
        <f t="array" ref="A267">'Question_Bank'!A259</f>
        <v>NPI0255</v>
      </c>
      <c r="B267" t="str" s="97" cm="1">
        <f t="array" ref="B267">'Question_Bank'!B259</f>
        <v>8-12</v>
      </c>
      <c r="C267" t="str" s="97" cm="1">
        <f t="array" ref="C267">'Question_Bank'!C259</f>
        <v>Cognitive Ability</v>
      </c>
      <c r="D267" t="str" s="97" cm="1">
        <f t="array" ref="D267">'Question_Bank'!D259</f>
        <v>Logic</v>
      </c>
      <c r="E267" t="str" s="97" cm="1">
        <f t="array" ref="E267">'Question_Bank'!E259</f>
        <v>Logic</v>
      </c>
      <c r="F267" t="str" s="97" cm="1">
        <f t="array" ref="F267">'Question_Bank'!F259</f>
        <v>MCQ</v>
      </c>
      <c r="G267" t="str" s="97" cm="1">
        <f t="array" ref="G267">'Question_Bank'!G259</f>
        <v>Teacher:school :: doctor:?</v>
      </c>
      <c r="H267" t="str" s="97" cm="1">
        <f t="array" ref="H267">'Question_Bank'!H259</f>
        <v>Court</v>
      </c>
      <c r="I267" t="str" s="97" cm="1">
        <f t="array" ref="I267">'Question_Bank'!I259</f>
        <v>Hospital</v>
      </c>
      <c r="J267" t="str" s="97" cm="1">
        <f t="array" ref="J267">'Question_Bank'!J259</f>
        <v>Market</v>
      </c>
      <c r="K267" t="str" s="97" cm="1">
        <f t="array" ref="K267">'Question_Bank'!K259</f>
        <v>Farm</v>
      </c>
      <c r="L267" t="str" s="97" cm="1">
        <f t="array" ref="L267">'Question_Bank'!L259</f>
        <v>B</v>
      </c>
      <c r="M267" s="132"/>
      <c r="N267" t="str" s="97" cm="1">
        <f t="array" ref="N267">IF(M267="","",IF(F267="MCQ",IF(UPPER(M267)=UPPER(L267),1,0),IF(O267="Yes",6-VALUE(M267),VALUE(M267))))</f>
      </c>
      <c r="O267" t="str" s="97" cm="1">
        <f t="array" ref="O267">'Question_Bank'!N259</f>
        <v>No</v>
      </c>
      <c r="P267" s="133" cm="1">
        <f t="array" ref="P267">IF(F267="MCQ",1,5)</f>
        <v>1</v>
      </c>
    </row>
    <row r="268" ht="42" customHeight="1">
      <c r="A268" t="str" s="130" cm="1">
        <f t="array" ref="A268">'Question_Bank'!A260</f>
        <v>NPI0256</v>
      </c>
      <c r="B268" t="str" s="97" cm="1">
        <f t="array" ref="B268">'Question_Bank'!B260</f>
        <v>8-12</v>
      </c>
      <c r="C268" t="str" s="97" cm="1">
        <f t="array" ref="C268">'Question_Bank'!C260</f>
        <v>Cognitive Ability</v>
      </c>
      <c r="D268" t="str" s="97" cm="1">
        <f t="array" ref="D268">'Question_Bank'!D260</f>
        <v>Verbal</v>
      </c>
      <c r="E268" t="str" s="97" cm="1">
        <f t="array" ref="E268">'Question_Bank'!E260</f>
        <v>Verbal</v>
      </c>
      <c r="F268" t="str" s="97" cm="1">
        <f t="array" ref="F268">'Question_Bank'!F260</f>
        <v>MCQ</v>
      </c>
      <c r="G268" t="str" s="97" cm="1">
        <f t="array" ref="G268">'Question_Bank'!G260</f>
        <v>Synonym of brave</v>
      </c>
      <c r="H268" t="str" s="97" cm="1">
        <f t="array" ref="H268">'Question_Bank'!H260</f>
        <v>Fearful</v>
      </c>
      <c r="I268" t="str" s="97" cm="1">
        <f t="array" ref="I268">'Question_Bank'!I260</f>
        <v>Courageous</v>
      </c>
      <c r="J268" t="str" s="97" cm="1">
        <f t="array" ref="J268">'Question_Bank'!J260</f>
        <v>Lazy</v>
      </c>
      <c r="K268" t="str" s="97" cm="1">
        <f t="array" ref="K268">'Question_Bank'!K260</f>
        <v>Confused</v>
      </c>
      <c r="L268" t="str" s="97" cm="1">
        <f t="array" ref="L268">'Question_Bank'!L260</f>
        <v>B</v>
      </c>
      <c r="M268" s="132"/>
      <c r="N268" t="str" s="97" cm="1">
        <f t="array" ref="N268">IF(M268="","",IF(F268="MCQ",IF(UPPER(M268)=UPPER(L268),1,0),IF(O268="Yes",6-VALUE(M268),VALUE(M268))))</f>
      </c>
      <c r="O268" t="str" s="97" cm="1">
        <f t="array" ref="O268">'Question_Bank'!N260</f>
        <v>No</v>
      </c>
      <c r="P268" s="133" cm="1">
        <f t="array" ref="P268">IF(F268="MCQ",1,5)</f>
        <v>1</v>
      </c>
    </row>
    <row r="269" ht="42" customHeight="1">
      <c r="A269" t="str" s="130" cm="1">
        <f t="array" ref="A269">'Question_Bank'!A261</f>
        <v>NPI0257</v>
      </c>
      <c r="B269" t="str" s="97" cm="1">
        <f t="array" ref="B269">'Question_Bank'!B261</f>
        <v>8-12</v>
      </c>
      <c r="C269" t="str" s="97" cm="1">
        <f t="array" ref="C269">'Question_Bank'!C261</f>
        <v>Cognitive Ability</v>
      </c>
      <c r="D269" t="str" s="97" cm="1">
        <f t="array" ref="D269">'Question_Bank'!D261</f>
        <v>Verbal</v>
      </c>
      <c r="E269" t="str" s="97" cm="1">
        <f t="array" ref="E269">'Question_Bank'!E261</f>
        <v>Verbal</v>
      </c>
      <c r="F269" t="str" s="97" cm="1">
        <f t="array" ref="F269">'Question_Bank'!F261</f>
        <v>MCQ</v>
      </c>
      <c r="G269" t="str" s="97" cm="1">
        <f t="array" ref="G269">'Question_Bank'!G261</f>
        <v>Antonym of expand</v>
      </c>
      <c r="H269" t="str" s="97" cm="1">
        <f t="array" ref="H269">'Question_Bank'!H261</f>
        <v>Grow</v>
      </c>
      <c r="I269" t="str" s="97" cm="1">
        <f t="array" ref="I269">'Question_Bank'!I261</f>
        <v>Increase</v>
      </c>
      <c r="J269" t="str" s="97" cm="1">
        <f t="array" ref="J269">'Question_Bank'!J261</f>
        <v>Shrink</v>
      </c>
      <c r="K269" t="str" s="97" cm="1">
        <f t="array" ref="K269">'Question_Bank'!K261</f>
        <v>Open</v>
      </c>
      <c r="L269" t="str" s="97" cm="1">
        <f t="array" ref="L269">'Question_Bank'!L261</f>
        <v>C</v>
      </c>
      <c r="M269" s="132"/>
      <c r="N269" t="str" s="97" cm="1">
        <f t="array" ref="N269">IF(M269="","",IF(F269="MCQ",IF(UPPER(M269)=UPPER(L269),1,0),IF(O269="Yes",6-VALUE(M269),VALUE(M269))))</f>
      </c>
      <c r="O269" t="str" s="97" cm="1">
        <f t="array" ref="O269">'Question_Bank'!N261</f>
        <v>No</v>
      </c>
      <c r="P269" s="133" cm="1">
        <f t="array" ref="P269">IF(F269="MCQ",1,5)</f>
        <v>1</v>
      </c>
    </row>
    <row r="270" ht="42" customHeight="1">
      <c r="A270" t="str" s="130" cm="1">
        <f t="array" ref="A270">'Question_Bank'!A262</f>
        <v>NPI0258</v>
      </c>
      <c r="B270" t="str" s="97" cm="1">
        <f t="array" ref="B270">'Question_Bank'!B262</f>
        <v>8-12</v>
      </c>
      <c r="C270" t="str" s="97" cm="1">
        <f t="array" ref="C270">'Question_Bank'!C262</f>
        <v>Cognitive Ability</v>
      </c>
      <c r="D270" t="str" s="97" cm="1">
        <f t="array" ref="D270">'Question_Bank'!D262</f>
        <v>Verbal</v>
      </c>
      <c r="E270" t="str" s="97" cm="1">
        <f t="array" ref="E270">'Question_Bank'!E262</f>
        <v>Verbal</v>
      </c>
      <c r="F270" t="str" s="97" cm="1">
        <f t="array" ref="F270">'Question_Bank'!F262</f>
        <v>MCQ</v>
      </c>
      <c r="G270" t="str" s="97" cm="1">
        <f t="array" ref="G270">'Question_Bank'!G262</f>
        <v>Library: people ___ books</v>
      </c>
      <c r="H270" t="str" s="97" cm="1">
        <f t="array" ref="H270">'Question_Bank'!H262</f>
        <v>eat</v>
      </c>
      <c r="I270" t="str" s="97" cm="1">
        <f t="array" ref="I270">'Question_Bank'!I262</f>
        <v>borrow</v>
      </c>
      <c r="J270" t="str" s="97" cm="1">
        <f t="array" ref="J270">'Question_Bank'!J262</f>
        <v>sleep</v>
      </c>
      <c r="K270" t="str" s="97" cm="1">
        <f t="array" ref="K270">'Question_Bank'!K262</f>
        <v>throw</v>
      </c>
      <c r="L270" t="str" s="97" cm="1">
        <f t="array" ref="L270">'Question_Bank'!L262</f>
        <v>B</v>
      </c>
      <c r="M270" s="132"/>
      <c r="N270" t="str" s="97" cm="1">
        <f t="array" ref="N270">IF(M270="","",IF(F270="MCQ",IF(UPPER(M270)=UPPER(L270),1,0),IF(O270="Yes",6-VALUE(M270),VALUE(M270))))</f>
      </c>
      <c r="O270" t="str" s="97" cm="1">
        <f t="array" ref="O270">'Question_Bank'!N262</f>
        <v>No</v>
      </c>
      <c r="P270" s="133" cm="1">
        <f t="array" ref="P270">IF(F270="MCQ",1,5)</f>
        <v>1</v>
      </c>
    </row>
    <row r="271" ht="42" customHeight="1">
      <c r="A271" t="str" s="130" cm="1">
        <f t="array" ref="A271">'Question_Bank'!A263</f>
        <v>NPI0259</v>
      </c>
      <c r="B271" t="str" s="97" cm="1">
        <f t="array" ref="B271">'Question_Bank'!B263</f>
        <v>8-12</v>
      </c>
      <c r="C271" t="str" s="97" cm="1">
        <f t="array" ref="C271">'Question_Bank'!C263</f>
        <v>Cognitive Ability</v>
      </c>
      <c r="D271" t="str" s="97" cm="1">
        <f t="array" ref="D271">'Question_Bank'!D263</f>
        <v>Verbal</v>
      </c>
      <c r="E271" t="str" s="97" cm="1">
        <f t="array" ref="E271">'Question_Bank'!E263</f>
        <v>Verbal</v>
      </c>
      <c r="F271" t="str" s="97" cm="1">
        <f t="array" ref="F271">'Question_Bank'!F263</f>
        <v>MCQ</v>
      </c>
      <c r="G271" t="str" s="97" cm="1">
        <f t="array" ref="G271">'Question_Bank'!G263</f>
        <v>Transparent means</v>
      </c>
      <c r="H271" t="str" s="97" cm="1">
        <f t="array" ref="H271">'Question_Bank'!H263</f>
        <v>See-through</v>
      </c>
      <c r="I271" t="str" s="97" cm="1">
        <f t="array" ref="I271">'Question_Bank'!I263</f>
        <v>Heavy</v>
      </c>
      <c r="J271" t="str" s="97" cm="1">
        <f t="array" ref="J271">'Question_Bank'!J263</f>
        <v>Loud</v>
      </c>
      <c r="K271" t="str" s="97" cm="1">
        <f t="array" ref="K271">'Question_Bank'!K263</f>
        <v>Hidden</v>
      </c>
      <c r="L271" t="str" s="97" cm="1">
        <f t="array" ref="L271">'Question_Bank'!L263</f>
        <v>A</v>
      </c>
      <c r="M271" s="132"/>
      <c r="N271" t="str" s="97" cm="1">
        <f t="array" ref="N271">IF(M271="","",IF(F271="MCQ",IF(UPPER(M271)=UPPER(L271),1,0),IF(O271="Yes",6-VALUE(M271),VALUE(M271))))</f>
      </c>
      <c r="O271" t="str" s="97" cm="1">
        <f t="array" ref="O271">'Question_Bank'!N263</f>
        <v>No</v>
      </c>
      <c r="P271" s="133" cm="1">
        <f t="array" ref="P271">IF(F271="MCQ",1,5)</f>
        <v>1</v>
      </c>
    </row>
    <row r="272" ht="42" customHeight="1">
      <c r="A272" t="str" s="130" cm="1">
        <f t="array" ref="A272">'Question_Bank'!A264</f>
        <v>NPI0260</v>
      </c>
      <c r="B272" t="str" s="97" cm="1">
        <f t="array" ref="B272">'Question_Bank'!B264</f>
        <v>8-12</v>
      </c>
      <c r="C272" t="str" s="97" cm="1">
        <f t="array" ref="C272">'Question_Bank'!C264</f>
        <v>Cognitive Ability</v>
      </c>
      <c r="D272" t="str" s="97" cm="1">
        <f t="array" ref="D272">'Question_Bank'!D264</f>
        <v>Verbal</v>
      </c>
      <c r="E272" t="str" s="97" cm="1">
        <f t="array" ref="E272">'Question_Bank'!E264</f>
        <v>Verbal</v>
      </c>
      <c r="F272" t="str" s="97" cm="1">
        <f t="array" ref="F272">'Question_Bank'!F264</f>
        <v>MCQ</v>
      </c>
      <c r="G272" t="str" s="97" cm="1">
        <f t="array" ref="G272">'Question_Bank'!G264</f>
        <v>Synonym of rapid</v>
      </c>
      <c r="H272" t="str" s="97" cm="1">
        <f t="array" ref="H272">'Question_Bank'!H264</f>
        <v>Slow</v>
      </c>
      <c r="I272" t="str" s="97" cm="1">
        <f t="array" ref="I272">'Question_Bank'!I264</f>
        <v>Fast</v>
      </c>
      <c r="J272" t="str" s="97" cm="1">
        <f t="array" ref="J272">'Question_Bank'!J264</f>
        <v>Calm</v>
      </c>
      <c r="K272" t="str" s="97" cm="1">
        <f t="array" ref="K272">'Question_Bank'!K264</f>
        <v>Weak</v>
      </c>
      <c r="L272" t="str" s="97" cm="1">
        <f t="array" ref="L272">'Question_Bank'!L264</f>
        <v>B</v>
      </c>
      <c r="M272" s="132"/>
      <c r="N272" t="str" s="97" cm="1">
        <f t="array" ref="N272">IF(M272="","",IF(F272="MCQ",IF(UPPER(M272)=UPPER(L272),1,0),IF(O272="Yes",6-VALUE(M272),VALUE(M272))))</f>
      </c>
      <c r="O272" t="str" s="97" cm="1">
        <f t="array" ref="O272">'Question_Bank'!N264</f>
        <v>No</v>
      </c>
      <c r="P272" s="133" cm="1">
        <f t="array" ref="P272">IF(F272="MCQ",1,5)</f>
        <v>1</v>
      </c>
    </row>
    <row r="273" ht="42" customHeight="1">
      <c r="A273" t="str" s="130" cm="1">
        <f t="array" ref="A273">'Question_Bank'!A265</f>
        <v>NPI0261</v>
      </c>
      <c r="B273" t="str" s="97" cm="1">
        <f t="array" ref="B273">'Question_Bank'!B265</f>
        <v>8-12</v>
      </c>
      <c r="C273" t="str" s="97" cm="1">
        <f t="array" ref="C273">'Question_Bank'!C265</f>
        <v>Cognitive Ability</v>
      </c>
      <c r="D273" t="str" s="97" cm="1">
        <f t="array" ref="D273">'Question_Bank'!D265</f>
        <v>Verbal</v>
      </c>
      <c r="E273" t="str" s="97" cm="1">
        <f t="array" ref="E273">'Question_Bank'!E265</f>
        <v>Verbal</v>
      </c>
      <c r="F273" t="str" s="97" cm="1">
        <f t="array" ref="F273">'Question_Bank'!F265</f>
        <v>MCQ</v>
      </c>
      <c r="G273" t="str" s="97" cm="1">
        <f t="array" ref="G273">'Question_Bank'!G265</f>
        <v>Antonym of ancient</v>
      </c>
      <c r="H273" t="str" s="97" cm="1">
        <f t="array" ref="H273">'Question_Bank'!H265</f>
        <v>Old</v>
      </c>
      <c r="I273" t="str" s="97" cm="1">
        <f t="array" ref="I273">'Question_Bank'!I265</f>
        <v>Modern</v>
      </c>
      <c r="J273" t="str" s="97" cm="1">
        <f t="array" ref="J273">'Question_Bank'!J265</f>
        <v>Past</v>
      </c>
      <c r="K273" t="str" s="97" cm="1">
        <f t="array" ref="K273">'Question_Bank'!K265</f>
        <v>Historic</v>
      </c>
      <c r="L273" t="str" s="97" cm="1">
        <f t="array" ref="L273">'Question_Bank'!L265</f>
        <v>B</v>
      </c>
      <c r="M273" s="132"/>
      <c r="N273" t="str" s="97" cm="1">
        <f t="array" ref="N273">IF(M273="","",IF(F273="MCQ",IF(UPPER(M273)=UPPER(L273),1,0),IF(O273="Yes",6-VALUE(M273),VALUE(M273))))</f>
      </c>
      <c r="O273" t="str" s="97" cm="1">
        <f t="array" ref="O273">'Question_Bank'!N265</f>
        <v>No</v>
      </c>
      <c r="P273" s="133" cm="1">
        <f t="array" ref="P273">IF(F273="MCQ",1,5)</f>
        <v>1</v>
      </c>
    </row>
    <row r="274" ht="42" customHeight="1">
      <c r="A274" t="str" s="130" cm="1">
        <f t="array" ref="A274">'Question_Bank'!A266</f>
        <v>NPI0262</v>
      </c>
      <c r="B274" t="str" s="97" cm="1">
        <f t="array" ref="B274">'Question_Bank'!B266</f>
        <v>8-12</v>
      </c>
      <c r="C274" t="str" s="97" cm="1">
        <f t="array" ref="C274">'Question_Bank'!C266</f>
        <v>Cognitive Ability</v>
      </c>
      <c r="D274" t="str" s="97" cm="1">
        <f t="array" ref="D274">'Question_Bank'!D266</f>
        <v>Verbal</v>
      </c>
      <c r="E274" t="str" s="97" cm="1">
        <f t="array" ref="E274">'Question_Bank'!E266</f>
        <v>Verbal</v>
      </c>
      <c r="F274" t="str" s="97" cm="1">
        <f t="array" ref="F274">'Question_Bank'!F266</f>
        <v>MCQ</v>
      </c>
      <c r="G274" t="str" s="97" cm="1">
        <f t="array" ref="G274">'Question_Bank'!G266</f>
        <v>Author:Book :: Painter:?</v>
      </c>
      <c r="H274" t="str" s="97" cm="1">
        <f t="array" ref="H274">'Question_Bank'!H266</f>
        <v>Song</v>
      </c>
      <c r="I274" t="str" s="97" cm="1">
        <f t="array" ref="I274">'Question_Bank'!I266</f>
        <v>Painting</v>
      </c>
      <c r="J274" t="str" s="97" cm="1">
        <f t="array" ref="J274">'Question_Bank'!J266</f>
        <v>Shoe</v>
      </c>
      <c r="K274" t="str" s="97" cm="1">
        <f t="array" ref="K274">'Question_Bank'!K266</f>
        <v>Bridge</v>
      </c>
      <c r="L274" t="str" s="97" cm="1">
        <f t="array" ref="L274">'Question_Bank'!L266</f>
        <v>B</v>
      </c>
      <c r="M274" s="132"/>
      <c r="N274" t="str" s="97" cm="1">
        <f t="array" ref="N274">IF(M274="","",IF(F274="MCQ",IF(UPPER(M274)=UPPER(L274),1,0),IF(O274="Yes",6-VALUE(M274),VALUE(M274))))</f>
      </c>
      <c r="O274" t="str" s="97" cm="1">
        <f t="array" ref="O274">'Question_Bank'!N266</f>
        <v>No</v>
      </c>
      <c r="P274" s="133" cm="1">
        <f t="array" ref="P274">IF(F274="MCQ",1,5)</f>
        <v>1</v>
      </c>
    </row>
    <row r="275" ht="42" customHeight="1">
      <c r="A275" t="str" s="130" cm="1">
        <f t="array" ref="A275">'Question_Bank'!A267</f>
        <v>NPI0263</v>
      </c>
      <c r="B275" t="str" s="97" cm="1">
        <f t="array" ref="B275">'Question_Bank'!B267</f>
        <v>8-12</v>
      </c>
      <c r="C275" t="str" s="97" cm="1">
        <f t="array" ref="C275">'Question_Bank'!C267</f>
        <v>Cognitive Ability</v>
      </c>
      <c r="D275" t="str" s="97" cm="1">
        <f t="array" ref="D275">'Question_Bank'!D267</f>
        <v>Verbal</v>
      </c>
      <c r="E275" t="str" s="97" cm="1">
        <f t="array" ref="E275">'Question_Bank'!E267</f>
        <v>Verbal</v>
      </c>
      <c r="F275" t="str" s="97" cm="1">
        <f t="array" ref="F275">'Question_Bank'!F267</f>
        <v>MCQ</v>
      </c>
      <c r="G275" t="str" s="97" cm="1">
        <f t="array" ref="G275">'Question_Bank'!G267</f>
        <v>Accurate means</v>
      </c>
      <c r="H275" t="str" s="97" cm="1">
        <f t="array" ref="H275">'Question_Bank'!H267</f>
        <v>Correct</v>
      </c>
      <c r="I275" t="str" s="97" cm="1">
        <f t="array" ref="I275">'Question_Bank'!I267</f>
        <v>Careless</v>
      </c>
      <c r="J275" t="str" s="97" cm="1">
        <f t="array" ref="J275">'Question_Bank'!J267</f>
        <v>Angry</v>
      </c>
      <c r="K275" t="str" s="97" cm="1">
        <f t="array" ref="K275">'Question_Bank'!K267</f>
        <v>Confused</v>
      </c>
      <c r="L275" t="str" s="97" cm="1">
        <f t="array" ref="L275">'Question_Bank'!L267</f>
        <v>A</v>
      </c>
      <c r="M275" s="132"/>
      <c r="N275" t="str" s="97" cm="1">
        <f t="array" ref="N275">IF(M275="","",IF(F275="MCQ",IF(UPPER(M275)=UPPER(L275),1,0),IF(O275="Yes",6-VALUE(M275),VALUE(M275))))</f>
      </c>
      <c r="O275" t="str" s="97" cm="1">
        <f t="array" ref="O275">'Question_Bank'!N267</f>
        <v>No</v>
      </c>
      <c r="P275" s="133" cm="1">
        <f t="array" ref="P275">IF(F275="MCQ",1,5)</f>
        <v>1</v>
      </c>
    </row>
    <row r="276" ht="42" customHeight="1">
      <c r="A276" t="str" s="130" cm="1">
        <f t="array" ref="A276">'Question_Bank'!A268</f>
        <v>NPI0264</v>
      </c>
      <c r="B276" t="str" s="97" cm="1">
        <f t="array" ref="B276">'Question_Bank'!B268</f>
        <v>8-12</v>
      </c>
      <c r="C276" t="str" s="97" cm="1">
        <f t="array" ref="C276">'Question_Bank'!C268</f>
        <v>Cognitive Ability</v>
      </c>
      <c r="D276" t="str" s="97" cm="1">
        <f t="array" ref="D276">'Question_Bank'!D268</f>
        <v>Verbal</v>
      </c>
      <c r="E276" t="str" s="97" cm="1">
        <f t="array" ref="E276">'Question_Bank'!E268</f>
        <v>Verbal</v>
      </c>
      <c r="F276" t="str" s="97" cm="1">
        <f t="array" ref="F276">'Question_Bank'!F268</f>
        <v>MCQ</v>
      </c>
      <c r="G276" t="str" s="97" cm="1">
        <f t="array" ref="G276">'Question_Bank'!G268</f>
        <v>Odd word: happy, joyful, cheerful, furious</v>
      </c>
      <c r="H276" t="str" s="97" cm="1">
        <f t="array" ref="H276">'Question_Bank'!H268</f>
        <v>happy</v>
      </c>
      <c r="I276" t="str" s="97" cm="1">
        <f t="array" ref="I276">'Question_Bank'!I268</f>
        <v>joyful</v>
      </c>
      <c r="J276" t="str" s="97" cm="1">
        <f t="array" ref="J276">'Question_Bank'!J268</f>
        <v>cheerful</v>
      </c>
      <c r="K276" t="str" s="97" cm="1">
        <f t="array" ref="K276">'Question_Bank'!K268</f>
        <v>furious</v>
      </c>
      <c r="L276" t="str" s="97" cm="1">
        <f t="array" ref="L276">'Question_Bank'!L268</f>
        <v>D</v>
      </c>
      <c r="M276" s="132"/>
      <c r="N276" t="str" s="97" cm="1">
        <f t="array" ref="N276">IF(M276="","",IF(F276="MCQ",IF(UPPER(M276)=UPPER(L276),1,0),IF(O276="Yes",6-VALUE(M276),VALUE(M276))))</f>
      </c>
      <c r="O276" t="str" s="97" cm="1">
        <f t="array" ref="O276">'Question_Bank'!N268</f>
        <v>No</v>
      </c>
      <c r="P276" s="133" cm="1">
        <f t="array" ref="P276">IF(F276="MCQ",1,5)</f>
        <v>1</v>
      </c>
    </row>
    <row r="277" ht="42" customHeight="1">
      <c r="A277" t="str" s="130" cm="1">
        <f t="array" ref="A277">'Question_Bank'!A269</f>
        <v>NPI0265</v>
      </c>
      <c r="B277" t="str" s="97" cm="1">
        <f t="array" ref="B277">'Question_Bank'!B269</f>
        <v>8-12</v>
      </c>
      <c r="C277" t="str" s="97" cm="1">
        <f t="array" ref="C277">'Question_Bank'!C269</f>
        <v>Cognitive Ability</v>
      </c>
      <c r="D277" t="str" s="97" cm="1">
        <f t="array" ref="D277">'Question_Bank'!D269</f>
        <v>Verbal</v>
      </c>
      <c r="E277" t="str" s="97" cm="1">
        <f t="array" ref="E277">'Question_Bank'!E269</f>
        <v>Verbal</v>
      </c>
      <c r="F277" t="str" s="97" cm="1">
        <f t="array" ref="F277">'Question_Bank'!F269</f>
        <v>MCQ</v>
      </c>
      <c r="G277" t="str" s="97" cm="1">
        <f t="array" ref="G277">'Question_Bank'!G269</f>
        <v>Scientist made a ___</v>
      </c>
      <c r="H277" t="str" s="97" cm="1">
        <f t="array" ref="H277">'Question_Bank'!H269</f>
        <v>discovery</v>
      </c>
      <c r="I277" t="str" s="97" cm="1">
        <f t="array" ref="I277">'Question_Bank'!I269</f>
        <v>blanket</v>
      </c>
      <c r="J277" t="str" s="97" cm="1">
        <f t="array" ref="J277">'Question_Bank'!J269</f>
        <v>chair</v>
      </c>
      <c r="K277" t="str" s="97" cm="1">
        <f t="array" ref="K277">'Question_Bank'!K269</f>
        <v>ticket</v>
      </c>
      <c r="L277" t="str" s="97" cm="1">
        <f t="array" ref="L277">'Question_Bank'!L269</f>
        <v>A</v>
      </c>
      <c r="M277" s="132"/>
      <c r="N277" t="str" s="97" cm="1">
        <f t="array" ref="N277">IF(M277="","",IF(F277="MCQ",IF(UPPER(M277)=UPPER(L277),1,0),IF(O277="Yes",6-VALUE(M277),VALUE(M277))))</f>
      </c>
      <c r="O277" t="str" s="97" cm="1">
        <f t="array" ref="O277">'Question_Bank'!N269</f>
        <v>No</v>
      </c>
      <c r="P277" s="133" cm="1">
        <f t="array" ref="P277">IF(F277="MCQ",1,5)</f>
        <v>1</v>
      </c>
    </row>
    <row r="278" ht="42" customHeight="1">
      <c r="A278" t="str" s="130" cm="1">
        <f t="array" ref="A278">'Question_Bank'!A270</f>
        <v>NPI0266</v>
      </c>
      <c r="B278" t="str" s="97" cm="1">
        <f t="array" ref="B278">'Question_Bank'!B270</f>
        <v>8-12</v>
      </c>
      <c r="C278" t="str" s="97" cm="1">
        <f t="array" ref="C278">'Question_Bank'!C270</f>
        <v>Cognitive Ability</v>
      </c>
      <c r="D278" t="str" s="97" cm="1">
        <f t="array" ref="D278">'Question_Bank'!D270</f>
        <v>Verbal</v>
      </c>
      <c r="E278" t="str" s="97" cm="1">
        <f t="array" ref="E278">'Question_Bank'!E270</f>
        <v>Verbal</v>
      </c>
      <c r="F278" t="str" s="97" cm="1">
        <f t="array" ref="F278">'Question_Bank'!F270</f>
        <v>MCQ</v>
      </c>
      <c r="G278" t="str" s="97" cm="1">
        <f t="array" ref="G278">'Question_Bank'!G270</f>
        <v>Synonym of assist</v>
      </c>
      <c r="H278" t="str" s="97" cm="1">
        <f t="array" ref="H278">'Question_Bank'!H270</f>
        <v>Help</v>
      </c>
      <c r="I278" t="str" s="97" cm="1">
        <f t="array" ref="I278">'Question_Bank'!I270</f>
        <v>Hide</v>
      </c>
      <c r="J278" t="str" s="97" cm="1">
        <f t="array" ref="J278">'Question_Bank'!J270</f>
        <v>Harm</v>
      </c>
      <c r="K278" t="str" s="97" cm="1">
        <f t="array" ref="K278">'Question_Bank'!K270</f>
        <v>Delay</v>
      </c>
      <c r="L278" t="str" s="97" cm="1">
        <f t="array" ref="L278">'Question_Bank'!L270</f>
        <v>A</v>
      </c>
      <c r="M278" s="132"/>
      <c r="N278" t="str" s="97" cm="1">
        <f t="array" ref="N278">IF(M278="","",IF(F278="MCQ",IF(UPPER(M278)=UPPER(L278),1,0),IF(O278="Yes",6-VALUE(M278),VALUE(M278))))</f>
      </c>
      <c r="O278" t="str" s="97" cm="1">
        <f t="array" ref="O278">'Question_Bank'!N270</f>
        <v>No</v>
      </c>
      <c r="P278" s="133" cm="1">
        <f t="array" ref="P278">IF(F278="MCQ",1,5)</f>
        <v>1</v>
      </c>
    </row>
    <row r="279" ht="42" customHeight="1">
      <c r="A279" t="str" s="130" cm="1">
        <f t="array" ref="A279">'Question_Bank'!A271</f>
        <v>NPI0267</v>
      </c>
      <c r="B279" t="str" s="97" cm="1">
        <f t="array" ref="B279">'Question_Bank'!B271</f>
        <v>8-12</v>
      </c>
      <c r="C279" t="str" s="97" cm="1">
        <f t="array" ref="C279">'Question_Bank'!C271</f>
        <v>Cognitive Ability</v>
      </c>
      <c r="D279" t="str" s="97" cm="1">
        <f t="array" ref="D279">'Question_Bank'!D271</f>
        <v>Verbal</v>
      </c>
      <c r="E279" t="str" s="97" cm="1">
        <f t="array" ref="E279">'Question_Bank'!E271</f>
        <v>Verbal</v>
      </c>
      <c r="F279" t="str" s="97" cm="1">
        <f t="array" ref="F279">'Question_Bank'!F271</f>
        <v>MCQ</v>
      </c>
      <c r="G279" t="str" s="97" cm="1">
        <f t="array" ref="G279">'Question_Bank'!G271</f>
        <v>Antonym of generous</v>
      </c>
      <c r="H279" t="str" s="97" cm="1">
        <f t="array" ref="H279">'Question_Bank'!H271</f>
        <v>Kind</v>
      </c>
      <c r="I279" t="str" s="97" cm="1">
        <f t="array" ref="I279">'Question_Bank'!I271</f>
        <v>Selfish</v>
      </c>
      <c r="J279" t="str" s="97" cm="1">
        <f t="array" ref="J279">'Question_Bank'!J271</f>
        <v>Helpful</v>
      </c>
      <c r="K279" t="str" s="97" cm="1">
        <f t="array" ref="K279">'Question_Bank'!K271</f>
        <v>Giving</v>
      </c>
      <c r="L279" t="str" s="97" cm="1">
        <f t="array" ref="L279">'Question_Bank'!L271</f>
        <v>B</v>
      </c>
      <c r="M279" s="132"/>
      <c r="N279" t="str" s="97" cm="1">
        <f t="array" ref="N279">IF(M279="","",IF(F279="MCQ",IF(UPPER(M279)=UPPER(L279),1,0),IF(O279="Yes",6-VALUE(M279),VALUE(M279))))</f>
      </c>
      <c r="O279" t="str" s="97" cm="1">
        <f t="array" ref="O279">'Question_Bank'!N271</f>
        <v>No</v>
      </c>
      <c r="P279" s="133" cm="1">
        <f t="array" ref="P279">IF(F279="MCQ",1,5)</f>
        <v>1</v>
      </c>
    </row>
    <row r="280" ht="42" customHeight="1">
      <c r="A280" t="str" s="130" cm="1">
        <f t="array" ref="A280">'Question_Bank'!A272</f>
        <v>NPI0268</v>
      </c>
      <c r="B280" t="str" s="97" cm="1">
        <f t="array" ref="B280">'Question_Bank'!B272</f>
        <v>8-12</v>
      </c>
      <c r="C280" t="str" s="97" cm="1">
        <f t="array" ref="C280">'Question_Bank'!C272</f>
        <v>Cognitive Ability</v>
      </c>
      <c r="D280" t="str" s="97" cm="1">
        <f t="array" ref="D280">'Question_Bank'!D272</f>
        <v>Verbal</v>
      </c>
      <c r="E280" t="str" s="97" cm="1">
        <f t="array" ref="E280">'Question_Bank'!E272</f>
        <v>Verbal</v>
      </c>
      <c r="F280" t="str" s="97" cm="1">
        <f t="array" ref="F280">'Question_Bank'!F272</f>
        <v>MCQ</v>
      </c>
      <c r="G280" t="str" s="97" cm="1">
        <f t="array" ref="G280">'Question_Bank'!G272</f>
        <v>Doctor:Patient :: Teacher:?</v>
      </c>
      <c r="H280" t="str" s="97" cm="1">
        <f t="array" ref="H280">'Question_Bank'!H272</f>
        <v>Classroom</v>
      </c>
      <c r="I280" t="str" s="97" cm="1">
        <f t="array" ref="I280">'Question_Bank'!I272</f>
        <v>Student</v>
      </c>
      <c r="J280" t="str" s="97" cm="1">
        <f t="array" ref="J280">'Question_Bank'!J272</f>
        <v>Hospital</v>
      </c>
      <c r="K280" t="str" s="97" cm="1">
        <f t="array" ref="K280">'Question_Bank'!K272</f>
        <v>Medicine</v>
      </c>
      <c r="L280" t="str" s="97" cm="1">
        <f t="array" ref="L280">'Question_Bank'!L272</f>
        <v>B</v>
      </c>
      <c r="M280" s="132"/>
      <c r="N280" t="str" s="97" cm="1">
        <f t="array" ref="N280">IF(M280="","",IF(F280="MCQ",IF(UPPER(M280)=UPPER(L280),1,0),IF(O280="Yes",6-VALUE(M280),VALUE(M280))))</f>
      </c>
      <c r="O280" t="str" s="97" cm="1">
        <f t="array" ref="O280">'Question_Bank'!N272</f>
        <v>No</v>
      </c>
      <c r="P280" s="133" cm="1">
        <f t="array" ref="P280">IF(F280="MCQ",1,5)</f>
        <v>1</v>
      </c>
    </row>
    <row r="281" ht="42" customHeight="1">
      <c r="A281" t="str" s="130" cm="1">
        <f t="array" ref="A281">'Question_Bank'!A273</f>
        <v>NPI0269</v>
      </c>
      <c r="B281" t="str" s="97" cm="1">
        <f t="array" ref="B281">'Question_Bank'!B273</f>
        <v>8-12</v>
      </c>
      <c r="C281" t="str" s="97" cm="1">
        <f t="array" ref="C281">'Question_Bank'!C273</f>
        <v>Cognitive Ability</v>
      </c>
      <c r="D281" t="str" s="97" cm="1">
        <f t="array" ref="D281">'Question_Bank'!D273</f>
        <v>Verbal</v>
      </c>
      <c r="E281" t="str" s="97" cm="1">
        <f t="array" ref="E281">'Question_Bank'!E273</f>
        <v>Verbal</v>
      </c>
      <c r="F281" t="str" s="97" cm="1">
        <f t="array" ref="F281">'Question_Bank'!F273</f>
        <v>MCQ</v>
      </c>
      <c r="G281" t="str" s="97" cm="1">
        <f t="array" ref="G281">'Question_Bank'!G273</f>
        <v>Reluctant means</v>
      </c>
      <c r="H281" t="str" s="97" cm="1">
        <f t="array" ref="H281">'Question_Bank'!H273</f>
        <v>Not willing</v>
      </c>
      <c r="I281" t="str" s="97" cm="1">
        <f t="array" ref="I281">'Question_Bank'!I273</f>
        <v>Eager</v>
      </c>
      <c r="J281" t="str" s="97" cm="1">
        <f t="array" ref="J281">'Question_Bank'!J273</f>
        <v>Fast</v>
      </c>
      <c r="K281" t="str" s="97" cm="1">
        <f t="array" ref="K281">'Question_Bank'!K273</f>
        <v>Bright</v>
      </c>
      <c r="L281" t="str" s="97" cm="1">
        <f t="array" ref="L281">'Question_Bank'!L273</f>
        <v>A</v>
      </c>
      <c r="M281" s="132"/>
      <c r="N281" t="str" s="97" cm="1">
        <f t="array" ref="N281">IF(M281="","",IF(F281="MCQ",IF(UPPER(M281)=UPPER(L281),1,0),IF(O281="Yes",6-VALUE(M281),VALUE(M281))))</f>
      </c>
      <c r="O281" t="str" s="97" cm="1">
        <f t="array" ref="O281">'Question_Bank'!N273</f>
        <v>No</v>
      </c>
      <c r="P281" s="133" cm="1">
        <f t="array" ref="P281">IF(F281="MCQ",1,5)</f>
        <v>1</v>
      </c>
    </row>
    <row r="282" ht="42" customHeight="1">
      <c r="A282" t="str" s="130" cm="1">
        <f t="array" ref="A282">'Question_Bank'!A274</f>
        <v>NPI0270</v>
      </c>
      <c r="B282" t="str" s="97" cm="1">
        <f t="array" ref="B282">'Question_Bank'!B274</f>
        <v>8-12</v>
      </c>
      <c r="C282" t="str" s="97" cm="1">
        <f t="array" ref="C282">'Question_Bank'!C274</f>
        <v>Cognitive Ability</v>
      </c>
      <c r="D282" t="str" s="97" cm="1">
        <f t="array" ref="D282">'Question_Bank'!D274</f>
        <v>Verbal</v>
      </c>
      <c r="E282" t="str" s="97" cm="1">
        <f t="array" ref="E282">'Question_Bank'!E274</f>
        <v>Verbal</v>
      </c>
      <c r="F282" t="str" s="97" cm="1">
        <f t="array" ref="F282">'Question_Bank'!F274</f>
        <v>MCQ</v>
      </c>
      <c r="G282" t="str" s="97" cm="1">
        <f t="array" ref="G282">'Question_Bank'!G274</f>
        <v>She ___ homework yesterday</v>
      </c>
      <c r="H282" t="str" s="97" cm="1">
        <f t="array" ref="H282">'Question_Bank'!H274</f>
        <v>complete</v>
      </c>
      <c r="I282" t="str" s="97" cm="1">
        <f t="array" ref="I282">'Question_Bank'!I274</f>
        <v>completed</v>
      </c>
      <c r="J282" t="str" s="97" cm="1">
        <f t="array" ref="J282">'Question_Bank'!J274</f>
        <v>completing</v>
      </c>
      <c r="K282" t="str" s="97" cm="1">
        <f t="array" ref="K282">'Question_Bank'!K274</f>
        <v>completes</v>
      </c>
      <c r="L282" t="str" s="97" cm="1">
        <f t="array" ref="L282">'Question_Bank'!L274</f>
        <v>B</v>
      </c>
      <c r="M282" s="132"/>
      <c r="N282" t="str" s="97" cm="1">
        <f t="array" ref="N282">IF(M282="","",IF(F282="MCQ",IF(UPPER(M282)=UPPER(L282),1,0),IF(O282="Yes",6-VALUE(M282),VALUE(M282))))</f>
      </c>
      <c r="O282" t="str" s="97" cm="1">
        <f t="array" ref="O282">'Question_Bank'!N274</f>
        <v>No</v>
      </c>
      <c r="P282" s="133" cm="1">
        <f t="array" ref="P282">IF(F282="MCQ",1,5)</f>
        <v>1</v>
      </c>
    </row>
    <row r="283" ht="42" customHeight="1">
      <c r="A283" t="str" s="130" cm="1">
        <f t="array" ref="A283">'Question_Bank'!A275</f>
        <v>NPI0271</v>
      </c>
      <c r="B283" t="str" s="97" cm="1">
        <f t="array" ref="B283">'Question_Bank'!B275</f>
        <v>8-12</v>
      </c>
      <c r="C283" t="str" s="97" cm="1">
        <f t="array" ref="C283">'Question_Bank'!C275</f>
        <v>Cognitive Ability</v>
      </c>
      <c r="D283" t="str" s="97" cm="1">
        <f t="array" ref="D283">'Question_Bank'!D275</f>
        <v>Verbal</v>
      </c>
      <c r="E283" t="str" s="97" cm="1">
        <f t="array" ref="E283">'Question_Bank'!E275</f>
        <v>Verbal</v>
      </c>
      <c r="F283" t="str" s="97" cm="1">
        <f t="array" ref="F283">'Question_Bank'!F275</f>
        <v>MCQ</v>
      </c>
      <c r="G283" t="str" s="97" cm="1">
        <f t="array" ref="G283">'Question_Bank'!G275</f>
        <v>Synonym of observe</v>
      </c>
      <c r="H283" t="str" s="97" cm="1">
        <f t="array" ref="H283">'Question_Bank'!H275</f>
        <v>Notice</v>
      </c>
      <c r="I283" t="str" s="97" cm="1">
        <f t="array" ref="I283">'Question_Bank'!I275</f>
        <v>Ignore</v>
      </c>
      <c r="J283" t="str" s="97" cm="1">
        <f t="array" ref="J283">'Question_Bank'!J275</f>
        <v>Forget</v>
      </c>
      <c r="K283" t="str" s="97" cm="1">
        <f t="array" ref="K283">'Question_Bank'!K275</f>
        <v>Destroy</v>
      </c>
      <c r="L283" t="str" s="97" cm="1">
        <f t="array" ref="L283">'Question_Bank'!L275</f>
        <v>A</v>
      </c>
      <c r="M283" s="132"/>
      <c r="N283" t="str" s="97" cm="1">
        <f t="array" ref="N283">IF(M283="","",IF(F283="MCQ",IF(UPPER(M283)=UPPER(L283),1,0),IF(O283="Yes",6-VALUE(M283),VALUE(M283))))</f>
      </c>
      <c r="O283" t="str" s="97" cm="1">
        <f t="array" ref="O283">'Question_Bank'!N275</f>
        <v>No</v>
      </c>
      <c r="P283" s="133" cm="1">
        <f t="array" ref="P283">IF(F283="MCQ",1,5)</f>
        <v>1</v>
      </c>
    </row>
    <row r="284" ht="42" customHeight="1">
      <c r="A284" t="str" s="130" cm="1">
        <f t="array" ref="A284">'Question_Bank'!A276</f>
        <v>NPI0272</v>
      </c>
      <c r="B284" t="str" s="97" cm="1">
        <f t="array" ref="B284">'Question_Bank'!B276</f>
        <v>8-12</v>
      </c>
      <c r="C284" t="str" s="97" cm="1">
        <f t="array" ref="C284">'Question_Bank'!C276</f>
        <v>Cognitive Ability</v>
      </c>
      <c r="D284" t="str" s="97" cm="1">
        <f t="array" ref="D284">'Question_Bank'!D276</f>
        <v>Verbal</v>
      </c>
      <c r="E284" t="str" s="97" cm="1">
        <f t="array" ref="E284">'Question_Bank'!E276</f>
        <v>Verbal</v>
      </c>
      <c r="F284" t="str" s="97" cm="1">
        <f t="array" ref="F284">'Question_Bank'!F276</f>
        <v>MCQ</v>
      </c>
      <c r="G284" t="str" s="97" cm="1">
        <f t="array" ref="G284">'Question_Bank'!G276</f>
        <v>Antonym of complex</v>
      </c>
      <c r="H284" t="str" s="97" cm="1">
        <f t="array" ref="H284">'Question_Bank'!H276</f>
        <v>Difficult</v>
      </c>
      <c r="I284" t="str" s="97" cm="1">
        <f t="array" ref="I284">'Question_Bank'!I276</f>
        <v>Simple</v>
      </c>
      <c r="J284" t="str" s="97" cm="1">
        <f t="array" ref="J284">'Question_Bank'!J276</f>
        <v>Detailed</v>
      </c>
      <c r="K284" t="str" s="97" cm="1">
        <f t="array" ref="K284">'Question_Bank'!K276</f>
        <v>Confusing</v>
      </c>
      <c r="L284" t="str" s="97" cm="1">
        <f t="array" ref="L284">'Question_Bank'!L276</f>
        <v>B</v>
      </c>
      <c r="M284" s="132"/>
      <c r="N284" t="str" s="97" cm="1">
        <f t="array" ref="N284">IF(M284="","",IF(F284="MCQ",IF(UPPER(M284)=UPPER(L284),1,0),IF(O284="Yes",6-VALUE(M284),VALUE(M284))))</f>
      </c>
      <c r="O284" t="str" s="97" cm="1">
        <f t="array" ref="O284">'Question_Bank'!N276</f>
        <v>No</v>
      </c>
      <c r="P284" s="133" cm="1">
        <f t="array" ref="P284">IF(F284="MCQ",1,5)</f>
        <v>1</v>
      </c>
    </row>
    <row r="285" ht="42" customHeight="1">
      <c r="A285" t="str" s="130" cm="1">
        <f t="array" ref="A285">'Question_Bank'!A277</f>
        <v>NPI0273</v>
      </c>
      <c r="B285" t="str" s="97" cm="1">
        <f t="array" ref="B285">'Question_Bank'!B277</f>
        <v>8-12</v>
      </c>
      <c r="C285" t="str" s="97" cm="1">
        <f t="array" ref="C285">'Question_Bank'!C277</f>
        <v>Cognitive Ability</v>
      </c>
      <c r="D285" t="str" s="97" cm="1">
        <f t="array" ref="D285">'Question_Bank'!D277</f>
        <v>Verbal</v>
      </c>
      <c r="E285" t="str" s="97" cm="1">
        <f t="array" ref="E285">'Question_Bank'!E277</f>
        <v>Verbal</v>
      </c>
      <c r="F285" t="str" s="97" cm="1">
        <f t="array" ref="F285">'Question_Bank'!F277</f>
        <v>MCQ</v>
      </c>
      <c r="G285" t="str" s="97" cm="1">
        <f t="array" ref="G285">'Question_Bank'!G277</f>
        <v>Priority means</v>
      </c>
      <c r="H285" t="str" s="97" cm="1">
        <f t="array" ref="H285">'Question_Bank'!H277</f>
        <v>Important first</v>
      </c>
      <c r="I285" t="str" s="97" cm="1">
        <f t="array" ref="I285">'Question_Bank'!I277</f>
        <v>Mistake</v>
      </c>
      <c r="J285" t="str" s="97" cm="1">
        <f t="array" ref="J285">'Question_Bank'!J277</f>
        <v>Loud sound</v>
      </c>
      <c r="K285" t="str" s="97" cm="1">
        <f t="array" ref="K285">'Question_Bank'!K277</f>
        <v>Game</v>
      </c>
      <c r="L285" t="str" s="97" cm="1">
        <f t="array" ref="L285">'Question_Bank'!L277</f>
        <v>A</v>
      </c>
      <c r="M285" s="132"/>
      <c r="N285" t="str" s="97" cm="1">
        <f t="array" ref="N285">IF(M285="","",IF(F285="MCQ",IF(UPPER(M285)=UPPER(L285),1,0),IF(O285="Yes",6-VALUE(M285),VALUE(M285))))</f>
      </c>
      <c r="O285" t="str" s="97" cm="1">
        <f t="array" ref="O285">'Question_Bank'!N277</f>
        <v>No</v>
      </c>
      <c r="P285" s="133" cm="1">
        <f t="array" ref="P285">IF(F285="MCQ",1,5)</f>
        <v>1</v>
      </c>
    </row>
    <row r="286" ht="42" customHeight="1">
      <c r="A286" t="str" s="130" cm="1">
        <f t="array" ref="A286">'Question_Bank'!A278</f>
        <v>NPI0274</v>
      </c>
      <c r="B286" t="str" s="97" cm="1">
        <f t="array" ref="B286">'Question_Bank'!B278</f>
        <v>8-12</v>
      </c>
      <c r="C286" t="str" s="97" cm="1">
        <f t="array" ref="C286">'Question_Bank'!C278</f>
        <v>Cognitive Ability</v>
      </c>
      <c r="D286" t="str" s="97" cm="1">
        <f t="array" ref="D286">'Question_Bank'!D278</f>
        <v>Verbal</v>
      </c>
      <c r="E286" t="str" s="97" cm="1">
        <f t="array" ref="E286">'Question_Bank'!E278</f>
        <v>Verbal</v>
      </c>
      <c r="F286" t="str" s="97" cm="1">
        <f t="array" ref="F286">'Question_Bank'!F278</f>
        <v>MCQ</v>
      </c>
      <c r="G286" t="str" s="97" cm="1">
        <f t="array" ref="G286">'Question_Bank'!G278</f>
        <v>Results were ___</v>
      </c>
      <c r="H286" t="str" s="97" cm="1">
        <f t="array" ref="H286">'Question_Bank'!H278</f>
        <v>analyzed</v>
      </c>
      <c r="I286" t="str" s="97" cm="1">
        <f t="array" ref="I286">'Question_Bank'!I278</f>
        <v>eaten</v>
      </c>
      <c r="J286" t="str" s="97" cm="1">
        <f t="array" ref="J286">'Question_Bank'!J278</f>
        <v>painted</v>
      </c>
      <c r="K286" t="str" s="97" cm="1">
        <f t="array" ref="K286">'Question_Bank'!K278</f>
        <v>hidden</v>
      </c>
      <c r="L286" t="str" s="97" cm="1">
        <f t="array" ref="L286">'Question_Bank'!L278</f>
        <v>A</v>
      </c>
      <c r="M286" s="132"/>
      <c r="N286" t="str" s="97" cm="1">
        <f t="array" ref="N286">IF(M286="","",IF(F286="MCQ",IF(UPPER(M286)=UPPER(L286),1,0),IF(O286="Yes",6-VALUE(M286),VALUE(M286))))</f>
      </c>
      <c r="O286" t="str" s="97" cm="1">
        <f t="array" ref="O286">'Question_Bank'!N278</f>
        <v>No</v>
      </c>
      <c r="P286" s="133" cm="1">
        <f t="array" ref="P286">IF(F286="MCQ",1,5)</f>
        <v>1</v>
      </c>
    </row>
    <row r="287" ht="42" customHeight="1">
      <c r="A287" t="str" s="130" cm="1">
        <f t="array" ref="A287">'Question_Bank'!A279</f>
        <v>NPI0275</v>
      </c>
      <c r="B287" t="str" s="97" cm="1">
        <f t="array" ref="B287">'Question_Bank'!B279</f>
        <v>8-12</v>
      </c>
      <c r="C287" t="str" s="97" cm="1">
        <f t="array" ref="C287">'Question_Bank'!C279</f>
        <v>Cognitive Ability</v>
      </c>
      <c r="D287" t="str" s="97" cm="1">
        <f t="array" ref="D287">'Question_Bank'!D279</f>
        <v>Verbal</v>
      </c>
      <c r="E287" t="str" s="97" cm="1">
        <f t="array" ref="E287">'Question_Bank'!E279</f>
        <v>Verbal</v>
      </c>
      <c r="F287" t="str" s="97" cm="1">
        <f t="array" ref="F287">'Question_Bank'!F279</f>
        <v>MCQ</v>
      </c>
      <c r="G287" t="str" s="97" cm="1">
        <f t="array" ref="G287">'Question_Bank'!G279</f>
        <v>Seed:Plant :: Egg:?</v>
      </c>
      <c r="H287" t="str" s="97" cm="1">
        <f t="array" ref="H287">'Question_Bank'!H279</f>
        <v>Bird</v>
      </c>
      <c r="I287" t="str" s="97" cm="1">
        <f t="array" ref="I287">'Question_Bank'!I279</f>
        <v>Nest</v>
      </c>
      <c r="J287" t="str" s="97" cm="1">
        <f t="array" ref="J287">'Question_Bank'!J279</f>
        <v>Water</v>
      </c>
      <c r="K287" t="str" s="97" cm="1">
        <f t="array" ref="K287">'Question_Bank'!K279</f>
        <v>Soil</v>
      </c>
      <c r="L287" t="str" s="97" cm="1">
        <f t="array" ref="L287">'Question_Bank'!L279</f>
        <v>A</v>
      </c>
      <c r="M287" s="132"/>
      <c r="N287" t="str" s="97" cm="1">
        <f t="array" ref="N287">IF(M287="","",IF(F287="MCQ",IF(UPPER(M287)=UPPER(L287),1,0),IF(O287="Yes",6-VALUE(M287),VALUE(M287))))</f>
      </c>
      <c r="O287" t="str" s="97" cm="1">
        <f t="array" ref="O287">'Question_Bank'!N279</f>
        <v>No</v>
      </c>
      <c r="P287" s="133" cm="1">
        <f t="array" ref="P287">IF(F287="MCQ",1,5)</f>
        <v>1</v>
      </c>
    </row>
    <row r="288" ht="42" customHeight="1">
      <c r="A288" t="str" s="130" cm="1">
        <f t="array" ref="A288">'Question_Bank'!A280</f>
        <v>NPI0276</v>
      </c>
      <c r="B288" t="str" s="97" cm="1">
        <f t="array" ref="B288">'Question_Bank'!B280</f>
        <v>8-12</v>
      </c>
      <c r="C288" t="str" s="97" cm="1">
        <f t="array" ref="C288">'Question_Bank'!C280</f>
        <v>Cognitive Ability</v>
      </c>
      <c r="D288" t="str" s="97" cm="1">
        <f t="array" ref="D288">'Question_Bank'!D280</f>
        <v>Abstract</v>
      </c>
      <c r="E288" t="str" s="97" cm="1">
        <f t="array" ref="E288">'Question_Bank'!E280</f>
        <v>Abstract</v>
      </c>
      <c r="F288" t="str" s="97" cm="1">
        <f t="array" ref="F288">'Question_Bank'!F280</f>
        <v>MCQ</v>
      </c>
      <c r="G288" t="str" s="97" cm="1">
        <f t="array" ref="G288">'Question_Bank'!G280</f>
        <v>▲ ● ▲ ● ?</v>
      </c>
      <c r="H288" t="str" s="97" cm="1">
        <f t="array" ref="H288">'Question_Bank'!H280</f>
        <v>▲</v>
      </c>
      <c r="I288" t="str" s="97" cm="1">
        <f t="array" ref="I288">'Question_Bank'!I280</f>
        <v>●</v>
      </c>
      <c r="J288" t="str" s="97" cm="1">
        <f t="array" ref="J288">'Question_Bank'!J280</f>
        <v>■</v>
      </c>
      <c r="K288" t="str" s="97" cm="1">
        <f t="array" ref="K288">'Question_Bank'!K280</f>
        <v>◆</v>
      </c>
      <c r="L288" t="str" s="97" cm="1">
        <f t="array" ref="L288">'Question_Bank'!L280</f>
        <v>A</v>
      </c>
      <c r="M288" s="132"/>
      <c r="N288" t="str" s="97" cm="1">
        <f t="array" ref="N288">IF(M288="","",IF(F288="MCQ",IF(UPPER(M288)=UPPER(L288),1,0),IF(O288="Yes",6-VALUE(M288),VALUE(M288))))</f>
      </c>
      <c r="O288" t="str" s="97" cm="1">
        <f t="array" ref="O288">'Question_Bank'!N280</f>
        <v>No</v>
      </c>
      <c r="P288" s="133" cm="1">
        <f t="array" ref="P288">IF(F288="MCQ",1,5)</f>
        <v>1</v>
      </c>
    </row>
    <row r="289" ht="42" customHeight="1">
      <c r="A289" t="str" s="130" cm="1">
        <f t="array" ref="A289">'Question_Bank'!A281</f>
        <v>NPI0277</v>
      </c>
      <c r="B289" t="str" s="97" cm="1">
        <f t="array" ref="B289">'Question_Bank'!B281</f>
        <v>8-12</v>
      </c>
      <c r="C289" t="str" s="97" cm="1">
        <f t="array" ref="C289">'Question_Bank'!C281</f>
        <v>Cognitive Ability</v>
      </c>
      <c r="D289" t="str" s="97" cm="1">
        <f t="array" ref="D289">'Question_Bank'!D281</f>
        <v>Abstract</v>
      </c>
      <c r="E289" t="str" s="97" cm="1">
        <f t="array" ref="E289">'Question_Bank'!E281</f>
        <v>Abstract</v>
      </c>
      <c r="F289" t="str" s="97" cm="1">
        <f t="array" ref="F289">'Question_Bank'!F281</f>
        <v>MCQ</v>
      </c>
      <c r="G289" t="str" s="97" cm="1">
        <f t="array" ref="G289">'Question_Bank'!G281</f>
        <v>A,C,E,G,?</v>
      </c>
      <c r="H289" t="str" s="97" cm="1">
        <f t="array" ref="H289">'Question_Bank'!H281</f>
        <v>H</v>
      </c>
      <c r="I289" t="str" s="97" cm="1">
        <f t="array" ref="I289">'Question_Bank'!I281</f>
        <v>I</v>
      </c>
      <c r="J289" t="str" s="97" cm="1">
        <f t="array" ref="J289">'Question_Bank'!J281</f>
        <v>J</v>
      </c>
      <c r="K289" t="str" s="97" cm="1">
        <f t="array" ref="K289">'Question_Bank'!K281</f>
        <v>K</v>
      </c>
      <c r="L289" t="str" s="97" cm="1">
        <f t="array" ref="L289">'Question_Bank'!L281</f>
        <v>B</v>
      </c>
      <c r="M289" s="132"/>
      <c r="N289" t="str" s="97" cm="1">
        <f t="array" ref="N289">IF(M289="","",IF(F289="MCQ",IF(UPPER(M289)=UPPER(L289),1,0),IF(O289="Yes",6-VALUE(M289),VALUE(M289))))</f>
      </c>
      <c r="O289" t="str" s="97" cm="1">
        <f t="array" ref="O289">'Question_Bank'!N281</f>
        <v>No</v>
      </c>
      <c r="P289" s="133" cm="1">
        <f t="array" ref="P289">IF(F289="MCQ",1,5)</f>
        <v>1</v>
      </c>
    </row>
    <row r="290" ht="42" customHeight="1">
      <c r="A290" t="str" s="130" cm="1">
        <f t="array" ref="A290">'Question_Bank'!A282</f>
        <v>NPI0278</v>
      </c>
      <c r="B290" t="str" s="97" cm="1">
        <f t="array" ref="B290">'Question_Bank'!B282</f>
        <v>8-12</v>
      </c>
      <c r="C290" t="str" s="97" cm="1">
        <f t="array" ref="C290">'Question_Bank'!C282</f>
        <v>Cognitive Ability</v>
      </c>
      <c r="D290" t="str" s="97" cm="1">
        <f t="array" ref="D290">'Question_Bank'!D282</f>
        <v>Abstract</v>
      </c>
      <c r="E290" t="str" s="97" cm="1">
        <f t="array" ref="E290">'Question_Bank'!E282</f>
        <v>Abstract</v>
      </c>
      <c r="F290" t="str" s="97" cm="1">
        <f t="array" ref="F290">'Question_Bank'!F282</f>
        <v>MCQ</v>
      </c>
      <c r="G290" t="str" s="97" cm="1">
        <f t="array" ref="G290">'Question_Bank'!G282</f>
        <v>1,2,4,8,?</v>
      </c>
      <c r="H290" t="str" s="97" cm="1">
        <f t="array" ref="H290">'Question_Bank'!H282</f>
        <v>10</v>
      </c>
      <c r="I290" t="str" s="97" cm="1">
        <f t="array" ref="I290">'Question_Bank'!I282</f>
        <v>12</v>
      </c>
      <c r="J290" t="str" s="97" cm="1">
        <f t="array" ref="J290">'Question_Bank'!J282</f>
        <v>14</v>
      </c>
      <c r="K290" t="str" s="97" cm="1">
        <f t="array" ref="K290">'Question_Bank'!K282</f>
        <v>16</v>
      </c>
      <c r="L290" t="str" s="97" cm="1">
        <f t="array" ref="L290">'Question_Bank'!L282</f>
        <v>D</v>
      </c>
      <c r="M290" s="132"/>
      <c r="N290" t="str" s="97" cm="1">
        <f t="array" ref="N290">IF(M290="","",IF(F290="MCQ",IF(UPPER(M290)=UPPER(L290),1,0),IF(O290="Yes",6-VALUE(M290),VALUE(M290))))</f>
      </c>
      <c r="O290" t="str" s="97" cm="1">
        <f t="array" ref="O290">'Question_Bank'!N282</f>
        <v>No</v>
      </c>
      <c r="P290" s="133" cm="1">
        <f t="array" ref="P290">IF(F290="MCQ",1,5)</f>
        <v>1</v>
      </c>
    </row>
    <row r="291" ht="42" customHeight="1">
      <c r="A291" t="str" s="130" cm="1">
        <f t="array" ref="A291">'Question_Bank'!A283</f>
        <v>NPI0279</v>
      </c>
      <c r="B291" t="str" s="97" cm="1">
        <f t="array" ref="B291">'Question_Bank'!B283</f>
        <v>8-12</v>
      </c>
      <c r="C291" t="str" s="97" cm="1">
        <f t="array" ref="C291">'Question_Bank'!C283</f>
        <v>Cognitive Ability</v>
      </c>
      <c r="D291" t="str" s="97" cm="1">
        <f t="array" ref="D291">'Question_Bank'!D283</f>
        <v>Abstract</v>
      </c>
      <c r="E291" t="str" s="97" cm="1">
        <f t="array" ref="E291">'Question_Bank'!E283</f>
        <v>Abstract</v>
      </c>
      <c r="F291" t="str" s="97" cm="1">
        <f t="array" ref="F291">'Question_Bank'!F283</f>
        <v>MCQ</v>
      </c>
      <c r="G291" t="str" s="97" cm="1">
        <f t="array" ref="G291">'Question_Bank'!G283</f>
        <v>Z,Y,X,W,?</v>
      </c>
      <c r="H291" t="str" s="97" cm="1">
        <f t="array" ref="H291">'Question_Bank'!H283</f>
        <v>V</v>
      </c>
      <c r="I291" t="str" s="97" cm="1">
        <f t="array" ref="I291">'Question_Bank'!I283</f>
        <v>U</v>
      </c>
      <c r="J291" t="str" s="97" cm="1">
        <f t="array" ref="J291">'Question_Bank'!J283</f>
        <v>T</v>
      </c>
      <c r="K291" t="str" s="97" cm="1">
        <f t="array" ref="K291">'Question_Bank'!K283</f>
        <v>S</v>
      </c>
      <c r="L291" t="str" s="97" cm="1">
        <f t="array" ref="L291">'Question_Bank'!L283</f>
        <v>A</v>
      </c>
      <c r="M291" s="132"/>
      <c r="N291" t="str" s="97" cm="1">
        <f t="array" ref="N291">IF(M291="","",IF(F291="MCQ",IF(UPPER(M291)=UPPER(L291),1,0),IF(O291="Yes",6-VALUE(M291),VALUE(M291))))</f>
      </c>
      <c r="O291" t="str" s="97" cm="1">
        <f t="array" ref="O291">'Question_Bank'!N283</f>
        <v>No</v>
      </c>
      <c r="P291" s="133" cm="1">
        <f t="array" ref="P291">IF(F291="MCQ",1,5)</f>
        <v>1</v>
      </c>
    </row>
    <row r="292" ht="42" customHeight="1">
      <c r="A292" t="str" s="130" cm="1">
        <f t="array" ref="A292">'Question_Bank'!A284</f>
        <v>NPI0280</v>
      </c>
      <c r="B292" t="str" s="97" cm="1">
        <f t="array" ref="B292">'Question_Bank'!B284</f>
        <v>8-12</v>
      </c>
      <c r="C292" t="str" s="97" cm="1">
        <f t="array" ref="C292">'Question_Bank'!C284</f>
        <v>Cognitive Ability</v>
      </c>
      <c r="D292" t="str" s="97" cm="1">
        <f t="array" ref="D292">'Question_Bank'!D284</f>
        <v>Abstract</v>
      </c>
      <c r="E292" t="str" s="97" cm="1">
        <f t="array" ref="E292">'Question_Bank'!E284</f>
        <v>Abstract</v>
      </c>
      <c r="F292" t="str" s="97" cm="1">
        <f t="array" ref="F292">'Question_Bank'!F284</f>
        <v>MCQ</v>
      </c>
      <c r="G292" t="str" s="97" cm="1">
        <f t="array" ref="G292">'Question_Bank'!G284</f>
        <v>square-circle-square-circle next</v>
      </c>
      <c r="H292" t="str" s="97" cm="1">
        <f t="array" ref="H292">'Question_Bank'!H284</f>
        <v>Square</v>
      </c>
      <c r="I292" t="str" s="97" cm="1">
        <f t="array" ref="I292">'Question_Bank'!I284</f>
        <v>Circle</v>
      </c>
      <c r="J292" t="str" s="97" cm="1">
        <f t="array" ref="J292">'Question_Bank'!J284</f>
        <v>Triangle</v>
      </c>
      <c r="K292" t="str" s="97" cm="1">
        <f t="array" ref="K292">'Question_Bank'!K284</f>
        <v>Line</v>
      </c>
      <c r="L292" t="str" s="97" cm="1">
        <f t="array" ref="L292">'Question_Bank'!L284</f>
        <v>A</v>
      </c>
      <c r="M292" s="132"/>
      <c r="N292" t="str" s="97" cm="1">
        <f t="array" ref="N292">IF(M292="","",IF(F292="MCQ",IF(UPPER(M292)=UPPER(L292),1,0),IF(O292="Yes",6-VALUE(M292),VALUE(M292))))</f>
      </c>
      <c r="O292" t="str" s="97" cm="1">
        <f t="array" ref="O292">'Question_Bank'!N284</f>
        <v>No</v>
      </c>
      <c r="P292" s="133" cm="1">
        <f t="array" ref="P292">IF(F292="MCQ",1,5)</f>
        <v>1</v>
      </c>
    </row>
    <row r="293" ht="42" customHeight="1">
      <c r="A293" t="str" s="130" cm="1">
        <f t="array" ref="A293">'Question_Bank'!A285</f>
        <v>NPI0281</v>
      </c>
      <c r="B293" t="str" s="97" cm="1">
        <f t="array" ref="B293">'Question_Bank'!B285</f>
        <v>8-12</v>
      </c>
      <c r="C293" t="str" s="97" cm="1">
        <f t="array" ref="C293">'Question_Bank'!C285</f>
        <v>Cognitive Ability</v>
      </c>
      <c r="D293" t="str" s="97" cm="1">
        <f t="array" ref="D293">'Question_Bank'!D285</f>
        <v>Abstract</v>
      </c>
      <c r="E293" t="str" s="97" cm="1">
        <f t="array" ref="E293">'Question_Bank'!E285</f>
        <v>Abstract</v>
      </c>
      <c r="F293" t="str" s="97" cm="1">
        <f t="array" ref="F293">'Question_Bank'!F285</f>
        <v>MCQ</v>
      </c>
      <c r="G293" t="str" s="97" cm="1">
        <f t="array" ref="G293">'Question_Bank'!G285</f>
        <v>2,5,8,11,?</v>
      </c>
      <c r="H293" t="str" s="97" cm="1">
        <f t="array" ref="H293">'Question_Bank'!H285</f>
        <v>13</v>
      </c>
      <c r="I293" t="str" s="97" cm="1">
        <f t="array" ref="I293">'Question_Bank'!I285</f>
        <v>14</v>
      </c>
      <c r="J293" t="str" s="97" cm="1">
        <f t="array" ref="J293">'Question_Bank'!J285</f>
        <v>15</v>
      </c>
      <c r="K293" t="str" s="97" cm="1">
        <f t="array" ref="K293">'Question_Bank'!K285</f>
        <v>16</v>
      </c>
      <c r="L293" t="str" s="97" cm="1">
        <f t="array" ref="L293">'Question_Bank'!L285</f>
        <v>B</v>
      </c>
      <c r="M293" s="132"/>
      <c r="N293" t="str" s="97" cm="1">
        <f t="array" ref="N293">IF(M293="","",IF(F293="MCQ",IF(UPPER(M293)=UPPER(L293),1,0),IF(O293="Yes",6-VALUE(M293),VALUE(M293))))</f>
      </c>
      <c r="O293" t="str" s="97" cm="1">
        <f t="array" ref="O293">'Question_Bank'!N285</f>
        <v>No</v>
      </c>
      <c r="P293" s="133" cm="1">
        <f t="array" ref="P293">IF(F293="MCQ",1,5)</f>
        <v>1</v>
      </c>
    </row>
    <row r="294" ht="42" customHeight="1">
      <c r="A294" t="str" s="130" cm="1">
        <f t="array" ref="A294">'Question_Bank'!A286</f>
        <v>NPI0282</v>
      </c>
      <c r="B294" t="str" s="97" cm="1">
        <f t="array" ref="B294">'Question_Bank'!B286</f>
        <v>8-12</v>
      </c>
      <c r="C294" t="str" s="97" cm="1">
        <f t="array" ref="C294">'Question_Bank'!C286</f>
        <v>Cognitive Ability</v>
      </c>
      <c r="D294" t="str" s="97" cm="1">
        <f t="array" ref="D294">'Question_Bank'!D286</f>
        <v>Abstract</v>
      </c>
      <c r="E294" t="str" s="97" cm="1">
        <f t="array" ref="E294">'Question_Bank'!E286</f>
        <v>Abstract</v>
      </c>
      <c r="F294" t="str" s="97" cm="1">
        <f t="array" ref="F294">'Question_Bank'!F286</f>
        <v>MCQ</v>
      </c>
      <c r="G294" t="str" s="97" cm="1">
        <f t="array" ref="G294">'Question_Bank'!G286</f>
        <v>AB,CD,EF,?</v>
      </c>
      <c r="H294" t="str" s="97" cm="1">
        <f t="array" ref="H294">'Question_Bank'!H286</f>
        <v>GH</v>
      </c>
      <c r="I294" t="str" s="97" cm="1">
        <f t="array" ref="I294">'Question_Bank'!I286</f>
        <v>FG</v>
      </c>
      <c r="J294" t="str" s="97" cm="1">
        <f t="array" ref="J294">'Question_Bank'!J286</f>
        <v>HI</v>
      </c>
      <c r="K294" t="str" s="97" cm="1">
        <f t="array" ref="K294">'Question_Bank'!K286</f>
        <v>IJ</v>
      </c>
      <c r="L294" t="str" s="97" cm="1">
        <f t="array" ref="L294">'Question_Bank'!L286</f>
        <v>A</v>
      </c>
      <c r="M294" s="132"/>
      <c r="N294" t="str" s="97" cm="1">
        <f t="array" ref="N294">IF(M294="","",IF(F294="MCQ",IF(UPPER(M294)=UPPER(L294),1,0),IF(O294="Yes",6-VALUE(M294),VALUE(M294))))</f>
      </c>
      <c r="O294" t="str" s="97" cm="1">
        <f t="array" ref="O294">'Question_Bank'!N286</f>
        <v>No</v>
      </c>
      <c r="P294" s="133" cm="1">
        <f t="array" ref="P294">IF(F294="MCQ",1,5)</f>
        <v>1</v>
      </c>
    </row>
    <row r="295" ht="42" customHeight="1">
      <c r="A295" t="str" s="130" cm="1">
        <f t="array" ref="A295">'Question_Bank'!A287</f>
        <v>NPI0283</v>
      </c>
      <c r="B295" t="str" s="97" cm="1">
        <f t="array" ref="B295">'Question_Bank'!B287</f>
        <v>8-12</v>
      </c>
      <c r="C295" t="str" s="97" cm="1">
        <f t="array" ref="C295">'Question_Bank'!C287</f>
        <v>Cognitive Ability</v>
      </c>
      <c r="D295" t="str" s="97" cm="1">
        <f t="array" ref="D295">'Question_Bank'!D287</f>
        <v>Abstract</v>
      </c>
      <c r="E295" t="str" s="97" cm="1">
        <f t="array" ref="E295">'Question_Bank'!E287</f>
        <v>Abstract</v>
      </c>
      <c r="F295" t="str" s="97" cm="1">
        <f t="array" ref="F295">'Question_Bank'!F287</f>
        <v>MCQ</v>
      </c>
      <c r="G295" t="str" s="97" cm="1">
        <f t="array" ref="G295">'Question_Bank'!G287</f>
        <v>small,medium,large,small,medium,?</v>
      </c>
      <c r="H295" t="str" s="97" cm="1">
        <f t="array" ref="H295">'Question_Bank'!H287</f>
        <v>small</v>
      </c>
      <c r="I295" t="str" s="97" cm="1">
        <f t="array" ref="I295">'Question_Bank'!I287</f>
        <v>medium</v>
      </c>
      <c r="J295" t="str" s="97" cm="1">
        <f t="array" ref="J295">'Question_Bank'!J287</f>
        <v>large</v>
      </c>
      <c r="K295" t="str" s="97" cm="1">
        <f t="array" ref="K295">'Question_Bank'!K287</f>
        <v>none</v>
      </c>
      <c r="L295" t="str" s="97" cm="1">
        <f t="array" ref="L295">'Question_Bank'!L287</f>
        <v>C</v>
      </c>
      <c r="M295" s="132"/>
      <c r="N295" t="str" s="97" cm="1">
        <f t="array" ref="N295">IF(M295="","",IF(F295="MCQ",IF(UPPER(M295)=UPPER(L295),1,0),IF(O295="Yes",6-VALUE(M295),VALUE(M295))))</f>
      </c>
      <c r="O295" t="str" s="97" cm="1">
        <f t="array" ref="O295">'Question_Bank'!N287</f>
        <v>No</v>
      </c>
      <c r="P295" s="133" cm="1">
        <f t="array" ref="P295">IF(F295="MCQ",1,5)</f>
        <v>1</v>
      </c>
    </row>
    <row r="296" ht="42" customHeight="1">
      <c r="A296" t="str" s="130" cm="1">
        <f t="array" ref="A296">'Question_Bank'!A288</f>
        <v>NPI0284</v>
      </c>
      <c r="B296" t="str" s="97" cm="1">
        <f t="array" ref="B296">'Question_Bank'!B288</f>
        <v>8-12</v>
      </c>
      <c r="C296" t="str" s="97" cm="1">
        <f t="array" ref="C296">'Question_Bank'!C288</f>
        <v>Cognitive Ability</v>
      </c>
      <c r="D296" t="str" s="97" cm="1">
        <f t="array" ref="D296">'Question_Bank'!D288</f>
        <v>Abstract</v>
      </c>
      <c r="E296" t="str" s="97" cm="1">
        <f t="array" ref="E296">'Question_Bank'!E288</f>
        <v>Abstract</v>
      </c>
      <c r="F296" t="str" s="97" cm="1">
        <f t="array" ref="F296">'Question_Bank'!F288</f>
        <v>MCQ</v>
      </c>
      <c r="G296" t="str" s="97" cm="1">
        <f t="array" ref="G296">'Question_Bank'!G288</f>
        <v>100,90,80,70,?</v>
      </c>
      <c r="H296" t="str" s="97" cm="1">
        <f t="array" ref="H296">'Question_Bank'!H288</f>
        <v>50</v>
      </c>
      <c r="I296" t="str" s="97" cm="1">
        <f t="array" ref="I296">'Question_Bank'!I288</f>
        <v>55</v>
      </c>
      <c r="J296" t="str" s="97" cm="1">
        <f t="array" ref="J296">'Question_Bank'!J288</f>
        <v>60</v>
      </c>
      <c r="K296" t="str" s="97" cm="1">
        <f t="array" ref="K296">'Question_Bank'!K288</f>
        <v>65</v>
      </c>
      <c r="L296" t="str" s="97" cm="1">
        <f t="array" ref="L296">'Question_Bank'!L288</f>
        <v>C</v>
      </c>
      <c r="M296" s="132"/>
      <c r="N296" t="str" s="97" cm="1">
        <f t="array" ref="N296">IF(M296="","",IF(F296="MCQ",IF(UPPER(M296)=UPPER(L296),1,0),IF(O296="Yes",6-VALUE(M296),VALUE(M296))))</f>
      </c>
      <c r="O296" t="str" s="97" cm="1">
        <f t="array" ref="O296">'Question_Bank'!N288</f>
        <v>No</v>
      </c>
      <c r="P296" s="133" cm="1">
        <f t="array" ref="P296">IF(F296="MCQ",1,5)</f>
        <v>1</v>
      </c>
    </row>
    <row r="297" ht="42" customHeight="1">
      <c r="A297" t="str" s="130" cm="1">
        <f t="array" ref="A297">'Question_Bank'!A289</f>
        <v>NPI0285</v>
      </c>
      <c r="B297" t="str" s="97" cm="1">
        <f t="array" ref="B297">'Question_Bank'!B289</f>
        <v>8-12</v>
      </c>
      <c r="C297" t="str" s="97" cm="1">
        <f t="array" ref="C297">'Question_Bank'!C289</f>
        <v>Cognitive Ability</v>
      </c>
      <c r="D297" t="str" s="97" cm="1">
        <f t="array" ref="D297">'Question_Bank'!D289</f>
        <v>Abstract</v>
      </c>
      <c r="E297" t="str" s="97" cm="1">
        <f t="array" ref="E297">'Question_Bank'!E289</f>
        <v>Abstract</v>
      </c>
      <c r="F297" t="str" s="97" cm="1">
        <f t="array" ref="F297">'Question_Bank'!F289</f>
        <v>MCQ</v>
      </c>
      <c r="G297" t="str" s="97" cm="1">
        <f t="array" ref="G297">'Question_Bank'!G289</f>
        <v>blue=1, red=2, next red</v>
      </c>
      <c r="H297" t="str" s="97" cm="1">
        <f t="array" ref="H297">'Question_Bank'!H289</f>
        <v>1</v>
      </c>
      <c r="I297" t="str" s="97" cm="1">
        <f t="array" ref="I297">'Question_Bank'!I289</f>
        <v>2</v>
      </c>
      <c r="J297" t="str" s="97" cm="1">
        <f t="array" ref="J297">'Question_Bank'!J289</f>
        <v>3</v>
      </c>
      <c r="K297" t="str" s="97" cm="1">
        <f t="array" ref="K297">'Question_Bank'!K289</f>
        <v>4</v>
      </c>
      <c r="L297" t="str" s="97" cm="1">
        <f t="array" ref="L297">'Question_Bank'!L289</f>
        <v>B</v>
      </c>
      <c r="M297" s="132"/>
      <c r="N297" t="str" s="97" cm="1">
        <f t="array" ref="N297">IF(M297="","",IF(F297="MCQ",IF(UPPER(M297)=UPPER(L297),1,0),IF(O297="Yes",6-VALUE(M297),VALUE(M297))))</f>
      </c>
      <c r="O297" t="str" s="97" cm="1">
        <f t="array" ref="O297">'Question_Bank'!N289</f>
        <v>No</v>
      </c>
      <c r="P297" s="133" cm="1">
        <f t="array" ref="P297">IF(F297="MCQ",1,5)</f>
        <v>1</v>
      </c>
    </row>
    <row r="298" ht="42" customHeight="1">
      <c r="A298" t="str" s="130" cm="1">
        <f t="array" ref="A298">'Question_Bank'!A290</f>
        <v>NPI0286</v>
      </c>
      <c r="B298" t="str" s="97" cm="1">
        <f t="array" ref="B298">'Question_Bank'!B290</f>
        <v>8-12</v>
      </c>
      <c r="C298" t="str" s="97" cm="1">
        <f t="array" ref="C298">'Question_Bank'!C290</f>
        <v>Cognitive Ability</v>
      </c>
      <c r="D298" t="str" s="97" cm="1">
        <f t="array" ref="D298">'Question_Bank'!D290</f>
        <v>Abstract</v>
      </c>
      <c r="E298" t="str" s="97" cm="1">
        <f t="array" ref="E298">'Question_Bank'!E290</f>
        <v>Abstract</v>
      </c>
      <c r="F298" t="str" s="97" cm="1">
        <f t="array" ref="F298">'Question_Bank'!F290</f>
        <v>MCQ</v>
      </c>
      <c r="G298" t="str" s="97" cm="1">
        <f t="array" ref="G298">'Question_Bank'!G290</f>
        <v>3,6,12,24,?</v>
      </c>
      <c r="H298" t="str" s="97" cm="1">
        <f t="array" ref="H298">'Question_Bank'!H290</f>
        <v>30</v>
      </c>
      <c r="I298" t="str" s="97" cm="1">
        <f t="array" ref="I298">'Question_Bank'!I290</f>
        <v>36</v>
      </c>
      <c r="J298" t="str" s="97" cm="1">
        <f t="array" ref="J298">'Question_Bank'!J290</f>
        <v>42</v>
      </c>
      <c r="K298" t="str" s="97" cm="1">
        <f t="array" ref="K298">'Question_Bank'!K290</f>
        <v>48</v>
      </c>
      <c r="L298" t="str" s="97" cm="1">
        <f t="array" ref="L298">'Question_Bank'!L290</f>
        <v>D</v>
      </c>
      <c r="M298" s="132"/>
      <c r="N298" t="str" s="97" cm="1">
        <f t="array" ref="N298">IF(M298="","",IF(F298="MCQ",IF(UPPER(M298)=UPPER(L298),1,0),IF(O298="Yes",6-VALUE(M298),VALUE(M298))))</f>
      </c>
      <c r="O298" t="str" s="97" cm="1">
        <f t="array" ref="O298">'Question_Bank'!N290</f>
        <v>No</v>
      </c>
      <c r="P298" s="133" cm="1">
        <f t="array" ref="P298">IF(F298="MCQ",1,5)</f>
        <v>1</v>
      </c>
    </row>
    <row r="299" ht="42" customHeight="1">
      <c r="A299" t="str" s="130" cm="1">
        <f t="array" ref="A299">'Question_Bank'!A291</f>
        <v>NPI0287</v>
      </c>
      <c r="B299" t="str" s="97" cm="1">
        <f t="array" ref="B299">'Question_Bank'!B291</f>
        <v>8-12</v>
      </c>
      <c r="C299" t="str" s="97" cm="1">
        <f t="array" ref="C299">'Question_Bank'!C291</f>
        <v>Cognitive Ability</v>
      </c>
      <c r="D299" t="str" s="97" cm="1">
        <f t="array" ref="D299">'Question_Bank'!D291</f>
        <v>Abstract</v>
      </c>
      <c r="E299" t="str" s="97" cm="1">
        <f t="array" ref="E299">'Question_Bank'!E291</f>
        <v>Abstract</v>
      </c>
      <c r="F299" t="str" s="97" cm="1">
        <f t="array" ref="F299">'Question_Bank'!F291</f>
        <v>MCQ</v>
      </c>
      <c r="G299" t="str" s="97" cm="1">
        <f t="array" ref="G299">'Question_Bank'!G291</f>
        <v>J,L,N,P,?</v>
      </c>
      <c r="H299" t="str" s="97" cm="1">
        <f t="array" ref="H299">'Question_Bank'!H291</f>
        <v>Q</v>
      </c>
      <c r="I299" t="str" s="97" cm="1">
        <f t="array" ref="I299">'Question_Bank'!I291</f>
        <v>R</v>
      </c>
      <c r="J299" t="str" s="97" cm="1">
        <f t="array" ref="J299">'Question_Bank'!J291</f>
        <v>S</v>
      </c>
      <c r="K299" t="str" s="97" cm="1">
        <f t="array" ref="K299">'Question_Bank'!K291</f>
        <v>T</v>
      </c>
      <c r="L299" t="str" s="97" cm="1">
        <f t="array" ref="L299">'Question_Bank'!L291</f>
        <v>B</v>
      </c>
      <c r="M299" s="132"/>
      <c r="N299" t="str" s="97" cm="1">
        <f t="array" ref="N299">IF(M299="","",IF(F299="MCQ",IF(UPPER(M299)=UPPER(L299),1,0),IF(O299="Yes",6-VALUE(M299),VALUE(M299))))</f>
      </c>
      <c r="O299" t="str" s="97" cm="1">
        <f t="array" ref="O299">'Question_Bank'!N291</f>
        <v>No</v>
      </c>
      <c r="P299" s="133" cm="1">
        <f t="array" ref="P299">IF(F299="MCQ",1,5)</f>
        <v>1</v>
      </c>
    </row>
    <row r="300" ht="42" customHeight="1">
      <c r="A300" t="str" s="130" cm="1">
        <f t="array" ref="A300">'Question_Bank'!A292</f>
        <v>NPI0288</v>
      </c>
      <c r="B300" t="str" s="97" cm="1">
        <f t="array" ref="B300">'Question_Bank'!B292</f>
        <v>8-12</v>
      </c>
      <c r="C300" t="str" s="97" cm="1">
        <f t="array" ref="C300">'Question_Bank'!C292</f>
        <v>Cognitive Ability</v>
      </c>
      <c r="D300" t="str" s="97" cm="1">
        <f t="array" ref="D300">'Question_Bank'!D292</f>
        <v>Abstract</v>
      </c>
      <c r="E300" t="str" s="97" cm="1">
        <f t="array" ref="E300">'Question_Bank'!E292</f>
        <v>Abstract</v>
      </c>
      <c r="F300" t="str" s="97" cm="1">
        <f t="array" ref="F300">'Question_Bank'!F292</f>
        <v>MCQ</v>
      </c>
      <c r="G300" t="str" s="97" cm="1">
        <f t="array" ref="G300">'Question_Bank'!G292</f>
        <v>●●,●●●,●●●●,?</v>
      </c>
      <c r="H300" t="str" s="97" cm="1">
        <f t="array" ref="H300">'Question_Bank'!H292</f>
        <v>●</v>
      </c>
      <c r="I300" t="str" s="97" cm="1">
        <f t="array" ref="I300">'Question_Bank'!I292</f>
        <v>●●</v>
      </c>
      <c r="J300" t="str" s="97" cm="1">
        <f t="array" ref="J300">'Question_Bank'!J292</f>
        <v>●●●●●</v>
      </c>
      <c r="K300" t="str" s="97" cm="1">
        <f t="array" ref="K300">'Question_Bank'!K292</f>
        <v>●●●●●●</v>
      </c>
      <c r="L300" t="str" s="97" cm="1">
        <f t="array" ref="L300">'Question_Bank'!L292</f>
        <v>C</v>
      </c>
      <c r="M300" s="132"/>
      <c r="N300" t="str" s="97" cm="1">
        <f t="array" ref="N300">IF(M300="","",IF(F300="MCQ",IF(UPPER(M300)=UPPER(L300),1,0),IF(O300="Yes",6-VALUE(M300),VALUE(M300))))</f>
      </c>
      <c r="O300" t="str" s="97" cm="1">
        <f t="array" ref="O300">'Question_Bank'!N292</f>
        <v>No</v>
      </c>
      <c r="P300" s="133" cm="1">
        <f t="array" ref="P300">IF(F300="MCQ",1,5)</f>
        <v>1</v>
      </c>
    </row>
    <row r="301" ht="42" customHeight="1">
      <c r="A301" t="str" s="130" cm="1">
        <f t="array" ref="A301">'Question_Bank'!A293</f>
        <v>NPI0289</v>
      </c>
      <c r="B301" t="str" s="97" cm="1">
        <f t="array" ref="B301">'Question_Bank'!B293</f>
        <v>8-12</v>
      </c>
      <c r="C301" t="str" s="97" cm="1">
        <f t="array" ref="C301">'Question_Bank'!C293</f>
        <v>Cognitive Ability</v>
      </c>
      <c r="D301" t="str" s="97" cm="1">
        <f t="array" ref="D301">'Question_Bank'!D293</f>
        <v>Abstract</v>
      </c>
      <c r="E301" t="str" s="97" cm="1">
        <f t="array" ref="E301">'Question_Bank'!E293</f>
        <v>Abstract</v>
      </c>
      <c r="F301" t="str" s="97" cm="1">
        <f t="array" ref="F301">'Question_Bank'!F293</f>
        <v>MCQ</v>
      </c>
      <c r="G301" t="str" s="97" cm="1">
        <f t="array" ref="G301">'Question_Bank'!G293</f>
        <v>7,14,21,?</v>
      </c>
      <c r="H301" t="str" s="97" cm="1">
        <f t="array" ref="H301">'Question_Bank'!H293</f>
        <v>25</v>
      </c>
      <c r="I301" t="str" s="97" cm="1">
        <f t="array" ref="I301">'Question_Bank'!I293</f>
        <v>26</v>
      </c>
      <c r="J301" t="str" s="97" cm="1">
        <f t="array" ref="J301">'Question_Bank'!J293</f>
        <v>28</v>
      </c>
      <c r="K301" t="str" s="97" cm="1">
        <f t="array" ref="K301">'Question_Bank'!K293</f>
        <v>30</v>
      </c>
      <c r="L301" t="str" s="97" cm="1">
        <f t="array" ref="L301">'Question_Bank'!L293</f>
        <v>C</v>
      </c>
      <c r="M301" s="132"/>
      <c r="N301" t="str" s="97" cm="1">
        <f t="array" ref="N301">IF(M301="","",IF(F301="MCQ",IF(UPPER(M301)=UPPER(L301),1,0),IF(O301="Yes",6-VALUE(M301),VALUE(M301))))</f>
      </c>
      <c r="O301" t="str" s="97" cm="1">
        <f t="array" ref="O301">'Question_Bank'!N293</f>
        <v>No</v>
      </c>
      <c r="P301" s="133" cm="1">
        <f t="array" ref="P301">IF(F301="MCQ",1,5)</f>
        <v>1</v>
      </c>
    </row>
    <row r="302" ht="42" customHeight="1">
      <c r="A302" t="str" s="130" cm="1">
        <f t="array" ref="A302">'Question_Bank'!A294</f>
        <v>NPI0290</v>
      </c>
      <c r="B302" t="str" s="97" cm="1">
        <f t="array" ref="B302">'Question_Bank'!B294</f>
        <v>8-12</v>
      </c>
      <c r="C302" t="str" s="97" cm="1">
        <f t="array" ref="C302">'Question_Bank'!C294</f>
        <v>Cognitive Ability</v>
      </c>
      <c r="D302" t="str" s="97" cm="1">
        <f t="array" ref="D302">'Question_Bank'!D294</f>
        <v>Abstract</v>
      </c>
      <c r="E302" t="str" s="97" cm="1">
        <f t="array" ref="E302">'Question_Bank'!E294</f>
        <v>Abstract</v>
      </c>
      <c r="F302" t="str" s="97" cm="1">
        <f t="array" ref="F302">'Question_Bank'!F294</f>
        <v>MCQ</v>
      </c>
      <c r="G302" t="str" s="97" cm="1">
        <f t="array" ref="G302">'Question_Bank'!G294</f>
        <v>1A,2B,3C,?</v>
      </c>
      <c r="H302" t="str" s="97" cm="1">
        <f t="array" ref="H302">'Question_Bank'!H294</f>
        <v>3D</v>
      </c>
      <c r="I302" t="str" s="97" cm="1">
        <f t="array" ref="I302">'Question_Bank'!I294</f>
        <v>4D</v>
      </c>
      <c r="J302" t="str" s="97" cm="1">
        <f t="array" ref="J302">'Question_Bank'!J294</f>
        <v>4C</v>
      </c>
      <c r="K302" t="str" s="97" cm="1">
        <f t="array" ref="K302">'Question_Bank'!K294</f>
        <v>5D</v>
      </c>
      <c r="L302" t="str" s="97" cm="1">
        <f t="array" ref="L302">'Question_Bank'!L294</f>
        <v>B</v>
      </c>
      <c r="M302" s="132"/>
      <c r="N302" t="str" s="97" cm="1">
        <f t="array" ref="N302">IF(M302="","",IF(F302="MCQ",IF(UPPER(M302)=UPPER(L302),1,0),IF(O302="Yes",6-VALUE(M302),VALUE(M302))))</f>
      </c>
      <c r="O302" t="str" s="97" cm="1">
        <f t="array" ref="O302">'Question_Bank'!N294</f>
        <v>No</v>
      </c>
      <c r="P302" s="133" cm="1">
        <f t="array" ref="P302">IF(F302="MCQ",1,5)</f>
        <v>1</v>
      </c>
    </row>
    <row r="303" ht="42" customHeight="1">
      <c r="A303" t="str" s="130" cm="1">
        <f t="array" ref="A303">'Question_Bank'!A295</f>
        <v>NPI0291</v>
      </c>
      <c r="B303" t="str" s="97" cm="1">
        <f t="array" ref="B303">'Question_Bank'!B295</f>
        <v>8-12</v>
      </c>
      <c r="C303" t="str" s="97" cm="1">
        <f t="array" ref="C303">'Question_Bank'!C295</f>
        <v>Cognitive Ability</v>
      </c>
      <c r="D303" t="str" s="97" cm="1">
        <f t="array" ref="D303">'Question_Bank'!D295</f>
        <v>Abstract</v>
      </c>
      <c r="E303" t="str" s="97" cm="1">
        <f t="array" ref="E303">'Question_Bank'!E295</f>
        <v>Abstract</v>
      </c>
      <c r="F303" t="str" s="97" cm="1">
        <f t="array" ref="F303">'Question_Bank'!F295</f>
        <v>MCQ</v>
      </c>
      <c r="G303" t="str" s="97" cm="1">
        <f t="array" ref="G303">'Question_Bank'!G295</f>
        <v>north,east,south,west,?</v>
      </c>
      <c r="H303" t="str" s="97" cm="1">
        <f t="array" ref="H303">'Question_Bank'!H295</f>
        <v>north</v>
      </c>
      <c r="I303" t="str" s="97" cm="1">
        <f t="array" ref="I303">'Question_Bank'!I295</f>
        <v>east</v>
      </c>
      <c r="J303" t="str" s="97" cm="1">
        <f t="array" ref="J303">'Question_Bank'!J295</f>
        <v>south</v>
      </c>
      <c r="K303" t="str" s="97" cm="1">
        <f t="array" ref="K303">'Question_Bank'!K295</f>
        <v>west</v>
      </c>
      <c r="L303" t="str" s="97" cm="1">
        <f t="array" ref="L303">'Question_Bank'!L295</f>
        <v>A</v>
      </c>
      <c r="M303" s="132"/>
      <c r="N303" t="str" s="97" cm="1">
        <f t="array" ref="N303">IF(M303="","",IF(F303="MCQ",IF(UPPER(M303)=UPPER(L303),1,0),IF(O303="Yes",6-VALUE(M303),VALUE(M303))))</f>
      </c>
      <c r="O303" t="str" s="97" cm="1">
        <f t="array" ref="O303">'Question_Bank'!N295</f>
        <v>No</v>
      </c>
      <c r="P303" s="133" cm="1">
        <f t="array" ref="P303">IF(F303="MCQ",1,5)</f>
        <v>1</v>
      </c>
    </row>
    <row r="304" ht="42" customHeight="1">
      <c r="A304" t="str" s="130" cm="1">
        <f t="array" ref="A304">'Question_Bank'!A296</f>
        <v>NPI0292</v>
      </c>
      <c r="B304" t="str" s="97" cm="1">
        <f t="array" ref="B304">'Question_Bank'!B296</f>
        <v>8-12</v>
      </c>
      <c r="C304" t="str" s="97" cm="1">
        <f t="array" ref="C304">'Question_Bank'!C296</f>
        <v>Cognitive Ability</v>
      </c>
      <c r="D304" t="str" s="97" cm="1">
        <f t="array" ref="D304">'Question_Bank'!D296</f>
        <v>Abstract</v>
      </c>
      <c r="E304" t="str" s="97" cm="1">
        <f t="array" ref="E304">'Question_Bank'!E296</f>
        <v>Abstract</v>
      </c>
      <c r="F304" t="str" s="97" cm="1">
        <f t="array" ref="F304">'Question_Bank'!F296</f>
        <v>MCQ</v>
      </c>
      <c r="G304" t="str" s="97" cm="1">
        <f t="array" ref="G304">'Question_Bank'!G296</f>
        <v>4,9,14,19,?</v>
      </c>
      <c r="H304" t="str" s="97" cm="1">
        <f t="array" ref="H304">'Question_Bank'!H296</f>
        <v>22</v>
      </c>
      <c r="I304" t="str" s="97" cm="1">
        <f t="array" ref="I304">'Question_Bank'!I296</f>
        <v>23</v>
      </c>
      <c r="J304" t="str" s="97" cm="1">
        <f t="array" ref="J304">'Question_Bank'!J296</f>
        <v>24</v>
      </c>
      <c r="K304" t="str" s="97" cm="1">
        <f t="array" ref="K304">'Question_Bank'!K296</f>
        <v>25</v>
      </c>
      <c r="L304" t="str" s="97" cm="1">
        <f t="array" ref="L304">'Question_Bank'!L296</f>
        <v>C</v>
      </c>
      <c r="M304" s="132"/>
      <c r="N304" t="str" s="97" cm="1">
        <f t="array" ref="N304">IF(M304="","",IF(F304="MCQ",IF(UPPER(M304)=UPPER(L304),1,0),IF(O304="Yes",6-VALUE(M304),VALUE(M304))))</f>
      </c>
      <c r="O304" t="str" s="97" cm="1">
        <f t="array" ref="O304">'Question_Bank'!N296</f>
        <v>No</v>
      </c>
      <c r="P304" s="133" cm="1">
        <f t="array" ref="P304">IF(F304="MCQ",1,5)</f>
        <v>1</v>
      </c>
    </row>
    <row r="305" ht="42" customHeight="1">
      <c r="A305" t="str" s="130" cm="1">
        <f t="array" ref="A305">'Question_Bank'!A297</f>
        <v>NPI0293</v>
      </c>
      <c r="B305" t="str" s="97" cm="1">
        <f t="array" ref="B305">'Question_Bank'!B297</f>
        <v>8-12</v>
      </c>
      <c r="C305" t="str" s="97" cm="1">
        <f t="array" ref="C305">'Question_Bank'!C297</f>
        <v>Cognitive Ability</v>
      </c>
      <c r="D305" t="str" s="97" cm="1">
        <f t="array" ref="D305">'Question_Bank'!D297</f>
        <v>Abstract</v>
      </c>
      <c r="E305" t="str" s="97" cm="1">
        <f t="array" ref="E305">'Question_Bank'!E297</f>
        <v>Abstract</v>
      </c>
      <c r="F305" t="str" s="97" cm="1">
        <f t="array" ref="F305">'Question_Bank'!F297</f>
        <v>MCQ</v>
      </c>
      <c r="G305" t="str" s="97" cm="1">
        <f t="array" ref="G305">'Question_Bank'!G297</f>
        <v>AA,BB,CC,?</v>
      </c>
      <c r="H305" t="str" s="97" cm="1">
        <f t="array" ref="H305">'Question_Bank'!H297</f>
        <v>CD</v>
      </c>
      <c r="I305" t="str" s="97" cm="1">
        <f t="array" ref="I305">'Question_Bank'!I297</f>
        <v>DD</v>
      </c>
      <c r="J305" t="str" s="97" cm="1">
        <f t="array" ref="J305">'Question_Bank'!J297</f>
        <v>DE</v>
      </c>
      <c r="K305" t="str" s="97" cm="1">
        <f t="array" ref="K305">'Question_Bank'!K297</f>
        <v>EE</v>
      </c>
      <c r="L305" t="str" s="97" cm="1">
        <f t="array" ref="L305">'Question_Bank'!L297</f>
        <v>B</v>
      </c>
      <c r="M305" s="132"/>
      <c r="N305" t="str" s="97" cm="1">
        <f t="array" ref="N305">IF(M305="","",IF(F305="MCQ",IF(UPPER(M305)=UPPER(L305),1,0),IF(O305="Yes",6-VALUE(M305),VALUE(M305))))</f>
      </c>
      <c r="O305" t="str" s="97" cm="1">
        <f t="array" ref="O305">'Question_Bank'!N297</f>
        <v>No</v>
      </c>
      <c r="P305" s="133" cm="1">
        <f t="array" ref="P305">IF(F305="MCQ",1,5)</f>
        <v>1</v>
      </c>
    </row>
    <row r="306" ht="42" customHeight="1">
      <c r="A306" t="str" s="130" cm="1">
        <f t="array" ref="A306">'Question_Bank'!A298</f>
        <v>NPI0294</v>
      </c>
      <c r="B306" t="str" s="97" cm="1">
        <f t="array" ref="B306">'Question_Bank'!B298</f>
        <v>8-12</v>
      </c>
      <c r="C306" t="str" s="97" cm="1">
        <f t="array" ref="C306">'Question_Bank'!C298</f>
        <v>Cognitive Ability</v>
      </c>
      <c r="D306" t="str" s="97" cm="1">
        <f t="array" ref="D306">'Question_Bank'!D298</f>
        <v>Abstract</v>
      </c>
      <c r="E306" t="str" s="97" cm="1">
        <f t="array" ref="E306">'Question_Bank'!E298</f>
        <v>Abstract</v>
      </c>
      <c r="F306" t="str" s="97" cm="1">
        <f t="array" ref="F306">'Question_Bank'!F298</f>
        <v>MCQ</v>
      </c>
      <c r="G306" t="str" s="97" cm="1">
        <f t="array" ref="G306">'Question_Bank'!G298</f>
        <v>81,27,9,?</v>
      </c>
      <c r="H306" t="str" s="97" cm="1">
        <f t="array" ref="H306">'Question_Bank'!H298</f>
        <v>6</v>
      </c>
      <c r="I306" t="str" s="97" cm="1">
        <f t="array" ref="I306">'Question_Bank'!I298</f>
        <v>5</v>
      </c>
      <c r="J306" t="str" s="97" cm="1">
        <f t="array" ref="J306">'Question_Bank'!J298</f>
        <v>4</v>
      </c>
      <c r="K306" t="str" s="97" cm="1">
        <f t="array" ref="K306">'Question_Bank'!K298</f>
        <v>3</v>
      </c>
      <c r="L306" t="str" s="97" cm="1">
        <f t="array" ref="L306">'Question_Bank'!L298</f>
        <v>D</v>
      </c>
      <c r="M306" s="132"/>
      <c r="N306" t="str" s="97" cm="1">
        <f t="array" ref="N306">IF(M306="","",IF(F306="MCQ",IF(UPPER(M306)=UPPER(L306),1,0),IF(O306="Yes",6-VALUE(M306),VALUE(M306))))</f>
      </c>
      <c r="O306" t="str" s="97" cm="1">
        <f t="array" ref="O306">'Question_Bank'!N298</f>
        <v>No</v>
      </c>
      <c r="P306" s="133" cm="1">
        <f t="array" ref="P306">IF(F306="MCQ",1,5)</f>
        <v>1</v>
      </c>
    </row>
    <row r="307" ht="42" customHeight="1">
      <c r="A307" t="str" s="130" cm="1">
        <f t="array" ref="A307">'Question_Bank'!A299</f>
        <v>NPI0295</v>
      </c>
      <c r="B307" t="str" s="97" cm="1">
        <f t="array" ref="B307">'Question_Bank'!B299</f>
        <v>8-12</v>
      </c>
      <c r="C307" t="str" s="97" cm="1">
        <f t="array" ref="C307">'Question_Bank'!C299</f>
        <v>Cognitive Ability</v>
      </c>
      <c r="D307" t="str" s="97" cm="1">
        <f t="array" ref="D307">'Question_Bank'!D299</f>
        <v>Abstract</v>
      </c>
      <c r="E307" t="str" s="97" cm="1">
        <f t="array" ref="E307">'Question_Bank'!E299</f>
        <v>Abstract</v>
      </c>
      <c r="F307" t="str" s="97" cm="1">
        <f t="array" ref="F307">'Question_Bank'!F299</f>
        <v>MCQ</v>
      </c>
      <c r="G307" t="str" s="97" cm="1">
        <f t="array" ref="G307">'Question_Bank'!G299</f>
        <v>+, -, +, -, ?</v>
      </c>
      <c r="H307" t="str" s="97" cm="1">
        <f t="array" ref="H307">'Question_Bank'!H299</f>
        <v>+</v>
      </c>
      <c r="I307" t="str" s="97" cm="1">
        <f t="array" ref="I307">'Question_Bank'!I299</f>
        <v>-</v>
      </c>
      <c r="J307" t="str" s="97" cm="1">
        <f t="array" ref="J307">'Question_Bank'!J299</f>
        <v>×</v>
      </c>
      <c r="K307" t="str" s="97" cm="1">
        <f t="array" ref="K307">'Question_Bank'!K299</f>
        <v>÷</v>
      </c>
      <c r="L307" t="str" s="97" cm="1">
        <f t="array" ref="L307">'Question_Bank'!L299</f>
        <v>A</v>
      </c>
      <c r="M307" s="132"/>
      <c r="N307" t="str" s="97" cm="1">
        <f t="array" ref="N307">IF(M307="","",IF(F307="MCQ",IF(UPPER(M307)=UPPER(L307),1,0),IF(O307="Yes",6-VALUE(M307),VALUE(M307))))</f>
      </c>
      <c r="O307" t="str" s="97" cm="1">
        <f t="array" ref="O307">'Question_Bank'!N299</f>
        <v>No</v>
      </c>
      <c r="P307" s="133" cm="1">
        <f t="array" ref="P307">IF(F307="MCQ",1,5)</f>
        <v>1</v>
      </c>
    </row>
    <row r="308" ht="42" customHeight="1">
      <c r="A308" t="str" s="130" cm="1">
        <f t="array" ref="A308">'Question_Bank'!A300</f>
        <v>NPI0296</v>
      </c>
      <c r="B308" t="str" s="97" cm="1">
        <f t="array" ref="B308">'Question_Bank'!B300</f>
        <v>8-12</v>
      </c>
      <c r="C308" t="str" s="97" cm="1">
        <f t="array" ref="C308">'Question_Bank'!C300</f>
        <v>Cognitive Ability</v>
      </c>
      <c r="D308" t="str" s="97" cm="1">
        <f t="array" ref="D308">'Question_Bank'!D300</f>
        <v>Spatial</v>
      </c>
      <c r="E308" t="str" s="97" cm="1">
        <f t="array" ref="E308">'Question_Bank'!E300</f>
        <v>Spatial</v>
      </c>
      <c r="F308" t="str" s="97" cm="1">
        <f t="array" ref="F308">'Question_Bank'!F300</f>
        <v>MCQ</v>
      </c>
      <c r="G308" t="str" s="97" cm="1">
        <f t="array" ref="G308">'Question_Bank'!G300</f>
        <v>Cube has 6 faces. One painted, unpainted</v>
      </c>
      <c r="H308" t="str" s="97" cm="1">
        <f t="array" ref="H308">'Question_Bank'!H300</f>
        <v>4</v>
      </c>
      <c r="I308" t="str" s="97" cm="1">
        <f t="array" ref="I308">'Question_Bank'!I300</f>
        <v>5</v>
      </c>
      <c r="J308" t="str" s="97" cm="1">
        <f t="array" ref="J308">'Question_Bank'!J300</f>
        <v>6</v>
      </c>
      <c r="K308" t="str" s="97" cm="1">
        <f t="array" ref="K308">'Question_Bank'!K300</f>
        <v>7</v>
      </c>
      <c r="L308" t="str" s="97" cm="1">
        <f t="array" ref="L308">'Question_Bank'!L300</f>
        <v>B</v>
      </c>
      <c r="M308" s="132"/>
      <c r="N308" t="str" s="97" cm="1">
        <f t="array" ref="N308">IF(M308="","",IF(F308="MCQ",IF(UPPER(M308)=UPPER(L308),1,0),IF(O308="Yes",6-VALUE(M308),VALUE(M308))))</f>
      </c>
      <c r="O308" t="str" s="97" cm="1">
        <f t="array" ref="O308">'Question_Bank'!N300</f>
        <v>No</v>
      </c>
      <c r="P308" s="133" cm="1">
        <f t="array" ref="P308">IF(F308="MCQ",1,5)</f>
        <v>1</v>
      </c>
    </row>
    <row r="309" ht="42" customHeight="1">
      <c r="A309" t="str" s="130" cm="1">
        <f t="array" ref="A309">'Question_Bank'!A301</f>
        <v>NPI0297</v>
      </c>
      <c r="B309" t="str" s="97" cm="1">
        <f t="array" ref="B309">'Question_Bank'!B301</f>
        <v>8-12</v>
      </c>
      <c r="C309" t="str" s="97" cm="1">
        <f t="array" ref="C309">'Question_Bank'!C301</f>
        <v>Cognitive Ability</v>
      </c>
      <c r="D309" t="str" s="97" cm="1">
        <f t="array" ref="D309">'Question_Bank'!D301</f>
        <v>Spatial</v>
      </c>
      <c r="E309" t="str" s="97" cm="1">
        <f t="array" ref="E309">'Question_Bank'!E301</f>
        <v>Spatial</v>
      </c>
      <c r="F309" t="str" s="97" cm="1">
        <f t="array" ref="F309">'Question_Bank'!F301</f>
        <v>MCQ</v>
      </c>
      <c r="G309" t="str" s="97" cm="1">
        <f t="array" ref="G309">'Question_Bank'!G301</f>
        <v>Shape with 4 equal sides</v>
      </c>
      <c r="H309" t="str" s="97" cm="1">
        <f t="array" ref="H309">'Question_Bank'!H301</f>
        <v>Rectangle</v>
      </c>
      <c r="I309" t="str" s="97" cm="1">
        <f t="array" ref="I309">'Question_Bank'!I301</f>
        <v>Square</v>
      </c>
      <c r="J309" t="str" s="97" cm="1">
        <f t="array" ref="J309">'Question_Bank'!J301</f>
        <v>Triangle</v>
      </c>
      <c r="K309" t="str" s="97" cm="1">
        <f t="array" ref="K309">'Question_Bank'!K301</f>
        <v>Circle</v>
      </c>
      <c r="L309" t="str" s="97" cm="1">
        <f t="array" ref="L309">'Question_Bank'!L301</f>
        <v>B</v>
      </c>
      <c r="M309" s="132"/>
      <c r="N309" t="str" s="97" cm="1">
        <f t="array" ref="N309">IF(M309="","",IF(F309="MCQ",IF(UPPER(M309)=UPPER(L309),1,0),IF(O309="Yes",6-VALUE(M309),VALUE(M309))))</f>
      </c>
      <c r="O309" t="str" s="97" cm="1">
        <f t="array" ref="O309">'Question_Bank'!N301</f>
        <v>No</v>
      </c>
      <c r="P309" s="133" cm="1">
        <f t="array" ref="P309">IF(F309="MCQ",1,5)</f>
        <v>1</v>
      </c>
    </row>
    <row r="310" ht="42" customHeight="1">
      <c r="A310" t="str" s="130" cm="1">
        <f t="array" ref="A310">'Question_Bank'!A302</f>
        <v>NPI0298</v>
      </c>
      <c r="B310" t="str" s="97" cm="1">
        <f t="array" ref="B310">'Question_Bank'!B302</f>
        <v>8-12</v>
      </c>
      <c r="C310" t="str" s="97" cm="1">
        <f t="array" ref="C310">'Question_Bank'!C302</f>
        <v>Cognitive Ability</v>
      </c>
      <c r="D310" t="str" s="97" cm="1">
        <f t="array" ref="D310">'Question_Bank'!D302</f>
        <v>Spatial</v>
      </c>
      <c r="E310" t="str" s="97" cm="1">
        <f t="array" ref="E310">'Question_Bank'!E302</f>
        <v>Spatial</v>
      </c>
      <c r="F310" t="str" s="97" cm="1">
        <f t="array" ref="F310">'Question_Bank'!F302</f>
        <v>MCQ</v>
      </c>
      <c r="G310" t="str" s="97" cm="1">
        <f t="array" ref="G310">'Question_Bank'!G302</f>
        <v>Rotated triangle remains</v>
      </c>
      <c r="H310" t="str" s="97" cm="1">
        <f t="array" ref="H310">'Question_Bank'!H302</f>
        <v>Circle</v>
      </c>
      <c r="I310" t="str" s="97" cm="1">
        <f t="array" ref="I310">'Question_Bank'!I302</f>
        <v>Triangle</v>
      </c>
      <c r="J310" t="str" s="97" cm="1">
        <f t="array" ref="J310">'Question_Bank'!J302</f>
        <v>Square</v>
      </c>
      <c r="K310" t="str" s="97" cm="1">
        <f t="array" ref="K310">'Question_Bank'!K302</f>
        <v>Line</v>
      </c>
      <c r="L310" t="str" s="97" cm="1">
        <f t="array" ref="L310">'Question_Bank'!L302</f>
        <v>B</v>
      </c>
      <c r="M310" s="132"/>
      <c r="N310" t="str" s="97" cm="1">
        <f t="array" ref="N310">IF(M310="","",IF(F310="MCQ",IF(UPPER(M310)=UPPER(L310),1,0),IF(O310="Yes",6-VALUE(M310),VALUE(M310))))</f>
      </c>
      <c r="O310" t="str" s="97" cm="1">
        <f t="array" ref="O310">'Question_Bank'!N302</f>
        <v>No</v>
      </c>
      <c r="P310" s="133" cm="1">
        <f t="array" ref="P310">IF(F310="MCQ",1,5)</f>
        <v>1</v>
      </c>
    </row>
    <row r="311" ht="42" customHeight="1">
      <c r="A311" t="str" s="130" cm="1">
        <f t="array" ref="A311">'Question_Bank'!A303</f>
        <v>NPI0299</v>
      </c>
      <c r="B311" t="str" s="97" cm="1">
        <f t="array" ref="B311">'Question_Bank'!B303</f>
        <v>8-12</v>
      </c>
      <c r="C311" t="str" s="97" cm="1">
        <f t="array" ref="C311">'Question_Bank'!C303</f>
        <v>Cognitive Ability</v>
      </c>
      <c r="D311" t="str" s="97" cm="1">
        <f t="array" ref="D311">'Question_Bank'!D303</f>
        <v>Spatial</v>
      </c>
      <c r="E311" t="str" s="97" cm="1">
        <f t="array" ref="E311">'Question_Bank'!E303</f>
        <v>Spatial</v>
      </c>
      <c r="F311" t="str" s="97" cm="1">
        <f t="array" ref="F311">'Question_Bank'!F303</f>
        <v>MCQ</v>
      </c>
      <c r="G311" t="str" s="97" cm="1">
        <f t="array" ref="G311">'Question_Bank'!G303</f>
        <v>Hexagon sides</v>
      </c>
      <c r="H311" t="str" s="97" cm="1">
        <f t="array" ref="H311">'Question_Bank'!H303</f>
        <v>5</v>
      </c>
      <c r="I311" t="str" s="97" cm="1">
        <f t="array" ref="I311">'Question_Bank'!I303</f>
        <v>6</v>
      </c>
      <c r="J311" t="str" s="97" cm="1">
        <f t="array" ref="J311">'Question_Bank'!J303</f>
        <v>7</v>
      </c>
      <c r="K311" t="str" s="97" cm="1">
        <f t="array" ref="K311">'Question_Bank'!K303</f>
        <v>8</v>
      </c>
      <c r="L311" t="str" s="97" cm="1">
        <f t="array" ref="L311">'Question_Bank'!L303</f>
        <v>B</v>
      </c>
      <c r="M311" s="132"/>
      <c r="N311" t="str" s="97" cm="1">
        <f t="array" ref="N311">IF(M311="","",IF(F311="MCQ",IF(UPPER(M311)=UPPER(L311),1,0),IF(O311="Yes",6-VALUE(M311),VALUE(M311))))</f>
      </c>
      <c r="O311" t="str" s="97" cm="1">
        <f t="array" ref="O311">'Question_Bank'!N303</f>
        <v>No</v>
      </c>
      <c r="P311" s="133" cm="1">
        <f t="array" ref="P311">IF(F311="MCQ",1,5)</f>
        <v>1</v>
      </c>
    </row>
    <row r="312" ht="42" customHeight="1">
      <c r="A312" t="str" s="130" cm="1">
        <f t="array" ref="A312">'Question_Bank'!A304</f>
        <v>NPI0300</v>
      </c>
      <c r="B312" t="str" s="97" cm="1">
        <f t="array" ref="B312">'Question_Bank'!B304</f>
        <v>8-12</v>
      </c>
      <c r="C312" t="str" s="97" cm="1">
        <f t="array" ref="C312">'Question_Bank'!C304</f>
        <v>Cognitive Ability</v>
      </c>
      <c r="D312" t="str" s="97" cm="1">
        <f t="array" ref="D312">'Question_Bank'!D304</f>
        <v>Spatial</v>
      </c>
      <c r="E312" t="str" s="97" cm="1">
        <f t="array" ref="E312">'Question_Bank'!E304</f>
        <v>Spatial</v>
      </c>
      <c r="F312" t="str" s="97" cm="1">
        <f t="array" ref="F312">'Question_Bank'!F304</f>
        <v>MCQ</v>
      </c>
      <c r="G312" t="str" s="97" cm="1">
        <f t="array" ref="G312">'Question_Bank'!G304</f>
        <v>Object like sphere</v>
      </c>
      <c r="H312" t="str" s="97" cm="1">
        <f t="array" ref="H312">'Question_Bank'!H304</f>
        <v>Dice</v>
      </c>
      <c r="I312" t="str" s="97" cm="1">
        <f t="array" ref="I312">'Question_Bank'!I304</f>
        <v>Ball</v>
      </c>
      <c r="J312" t="str" s="97" cm="1">
        <f t="array" ref="J312">'Question_Bank'!J304</f>
        <v>Book</v>
      </c>
      <c r="K312" t="str" s="97" cm="1">
        <f t="array" ref="K312">'Question_Bank'!K304</f>
        <v>Pencil</v>
      </c>
      <c r="L312" t="str" s="97" cm="1">
        <f t="array" ref="L312">'Question_Bank'!L304</f>
        <v>B</v>
      </c>
      <c r="M312" s="132"/>
      <c r="N312" t="str" s="97" cm="1">
        <f t="array" ref="N312">IF(M312="","",IF(F312="MCQ",IF(UPPER(M312)=UPPER(L312),1,0),IF(O312="Yes",6-VALUE(M312),VALUE(M312))))</f>
      </c>
      <c r="O312" t="str" s="97" cm="1">
        <f t="array" ref="O312">'Question_Bank'!N304</f>
        <v>No</v>
      </c>
      <c r="P312" s="133" cm="1">
        <f t="array" ref="P312">IF(F312="MCQ",1,5)</f>
        <v>1</v>
      </c>
    </row>
    <row r="313" ht="42" customHeight="1">
      <c r="A313" t="str" s="130" cm="1">
        <f t="array" ref="A313">'Question_Bank'!A305</f>
        <v>NPI0301</v>
      </c>
      <c r="B313" t="str" s="97" cm="1">
        <f t="array" ref="B313">'Question_Bank'!B305</f>
        <v>8-12</v>
      </c>
      <c r="C313" t="str" s="97" cm="1">
        <f t="array" ref="C313">'Question_Bank'!C305</f>
        <v>Cognitive Ability</v>
      </c>
      <c r="D313" t="str" s="97" cm="1">
        <f t="array" ref="D313">'Question_Bank'!D305</f>
        <v>Spatial</v>
      </c>
      <c r="E313" t="str" s="97" cm="1">
        <f t="array" ref="E313">'Question_Bank'!E305</f>
        <v>Spatial</v>
      </c>
      <c r="F313" t="str" s="97" cm="1">
        <f t="array" ref="F313">'Question_Bank'!F305</f>
        <v>MCQ</v>
      </c>
      <c r="G313" t="str" s="97" cm="1">
        <f t="array" ref="G313">'Question_Bank'!G305</f>
        <v>Rectangle folded in half forms</v>
      </c>
      <c r="H313" t="str" s="97" cm="1">
        <f t="array" ref="H313">'Question_Bank'!H305</f>
        <v>Triangles only</v>
      </c>
      <c r="I313" t="str" s="97" cm="1">
        <f t="array" ref="I313">'Question_Bank'!I305</f>
        <v>Equal parts</v>
      </c>
      <c r="J313" t="str" s="97" cm="1">
        <f t="array" ref="J313">'Question_Bank'!J305</f>
        <v>Circles</v>
      </c>
      <c r="K313" t="str" s="97" cm="1">
        <f t="array" ref="K313">'Question_Bank'!K305</f>
        <v>Spheres</v>
      </c>
      <c r="L313" t="str" s="97" cm="1">
        <f t="array" ref="L313">'Question_Bank'!L305</f>
        <v>B</v>
      </c>
      <c r="M313" s="132"/>
      <c r="N313" t="str" s="97" cm="1">
        <f t="array" ref="N313">IF(M313="","",IF(F313="MCQ",IF(UPPER(M313)=UPPER(L313),1,0),IF(O313="Yes",6-VALUE(M313),VALUE(M313))))</f>
      </c>
      <c r="O313" t="str" s="97" cm="1">
        <f t="array" ref="O313">'Question_Bank'!N305</f>
        <v>No</v>
      </c>
      <c r="P313" s="133" cm="1">
        <f t="array" ref="P313">IF(F313="MCQ",1,5)</f>
        <v>1</v>
      </c>
    </row>
    <row r="314" ht="42" customHeight="1">
      <c r="A314" t="str" s="130" cm="1">
        <f t="array" ref="A314">'Question_Bank'!A306</f>
        <v>NPI0302</v>
      </c>
      <c r="B314" t="str" s="97" cm="1">
        <f t="array" ref="B314">'Question_Bank'!B306</f>
        <v>8-12</v>
      </c>
      <c r="C314" t="str" s="97" cm="1">
        <f t="array" ref="C314">'Question_Bank'!C306</f>
        <v>Cognitive Ability</v>
      </c>
      <c r="D314" t="str" s="97" cm="1">
        <f t="array" ref="D314">'Question_Bank'!D306</f>
        <v>Spatial</v>
      </c>
      <c r="E314" t="str" s="97" cm="1">
        <f t="array" ref="E314">'Question_Bank'!E306</f>
        <v>Spatial</v>
      </c>
      <c r="F314" t="str" s="97" cm="1">
        <f t="array" ref="F314">'Question_Bank'!F306</f>
        <v>MCQ</v>
      </c>
      <c r="G314" t="str" s="97" cm="1">
        <f t="array" ref="G314">'Question_Bank'!G306</f>
        <v>Shape can tile floor easily</v>
      </c>
      <c r="H314" t="str" s="97" cm="1">
        <f t="array" ref="H314">'Question_Bank'!H306</f>
        <v>Circle</v>
      </c>
      <c r="I314" t="str" s="97" cm="1">
        <f t="array" ref="I314">'Question_Bank'!I306</f>
        <v>Square</v>
      </c>
      <c r="J314" t="str" s="97" cm="1">
        <f t="array" ref="J314">'Question_Bank'!J306</f>
        <v>Sphere</v>
      </c>
      <c r="K314" t="str" s="97" cm="1">
        <f t="array" ref="K314">'Question_Bank'!K306</f>
        <v>Cone</v>
      </c>
      <c r="L314" t="str" s="97" cm="1">
        <f t="array" ref="L314">'Question_Bank'!L306</f>
        <v>B</v>
      </c>
      <c r="M314" s="132"/>
      <c r="N314" t="str" s="97" cm="1">
        <f t="array" ref="N314">IF(M314="","",IF(F314="MCQ",IF(UPPER(M314)=UPPER(L314),1,0),IF(O314="Yes",6-VALUE(M314),VALUE(M314))))</f>
      </c>
      <c r="O314" t="str" s="97" cm="1">
        <f t="array" ref="O314">'Question_Bank'!N306</f>
        <v>No</v>
      </c>
      <c r="P314" s="133" cm="1">
        <f t="array" ref="P314">IF(F314="MCQ",1,5)</f>
        <v>1</v>
      </c>
    </row>
    <row r="315" ht="42" customHeight="1">
      <c r="A315" t="str" s="130" cm="1">
        <f t="array" ref="A315">'Question_Bank'!A307</f>
        <v>NPI0303</v>
      </c>
      <c r="B315" t="str" s="97" cm="1">
        <f t="array" ref="B315">'Question_Bank'!B307</f>
        <v>8-12</v>
      </c>
      <c r="C315" t="str" s="97" cm="1">
        <f t="array" ref="C315">'Question_Bank'!C307</f>
        <v>Cognitive Ability</v>
      </c>
      <c r="D315" t="str" s="97" cm="1">
        <f t="array" ref="D315">'Question_Bank'!D307</f>
        <v>Spatial</v>
      </c>
      <c r="E315" t="str" s="97" cm="1">
        <f t="array" ref="E315">'Question_Bank'!E307</f>
        <v>Spatial</v>
      </c>
      <c r="F315" t="str" s="97" cm="1">
        <f t="array" ref="F315">'Question_Bank'!F307</f>
        <v>MCQ</v>
      </c>
      <c r="G315" t="str" s="97" cm="1">
        <f t="array" ref="G315">'Question_Bank'!G307</f>
        <v>Map upside down: north at</v>
      </c>
      <c r="H315" t="str" s="97" cm="1">
        <f t="array" ref="H315">'Question_Bank'!H307</f>
        <v>Top</v>
      </c>
      <c r="I315" t="str" s="97" cm="1">
        <f t="array" ref="I315">'Question_Bank'!I307</f>
        <v>Bottom</v>
      </c>
      <c r="J315" t="str" s="97" cm="1">
        <f t="array" ref="J315">'Question_Bank'!J307</f>
        <v>Left</v>
      </c>
      <c r="K315" t="str" s="97" cm="1">
        <f t="array" ref="K315">'Question_Bank'!K307</f>
        <v>Right</v>
      </c>
      <c r="L315" t="str" s="97" cm="1">
        <f t="array" ref="L315">'Question_Bank'!L307</f>
        <v>B</v>
      </c>
      <c r="M315" s="132"/>
      <c r="N315" t="str" s="97" cm="1">
        <f t="array" ref="N315">IF(M315="","",IF(F315="MCQ",IF(UPPER(M315)=UPPER(L315),1,0),IF(O315="Yes",6-VALUE(M315),VALUE(M315))))</f>
      </c>
      <c r="O315" t="str" s="97" cm="1">
        <f t="array" ref="O315">'Question_Bank'!N307</f>
        <v>No</v>
      </c>
      <c r="P315" s="133" cm="1">
        <f t="array" ref="P315">IF(F315="MCQ",1,5)</f>
        <v>1</v>
      </c>
    </row>
    <row r="316" ht="42" customHeight="1">
      <c r="A316" t="str" s="130" cm="1">
        <f t="array" ref="A316">'Question_Bank'!A308</f>
        <v>NPI0304</v>
      </c>
      <c r="B316" t="str" s="97" cm="1">
        <f t="array" ref="B316">'Question_Bank'!B308</f>
        <v>8-12</v>
      </c>
      <c r="C316" t="str" s="97" cm="1">
        <f t="array" ref="C316">'Question_Bank'!C308</f>
        <v>Cognitive Ability</v>
      </c>
      <c r="D316" t="str" s="97" cm="1">
        <f t="array" ref="D316">'Question_Bank'!D308</f>
        <v>Spatial</v>
      </c>
      <c r="E316" t="str" s="97" cm="1">
        <f t="array" ref="E316">'Question_Bank'!E308</f>
        <v>Spatial</v>
      </c>
      <c r="F316" t="str" s="97" cm="1">
        <f t="array" ref="F316">'Question_Bank'!F308</f>
        <v>MCQ</v>
      </c>
      <c r="G316" t="str" s="97" cm="1">
        <f t="array" ref="G316">'Question_Bank'!G308</f>
        <v>More corners</v>
      </c>
      <c r="H316" t="str" s="97" cm="1">
        <f t="array" ref="H316">'Question_Bank'!H308</f>
        <v>Triangle</v>
      </c>
      <c r="I316" t="str" s="97" cm="1">
        <f t="array" ref="I316">'Question_Bank'!I308</f>
        <v>Square</v>
      </c>
      <c r="J316" t="str" s="97" cm="1">
        <f t="array" ref="J316">'Question_Bank'!J308</f>
        <v>Circle</v>
      </c>
      <c r="K316" t="str" s="97" cm="1">
        <f t="array" ref="K316">'Question_Bank'!K308</f>
        <v>Oval</v>
      </c>
      <c r="L316" t="str" s="97" cm="1">
        <f t="array" ref="L316">'Question_Bank'!L308</f>
        <v>B</v>
      </c>
      <c r="M316" s="132"/>
      <c r="N316" t="str" s="97" cm="1">
        <f t="array" ref="N316">IF(M316="","",IF(F316="MCQ",IF(UPPER(M316)=UPPER(L316),1,0),IF(O316="Yes",6-VALUE(M316),VALUE(M316))))</f>
      </c>
      <c r="O316" t="str" s="97" cm="1">
        <f t="array" ref="O316">'Question_Bank'!N308</f>
        <v>No</v>
      </c>
      <c r="P316" s="133" cm="1">
        <f t="array" ref="P316">IF(F316="MCQ",1,5)</f>
        <v>1</v>
      </c>
    </row>
    <row r="317" ht="42" customHeight="1">
      <c r="A317" t="str" s="130" cm="1">
        <f t="array" ref="A317">'Question_Bank'!A309</f>
        <v>NPI0305</v>
      </c>
      <c r="B317" t="str" s="97" cm="1">
        <f t="array" ref="B317">'Question_Bank'!B309</f>
        <v>8-12</v>
      </c>
      <c r="C317" t="str" s="97" cm="1">
        <f t="array" ref="C317">'Question_Bank'!C309</f>
        <v>Cognitive Ability</v>
      </c>
      <c r="D317" t="str" s="97" cm="1">
        <f t="array" ref="D317">'Question_Bank'!D309</f>
        <v>Spatial</v>
      </c>
      <c r="E317" t="str" s="97" cm="1">
        <f t="array" ref="E317">'Question_Bank'!E309</f>
        <v>Spatial</v>
      </c>
      <c r="F317" t="str" s="97" cm="1">
        <f t="array" ref="F317">'Question_Bank'!F309</f>
        <v>MCQ</v>
      </c>
      <c r="G317" t="str" s="97" cm="1">
        <f t="array" ref="G317">'Question_Bank'!G309</f>
        <v>Cube net makes</v>
      </c>
      <c r="H317" t="str" s="97" cm="1">
        <f t="array" ref="H317">'Question_Bank'!H309</f>
        <v>Flat circle</v>
      </c>
      <c r="I317" t="str" s="97" cm="1">
        <f t="array" ref="I317">'Question_Bank'!I309</f>
        <v>3D cube</v>
      </c>
      <c r="J317" t="str" s="97" cm="1">
        <f t="array" ref="J317">'Question_Bank'!J309</f>
        <v>Line</v>
      </c>
      <c r="K317" t="str" s="97" cm="1">
        <f t="array" ref="K317">'Question_Bank'!K309</f>
        <v>Cone</v>
      </c>
      <c r="L317" t="str" s="97" cm="1">
        <f t="array" ref="L317">'Question_Bank'!L309</f>
        <v>B</v>
      </c>
      <c r="M317" s="132"/>
      <c r="N317" t="str" s="97" cm="1">
        <f t="array" ref="N317">IF(M317="","",IF(F317="MCQ",IF(UPPER(M317)=UPPER(L317),1,0),IF(O317="Yes",6-VALUE(M317),VALUE(M317))))</f>
      </c>
      <c r="O317" t="str" s="97" cm="1">
        <f t="array" ref="O317">'Question_Bank'!N309</f>
        <v>No</v>
      </c>
      <c r="P317" s="133" cm="1">
        <f t="array" ref="P317">IF(F317="MCQ",1,5)</f>
        <v>1</v>
      </c>
    </row>
    <row r="318" ht="42" customHeight="1">
      <c r="A318" t="str" s="130" cm="1">
        <f t="array" ref="A318">'Question_Bank'!A310</f>
        <v>NPI0306</v>
      </c>
      <c r="B318" t="str" s="97" cm="1">
        <f t="array" ref="B318">'Question_Bank'!B310</f>
        <v>8-12</v>
      </c>
      <c r="C318" t="str" s="97" cm="1">
        <f t="array" ref="C318">'Question_Bank'!C310</f>
        <v>Cognitive Ability</v>
      </c>
      <c r="D318" t="str" s="97" cm="1">
        <f t="array" ref="D318">'Question_Bank'!D310</f>
        <v>Spatial</v>
      </c>
      <c r="E318" t="str" s="97" cm="1">
        <f t="array" ref="E318">'Question_Bank'!E310</f>
        <v>Spatial</v>
      </c>
      <c r="F318" t="str" s="97" cm="1">
        <f t="array" ref="F318">'Question_Bank'!F310</f>
        <v>MCQ</v>
      </c>
      <c r="G318" t="str" s="97" cm="1">
        <f t="array" ref="G318">'Question_Bank'!G310</f>
        <v>Square cut diagonally forms two</v>
      </c>
      <c r="H318" t="str" s="97" cm="1">
        <f t="array" ref="H318">'Question_Bank'!H310</f>
        <v>Circles</v>
      </c>
      <c r="I318" t="str" s="97" cm="1">
        <f t="array" ref="I318">'Question_Bank'!I310</f>
        <v>Rectangles</v>
      </c>
      <c r="J318" t="str" s="97" cm="1">
        <f t="array" ref="J318">'Question_Bank'!J310</f>
        <v>Triangles</v>
      </c>
      <c r="K318" t="str" s="97" cm="1">
        <f t="array" ref="K318">'Question_Bank'!K310</f>
        <v>Cubes</v>
      </c>
      <c r="L318" t="str" s="97" cm="1">
        <f t="array" ref="L318">'Question_Bank'!L310</f>
        <v>C</v>
      </c>
      <c r="M318" s="132"/>
      <c r="N318" t="str" s="97" cm="1">
        <f t="array" ref="N318">IF(M318="","",IF(F318="MCQ",IF(UPPER(M318)=UPPER(L318),1,0),IF(O318="Yes",6-VALUE(M318),VALUE(M318))))</f>
      </c>
      <c r="O318" t="str" s="97" cm="1">
        <f t="array" ref="O318">'Question_Bank'!N310</f>
        <v>No</v>
      </c>
      <c r="P318" s="133" cm="1">
        <f t="array" ref="P318">IF(F318="MCQ",1,5)</f>
        <v>1</v>
      </c>
    </row>
    <row r="319" ht="42" customHeight="1">
      <c r="A319" t="str" s="130" cm="1">
        <f t="array" ref="A319">'Question_Bank'!A311</f>
        <v>NPI0307</v>
      </c>
      <c r="B319" t="str" s="97" cm="1">
        <f t="array" ref="B319">'Question_Bank'!B311</f>
        <v>8-12</v>
      </c>
      <c r="C319" t="str" s="97" cm="1">
        <f t="array" ref="C319">'Question_Bank'!C311</f>
        <v>Cognitive Ability</v>
      </c>
      <c r="D319" t="str" s="97" cm="1">
        <f t="array" ref="D319">'Question_Bank'!D311</f>
        <v>Spatial</v>
      </c>
      <c r="E319" t="str" s="97" cm="1">
        <f t="array" ref="E319">'Question_Bank'!E311</f>
        <v>Spatial</v>
      </c>
      <c r="F319" t="str" s="97" cm="1">
        <f t="array" ref="F319">'Question_Bank'!F311</f>
        <v>MCQ</v>
      </c>
      <c r="G319" t="str" s="97" cm="1">
        <f t="array" ref="G319">'Question_Bank'!G311</f>
        <v>Shape with no corners</v>
      </c>
      <c r="H319" t="str" s="97" cm="1">
        <f t="array" ref="H319">'Question_Bank'!H311</f>
        <v>Triangle</v>
      </c>
      <c r="I319" t="str" s="97" cm="1">
        <f t="array" ref="I319">'Question_Bank'!I311</f>
        <v>Square</v>
      </c>
      <c r="J319" t="str" s="97" cm="1">
        <f t="array" ref="J319">'Question_Bank'!J311</f>
        <v>Circle</v>
      </c>
      <c r="K319" t="str" s="97" cm="1">
        <f t="array" ref="K319">'Question_Bank'!K311</f>
        <v>Rectangle</v>
      </c>
      <c r="L319" t="str" s="97" cm="1">
        <f t="array" ref="L319">'Question_Bank'!L311</f>
        <v>C</v>
      </c>
      <c r="M319" s="132"/>
      <c r="N319" t="str" s="97" cm="1">
        <f t="array" ref="N319">IF(M319="","",IF(F319="MCQ",IF(UPPER(M319)=UPPER(L319),1,0),IF(O319="Yes",6-VALUE(M319),VALUE(M319))))</f>
      </c>
      <c r="O319" t="str" s="97" cm="1">
        <f t="array" ref="O319">'Question_Bank'!N311</f>
        <v>No</v>
      </c>
      <c r="P319" s="133" cm="1">
        <f t="array" ref="P319">IF(F319="MCQ",1,5)</f>
        <v>1</v>
      </c>
    </row>
    <row r="320" ht="42" customHeight="1">
      <c r="A320" t="str" s="130" cm="1">
        <f t="array" ref="A320">'Question_Bank'!A312</f>
        <v>NPI0308</v>
      </c>
      <c r="B320" t="str" s="97" cm="1">
        <f t="array" ref="B320">'Question_Bank'!B312</f>
        <v>8-12</v>
      </c>
      <c r="C320" t="str" s="97" cm="1">
        <f t="array" ref="C320">'Question_Bank'!C312</f>
        <v>Cognitive Ability</v>
      </c>
      <c r="D320" t="str" s="97" cm="1">
        <f t="array" ref="D320">'Question_Bank'!D312</f>
        <v>Spatial</v>
      </c>
      <c r="E320" t="str" s="97" cm="1">
        <f t="array" ref="E320">'Question_Bank'!E312</f>
        <v>Spatial</v>
      </c>
      <c r="F320" t="str" s="97" cm="1">
        <f t="array" ref="F320">'Question_Bank'!F312</f>
        <v>MCQ</v>
      </c>
      <c r="G320" t="str" s="97" cm="1">
        <f t="array" ref="G320">'Question_Bank'!G312</f>
        <v>Face east turn right</v>
      </c>
      <c r="H320" t="str" s="97" cm="1">
        <f t="array" ref="H320">'Question_Bank'!H312</f>
        <v>North</v>
      </c>
      <c r="I320" t="str" s="97" cm="1">
        <f t="array" ref="I320">'Question_Bank'!I312</f>
        <v>South</v>
      </c>
      <c r="J320" t="str" s="97" cm="1">
        <f t="array" ref="J320">'Question_Bank'!J312</f>
        <v>West</v>
      </c>
      <c r="K320" t="str" s="97" cm="1">
        <f t="array" ref="K320">'Question_Bank'!K312</f>
        <v>East</v>
      </c>
      <c r="L320" t="str" s="97" cm="1">
        <f t="array" ref="L320">'Question_Bank'!L312</f>
        <v>B</v>
      </c>
      <c r="M320" s="132"/>
      <c r="N320" t="str" s="97" cm="1">
        <f t="array" ref="N320">IF(M320="","",IF(F320="MCQ",IF(UPPER(M320)=UPPER(L320),1,0),IF(O320="Yes",6-VALUE(M320),VALUE(M320))))</f>
      </c>
      <c r="O320" t="str" s="97" cm="1">
        <f t="array" ref="O320">'Question_Bank'!N312</f>
        <v>No</v>
      </c>
      <c r="P320" s="133" cm="1">
        <f t="array" ref="P320">IF(F320="MCQ",1,5)</f>
        <v>1</v>
      </c>
    </row>
    <row r="321" ht="42" customHeight="1">
      <c r="A321" t="str" s="130" cm="1">
        <f t="array" ref="A321">'Question_Bank'!A313</f>
        <v>NPI0309</v>
      </c>
      <c r="B321" t="str" s="97" cm="1">
        <f t="array" ref="B321">'Question_Bank'!B313</f>
        <v>8-12</v>
      </c>
      <c r="C321" t="str" s="97" cm="1">
        <f t="array" ref="C321">'Question_Bank'!C313</f>
        <v>Cognitive Ability</v>
      </c>
      <c r="D321" t="str" s="97" cm="1">
        <f t="array" ref="D321">'Question_Bank'!D313</f>
        <v>Spatial</v>
      </c>
      <c r="E321" t="str" s="97" cm="1">
        <f t="array" ref="E321">'Question_Bank'!E313</f>
        <v>Spatial</v>
      </c>
      <c r="F321" t="str" s="97" cm="1">
        <f t="array" ref="F321">'Question_Bank'!F313</f>
        <v>MCQ</v>
      </c>
      <c r="G321" t="str" s="97" cm="1">
        <f t="array" ref="G321">'Question_Bank'!G313</f>
        <v>Cylinder looks like</v>
      </c>
      <c r="H321" t="str" s="97" cm="1">
        <f t="array" ref="H321">'Question_Bank'!H313</f>
        <v>Ball</v>
      </c>
      <c r="I321" t="str" s="97" cm="1">
        <f t="array" ref="I321">'Question_Bank'!I313</f>
        <v>Can</v>
      </c>
      <c r="J321" t="str" s="97" cm="1">
        <f t="array" ref="J321">'Question_Bank'!J313</f>
        <v>Book</v>
      </c>
      <c r="K321" t="str" s="97" cm="1">
        <f t="array" ref="K321">'Question_Bank'!K313</f>
        <v>Pyramid</v>
      </c>
      <c r="L321" t="str" s="97" cm="1">
        <f t="array" ref="L321">'Question_Bank'!L313</f>
        <v>B</v>
      </c>
      <c r="M321" s="132"/>
      <c r="N321" t="str" s="97" cm="1">
        <f t="array" ref="N321">IF(M321="","",IF(F321="MCQ",IF(UPPER(M321)=UPPER(L321),1,0),IF(O321="Yes",6-VALUE(M321),VALUE(M321))))</f>
      </c>
      <c r="O321" t="str" s="97" cm="1">
        <f t="array" ref="O321">'Question_Bank'!N313</f>
        <v>No</v>
      </c>
      <c r="P321" s="133" cm="1">
        <f t="array" ref="P321">IF(F321="MCQ",1,5)</f>
        <v>1</v>
      </c>
    </row>
    <row r="322" ht="42" customHeight="1">
      <c r="A322" t="str" s="130" cm="1">
        <f t="array" ref="A322">'Question_Bank'!A314</f>
        <v>NPI0310</v>
      </c>
      <c r="B322" t="str" s="97" cm="1">
        <f t="array" ref="B322">'Question_Bank'!B314</f>
        <v>8-12</v>
      </c>
      <c r="C322" t="str" s="97" cm="1">
        <f t="array" ref="C322">'Question_Bank'!C314</f>
        <v>Cognitive Ability</v>
      </c>
      <c r="D322" t="str" s="97" cm="1">
        <f t="array" ref="D322">'Question_Bank'!D314</f>
        <v>Spatial</v>
      </c>
      <c r="E322" t="str" s="97" cm="1">
        <f t="array" ref="E322">'Question_Bank'!E314</f>
        <v>Spatial</v>
      </c>
      <c r="F322" t="str" s="97" cm="1">
        <f t="array" ref="F322">'Question_Bank'!F314</f>
        <v>MCQ</v>
      </c>
      <c r="G322" t="str" s="97" cm="1">
        <f t="array" ref="G322">'Question_Bank'!G314</f>
        <v>Rectangle edges</v>
      </c>
      <c r="H322" t="str" s="97" cm="1">
        <f t="array" ref="H322">'Question_Bank'!H314</f>
        <v>2</v>
      </c>
      <c r="I322" t="str" s="97" cm="1">
        <f t="array" ref="I322">'Question_Bank'!I314</f>
        <v>3</v>
      </c>
      <c r="J322" t="str" s="97" cm="1">
        <f t="array" ref="J322">'Question_Bank'!J314</f>
        <v>4</v>
      </c>
      <c r="K322" t="str" s="97" cm="1">
        <f t="array" ref="K322">'Question_Bank'!K314</f>
        <v>5</v>
      </c>
      <c r="L322" t="str" s="97" cm="1">
        <f t="array" ref="L322">'Question_Bank'!L314</f>
        <v>C</v>
      </c>
      <c r="M322" s="132"/>
      <c r="N322" t="str" s="97" cm="1">
        <f t="array" ref="N322">IF(M322="","",IF(F322="MCQ",IF(UPPER(M322)=UPPER(L322),1,0),IF(O322="Yes",6-VALUE(M322),VALUE(M322))))</f>
      </c>
      <c r="O322" t="str" s="97" cm="1">
        <f t="array" ref="O322">'Question_Bank'!N314</f>
        <v>No</v>
      </c>
      <c r="P322" s="133" cm="1">
        <f t="array" ref="P322">IF(F322="MCQ",1,5)</f>
        <v>1</v>
      </c>
    </row>
    <row r="323" ht="42" customHeight="1">
      <c r="A323" t="str" s="130" cm="1">
        <f t="array" ref="A323">'Question_Bank'!A315</f>
        <v>NPI0311</v>
      </c>
      <c r="B323" t="str" s="97" cm="1">
        <f t="array" ref="B323">'Question_Bank'!B315</f>
        <v>8-12</v>
      </c>
      <c r="C323" t="str" s="97" cm="1">
        <f t="array" ref="C323">'Question_Bank'!C315</f>
        <v>Cognitive Ability</v>
      </c>
      <c r="D323" t="str" s="97" cm="1">
        <f t="array" ref="D323">'Question_Bank'!D315</f>
        <v>Spatial</v>
      </c>
      <c r="E323" t="str" s="97" cm="1">
        <f t="array" ref="E323">'Question_Bank'!E315</f>
        <v>Spatial</v>
      </c>
      <c r="F323" t="str" s="97" cm="1">
        <f t="array" ref="F323">'Question_Bank'!F315</f>
        <v>MCQ</v>
      </c>
      <c r="G323" t="str" s="97" cm="1">
        <f t="array" ref="G323">'Question_Bank'!G315</f>
        <v>Which is 3D</v>
      </c>
      <c r="H323" t="str" s="97" cm="1">
        <f t="array" ref="H323">'Question_Bank'!H315</f>
        <v>Circle</v>
      </c>
      <c r="I323" t="str" s="97" cm="1">
        <f t="array" ref="I323">'Question_Bank'!I315</f>
        <v>Triangle</v>
      </c>
      <c r="J323" t="str" s="97" cm="1">
        <f t="array" ref="J323">'Question_Bank'!J315</f>
        <v>Sphere</v>
      </c>
      <c r="K323" t="str" s="97" cm="1">
        <f t="array" ref="K323">'Question_Bank'!K315</f>
        <v>Square</v>
      </c>
      <c r="L323" t="str" s="97" cm="1">
        <f t="array" ref="L323">'Question_Bank'!L315</f>
        <v>C</v>
      </c>
      <c r="M323" s="132"/>
      <c r="N323" t="str" s="97" cm="1">
        <f t="array" ref="N323">IF(M323="","",IF(F323="MCQ",IF(UPPER(M323)=UPPER(L323),1,0),IF(O323="Yes",6-VALUE(M323),VALUE(M323))))</f>
      </c>
      <c r="O323" t="str" s="97" cm="1">
        <f t="array" ref="O323">'Question_Bank'!N315</f>
        <v>No</v>
      </c>
      <c r="P323" s="133" cm="1">
        <f t="array" ref="P323">IF(F323="MCQ",1,5)</f>
        <v>1</v>
      </c>
    </row>
    <row r="324" ht="42" customHeight="1">
      <c r="A324" t="str" s="130" cm="1">
        <f t="array" ref="A324">'Question_Bank'!A316</f>
        <v>NPI0312</v>
      </c>
      <c r="B324" t="str" s="97" cm="1">
        <f t="array" ref="B324">'Question_Bank'!B316</f>
        <v>8-12</v>
      </c>
      <c r="C324" t="str" s="97" cm="1">
        <f t="array" ref="C324">'Question_Bank'!C316</f>
        <v>Cognitive Ability</v>
      </c>
      <c r="D324" t="str" s="97" cm="1">
        <f t="array" ref="D324">'Question_Bank'!D316</f>
        <v>Spatial</v>
      </c>
      <c r="E324" t="str" s="97" cm="1">
        <f t="array" ref="E324">'Question_Bank'!E316</f>
        <v>Spatial</v>
      </c>
      <c r="F324" t="str" s="97" cm="1">
        <f t="array" ref="F324">'Question_Bank'!F316</f>
        <v>MCQ</v>
      </c>
      <c r="G324" t="str" s="97" cm="1">
        <f t="array" ref="G324">'Question_Bank'!G316</f>
        <v>Mirror b looks like</v>
      </c>
      <c r="H324" t="str" s="97" cm="1">
        <f t="array" ref="H324">'Question_Bank'!H316</f>
        <v>d</v>
      </c>
      <c r="I324" t="str" s="97" cm="1">
        <f t="array" ref="I324">'Question_Bank'!I316</f>
        <v>p</v>
      </c>
      <c r="J324" t="str" s="97" cm="1">
        <f t="array" ref="J324">'Question_Bank'!J316</f>
        <v>q</v>
      </c>
      <c r="K324" t="str" s="97" cm="1">
        <f t="array" ref="K324">'Question_Bank'!K316</f>
        <v>b</v>
      </c>
      <c r="L324" t="str" s="97" cm="1">
        <f t="array" ref="L324">'Question_Bank'!L316</f>
        <v>A</v>
      </c>
      <c r="M324" s="132"/>
      <c r="N324" t="str" s="97" cm="1">
        <f t="array" ref="N324">IF(M324="","",IF(F324="MCQ",IF(UPPER(M324)=UPPER(L324),1,0),IF(O324="Yes",6-VALUE(M324),VALUE(M324))))</f>
      </c>
      <c r="O324" t="str" s="97" cm="1">
        <f t="array" ref="O324">'Question_Bank'!N316</f>
        <v>No</v>
      </c>
      <c r="P324" s="133" cm="1">
        <f t="array" ref="P324">IF(F324="MCQ",1,5)</f>
        <v>1</v>
      </c>
    </row>
    <row r="325" ht="42" customHeight="1">
      <c r="A325" t="str" s="130" cm="1">
        <f t="array" ref="A325">'Question_Bank'!A317</f>
        <v>NPI0313</v>
      </c>
      <c r="B325" t="str" s="97" cm="1">
        <f t="array" ref="B325">'Question_Bank'!B317</f>
        <v>8-12</v>
      </c>
      <c r="C325" t="str" s="97" cm="1">
        <f t="array" ref="C325">'Question_Bank'!C317</f>
        <v>Cognitive Ability</v>
      </c>
      <c r="D325" t="str" s="97" cm="1">
        <f t="array" ref="D325">'Question_Bank'!D317</f>
        <v>Spatial</v>
      </c>
      <c r="E325" t="str" s="97" cm="1">
        <f t="array" ref="E325">'Question_Bank'!E317</f>
        <v>Spatial</v>
      </c>
      <c r="F325" t="str" s="97" cm="1">
        <f t="array" ref="F325">'Question_Bank'!F317</f>
        <v>MCQ</v>
      </c>
      <c r="G325" t="str" s="97" cm="1">
        <f t="array" ref="G325">'Question_Bank'!G317</f>
        <v>Clock hand at 3 points</v>
      </c>
      <c r="H325" t="str" s="97" cm="1">
        <f t="array" ref="H325">'Question_Bank'!H317</f>
        <v>Left</v>
      </c>
      <c r="I325" t="str" s="97" cm="1">
        <f t="array" ref="I325">'Question_Bank'!I317</f>
        <v>Right</v>
      </c>
      <c r="J325" t="str" s="97" cm="1">
        <f t="array" ref="J325">'Question_Bank'!J317</f>
        <v>Up</v>
      </c>
      <c r="K325" t="str" s="97" cm="1">
        <f t="array" ref="K325">'Question_Bank'!K317</f>
        <v>Down</v>
      </c>
      <c r="L325" t="str" s="97" cm="1">
        <f t="array" ref="L325">'Question_Bank'!L317</f>
        <v>B</v>
      </c>
      <c r="M325" s="132"/>
      <c r="N325" t="str" s="97" cm="1">
        <f t="array" ref="N325">IF(M325="","",IF(F325="MCQ",IF(UPPER(M325)=UPPER(L325),1,0),IF(O325="Yes",6-VALUE(M325),VALUE(M325))))</f>
      </c>
      <c r="O325" t="str" s="97" cm="1">
        <f t="array" ref="O325">'Question_Bank'!N317</f>
        <v>No</v>
      </c>
      <c r="P325" s="133" cm="1">
        <f t="array" ref="P325">IF(F325="MCQ",1,5)</f>
        <v>1</v>
      </c>
    </row>
    <row r="326" ht="42" customHeight="1">
      <c r="A326" t="str" s="130" cm="1">
        <f t="array" ref="A326">'Question_Bank'!A318</f>
        <v>NPI0314</v>
      </c>
      <c r="B326" t="str" s="97" cm="1">
        <f t="array" ref="B326">'Question_Bank'!B318</f>
        <v>8-12</v>
      </c>
      <c r="C326" t="str" s="97" cm="1">
        <f t="array" ref="C326">'Question_Bank'!C318</f>
        <v>Cognitive Ability</v>
      </c>
      <c r="D326" t="str" s="97" cm="1">
        <f t="array" ref="D326">'Question_Bank'!D318</f>
        <v>Spatial</v>
      </c>
      <c r="E326" t="str" s="97" cm="1">
        <f t="array" ref="E326">'Question_Bank'!E318</f>
        <v>Spatial</v>
      </c>
      <c r="F326" t="str" s="97" cm="1">
        <f t="array" ref="F326">'Question_Bank'!F318</f>
        <v>MCQ</v>
      </c>
      <c r="G326" t="str" s="97" cm="1">
        <f t="array" ref="G326">'Question_Bank'!G318</f>
        <v>Pyramid has pointed</v>
      </c>
      <c r="H326" t="str" s="97" cm="1">
        <f t="array" ref="H326">'Question_Bank'!H318</f>
        <v>Base</v>
      </c>
      <c r="I326" t="str" s="97" cm="1">
        <f t="array" ref="I326">'Question_Bank'!I318</f>
        <v>Apex</v>
      </c>
      <c r="J326" t="str" s="97" cm="1">
        <f t="array" ref="J326">'Question_Bank'!J318</f>
        <v>Circle</v>
      </c>
      <c r="K326" t="str" s="97" cm="1">
        <f t="array" ref="K326">'Question_Bank'!K318</f>
        <v>Edge</v>
      </c>
      <c r="L326" t="str" s="97" cm="1">
        <f t="array" ref="L326">'Question_Bank'!L318</f>
        <v>B</v>
      </c>
      <c r="M326" s="132"/>
      <c r="N326" t="str" s="97" cm="1">
        <f t="array" ref="N326">IF(M326="","",IF(F326="MCQ",IF(UPPER(M326)=UPPER(L326),1,0),IF(O326="Yes",6-VALUE(M326),VALUE(M326))))</f>
      </c>
      <c r="O326" t="str" s="97" cm="1">
        <f t="array" ref="O326">'Question_Bank'!N318</f>
        <v>No</v>
      </c>
      <c r="P326" s="133" cm="1">
        <f t="array" ref="P326">IF(F326="MCQ",1,5)</f>
        <v>1</v>
      </c>
    </row>
    <row r="327" ht="42" customHeight="1">
      <c r="A327" t="str" s="130" cm="1">
        <f t="array" ref="A327">'Question_Bank'!A319</f>
        <v>NPI0315</v>
      </c>
      <c r="B327" t="str" s="97" cm="1">
        <f t="array" ref="B327">'Question_Bank'!B319</f>
        <v>8-12</v>
      </c>
      <c r="C327" t="str" s="97" cm="1">
        <f t="array" ref="C327">'Question_Bank'!C319</f>
        <v>Cognitive Ability</v>
      </c>
      <c r="D327" t="str" s="97" cm="1">
        <f t="array" ref="D327">'Question_Bank'!D319</f>
        <v>Spatial</v>
      </c>
      <c r="E327" t="str" s="97" cm="1">
        <f t="array" ref="E327">'Question_Bank'!E319</f>
        <v>Spatial</v>
      </c>
      <c r="F327" t="str" s="97" cm="1">
        <f t="array" ref="F327">'Question_Bank'!F319</f>
        <v>MCQ</v>
      </c>
      <c r="G327" t="str" s="97" cm="1">
        <f t="array" ref="G327">'Question_Bank'!G319</f>
        <v>Longest: 5cm,50mm,0.6m,20cm</v>
      </c>
      <c r="H327" t="str" s="97" cm="1">
        <f t="array" ref="H327">'Question_Bank'!H319</f>
        <v>5cm</v>
      </c>
      <c r="I327" t="str" s="97" cm="1">
        <f t="array" ref="I327">'Question_Bank'!I319</f>
        <v>50mm</v>
      </c>
      <c r="J327" t="str" s="97" cm="1">
        <f t="array" ref="J327">'Question_Bank'!J319</f>
        <v>0.6m</v>
      </c>
      <c r="K327" t="str" s="97" cm="1">
        <f t="array" ref="K327">'Question_Bank'!K319</f>
        <v>20cm</v>
      </c>
      <c r="L327" t="str" s="97" cm="1">
        <f t="array" ref="L327">'Question_Bank'!L319</f>
        <v>C</v>
      </c>
      <c r="M327" s="132"/>
      <c r="N327" t="str" s="97" cm="1">
        <f t="array" ref="N327">IF(M327="","",IF(F327="MCQ",IF(UPPER(M327)=UPPER(L327),1,0),IF(O327="Yes",6-VALUE(M327),VALUE(M327))))</f>
      </c>
      <c r="O327" t="str" s="97" cm="1">
        <f t="array" ref="O327">'Question_Bank'!N319</f>
        <v>No</v>
      </c>
      <c r="P327" s="133" cm="1">
        <f t="array" ref="P327">IF(F327="MCQ",1,5)</f>
        <v>1</v>
      </c>
    </row>
    <row r="328" ht="42" customHeight="1">
      <c r="A328" t="str" s="130" cm="1">
        <f t="array" ref="A328">'Question_Bank'!A320</f>
        <v>NPI0316</v>
      </c>
      <c r="B328" t="str" s="97" cm="1">
        <f t="array" ref="B328">'Question_Bank'!B320</f>
        <v>8-12</v>
      </c>
      <c r="C328" t="str" s="97" cm="1">
        <f t="array" ref="C328">'Question_Bank'!C320</f>
        <v>Emotional Profile</v>
      </c>
      <c r="D328" t="str" s="97" cm="1">
        <f t="array" ref="D328">'Question_Bank'!D320</f>
        <v>Stress</v>
      </c>
      <c r="E328" t="str" s="97" cm="1">
        <f t="array" ref="E328">'Question_Bank'!E320</f>
        <v>Stress</v>
      </c>
      <c r="F328" t="str" s="97" cm="1">
        <f t="array" ref="F328">'Question_Bank'!F320</f>
        <v>Likert</v>
      </c>
      <c r="G328" t="str" s="97" cm="1">
        <f t="array" ref="G328">'Question_Bank'!G320</f>
        <v>I feel tense before exams.</v>
      </c>
      <c r="H328" s="131" cm="1">
        <f t="array" ref="H328">'Question_Bank'!H320</f>
        <v>0</v>
      </c>
      <c r="I328" s="131" cm="1">
        <f t="array" ref="I328">'Question_Bank'!I320</f>
        <v>0</v>
      </c>
      <c r="J328" s="131" cm="1">
        <f t="array" ref="J328">'Question_Bank'!J320</f>
        <v>0</v>
      </c>
      <c r="K328" s="131" cm="1">
        <f t="array" ref="K328">'Question_Bank'!K320</f>
        <v>0</v>
      </c>
      <c r="L328" s="131" cm="1">
        <f t="array" ref="L328">'Question_Bank'!L320</f>
        <v>0</v>
      </c>
      <c r="M328" s="132"/>
      <c r="N328" t="str" s="97" cm="1">
        <f t="array" ref="N328">IF(M328="","",IF(F328="MCQ",IF(UPPER(M328)=UPPER(L328),1,0),IF(O328="Yes",6-VALUE(M328),VALUE(M328))))</f>
      </c>
      <c r="O328" t="str" s="97" cm="1">
        <f t="array" ref="O328">'Question_Bank'!N320</f>
        <v>No</v>
      </c>
      <c r="P328" s="133" cm="1">
        <f t="array" ref="P328">IF(F328="MCQ",1,5)</f>
        <v>5</v>
      </c>
    </row>
    <row r="329" ht="42" customHeight="1">
      <c r="A329" t="str" s="130" cm="1">
        <f t="array" ref="A329">'Question_Bank'!A321</f>
        <v>NPI0317</v>
      </c>
      <c r="B329" t="str" s="97" cm="1">
        <f t="array" ref="B329">'Question_Bank'!B321</f>
        <v>8-12</v>
      </c>
      <c r="C329" t="str" s="97" cm="1">
        <f t="array" ref="C329">'Question_Bank'!C321</f>
        <v>Emotional Profile</v>
      </c>
      <c r="D329" t="str" s="97" cm="1">
        <f t="array" ref="D329">'Question_Bank'!D321</f>
        <v>Stress</v>
      </c>
      <c r="E329" t="str" s="97" cm="1">
        <f t="array" ref="E329">'Question_Bank'!E321</f>
        <v>Stress</v>
      </c>
      <c r="F329" t="str" s="97" cm="1">
        <f t="array" ref="F329">'Question_Bank'!F321</f>
        <v>Likert</v>
      </c>
      <c r="G329" t="str" s="97" cm="1">
        <f t="array" ref="G329">'Question_Bank'!G321</f>
        <v>I feel overwhelmed by workload.</v>
      </c>
      <c r="H329" s="131" cm="1">
        <f t="array" ref="H329">'Question_Bank'!H321</f>
        <v>0</v>
      </c>
      <c r="I329" s="131" cm="1">
        <f t="array" ref="I329">'Question_Bank'!I321</f>
        <v>0</v>
      </c>
      <c r="J329" s="131" cm="1">
        <f t="array" ref="J329">'Question_Bank'!J321</f>
        <v>0</v>
      </c>
      <c r="K329" s="131" cm="1">
        <f t="array" ref="K329">'Question_Bank'!K321</f>
        <v>0</v>
      </c>
      <c r="L329" s="131" cm="1">
        <f t="array" ref="L329">'Question_Bank'!L321</f>
        <v>0</v>
      </c>
      <c r="M329" s="132"/>
      <c r="N329" t="str" s="97" cm="1">
        <f t="array" ref="N329">IF(M329="","",IF(F329="MCQ",IF(UPPER(M329)=UPPER(L329),1,0),IF(O329="Yes",6-VALUE(M329),VALUE(M329))))</f>
      </c>
      <c r="O329" t="str" s="97" cm="1">
        <f t="array" ref="O329">'Question_Bank'!N321</f>
        <v>No</v>
      </c>
      <c r="P329" s="133" cm="1">
        <f t="array" ref="P329">IF(F329="MCQ",1,5)</f>
        <v>5</v>
      </c>
    </row>
    <row r="330" ht="42" customHeight="1">
      <c r="A330" t="str" s="130" cm="1">
        <f t="array" ref="A330">'Question_Bank'!A322</f>
        <v>NPI0318</v>
      </c>
      <c r="B330" t="str" s="97" cm="1">
        <f t="array" ref="B330">'Question_Bank'!B322</f>
        <v>8-12</v>
      </c>
      <c r="C330" t="str" s="97" cm="1">
        <f t="array" ref="C330">'Question_Bank'!C322</f>
        <v>Emotional Profile</v>
      </c>
      <c r="D330" t="str" s="97" cm="1">
        <f t="array" ref="D330">'Question_Bank'!D322</f>
        <v>Stress</v>
      </c>
      <c r="E330" t="str" s="97" cm="1">
        <f t="array" ref="E330">'Question_Bank'!E322</f>
        <v>Stress</v>
      </c>
      <c r="F330" t="str" s="97" cm="1">
        <f t="array" ref="F330">'Question_Bank'!F322</f>
        <v>Likert</v>
      </c>
      <c r="G330" t="str" s="97" cm="1">
        <f t="array" ref="G330">'Question_Bank'!G322</f>
        <v>I worry about marks after studying.</v>
      </c>
      <c r="H330" s="131" cm="1">
        <f t="array" ref="H330">'Question_Bank'!H322</f>
        <v>0</v>
      </c>
      <c r="I330" s="131" cm="1">
        <f t="array" ref="I330">'Question_Bank'!I322</f>
        <v>0</v>
      </c>
      <c r="J330" s="131" cm="1">
        <f t="array" ref="J330">'Question_Bank'!J322</f>
        <v>0</v>
      </c>
      <c r="K330" s="131" cm="1">
        <f t="array" ref="K330">'Question_Bank'!K322</f>
        <v>0</v>
      </c>
      <c r="L330" s="131" cm="1">
        <f t="array" ref="L330">'Question_Bank'!L322</f>
        <v>0</v>
      </c>
      <c r="M330" s="132"/>
      <c r="N330" t="str" s="97" cm="1">
        <f t="array" ref="N330">IF(M330="","",IF(F330="MCQ",IF(UPPER(M330)=UPPER(L330),1,0),IF(O330="Yes",6-VALUE(M330),VALUE(M330))))</f>
      </c>
      <c r="O330" t="str" s="97" cm="1">
        <f t="array" ref="O330">'Question_Bank'!N322</f>
        <v>No</v>
      </c>
      <c r="P330" s="133" cm="1">
        <f t="array" ref="P330">IF(F330="MCQ",1,5)</f>
        <v>5</v>
      </c>
    </row>
    <row r="331" ht="42" customHeight="1">
      <c r="A331" t="str" s="130" cm="1">
        <f t="array" ref="A331">'Question_Bank'!A323</f>
        <v>NPI0319</v>
      </c>
      <c r="B331" t="str" s="97" cm="1">
        <f t="array" ref="B331">'Question_Bank'!B323</f>
        <v>8-12</v>
      </c>
      <c r="C331" t="str" s="97" cm="1">
        <f t="array" ref="C331">'Question_Bank'!C323</f>
        <v>Emotional Profile</v>
      </c>
      <c r="D331" t="str" s="97" cm="1">
        <f t="array" ref="D331">'Question_Bank'!D323</f>
        <v>Stress</v>
      </c>
      <c r="E331" t="str" s="97" cm="1">
        <f t="array" ref="E331">'Question_Bank'!E323</f>
        <v>Stress</v>
      </c>
      <c r="F331" t="str" s="97" cm="1">
        <f t="array" ref="F331">'Question_Bank'!F323</f>
        <v>Likert</v>
      </c>
      <c r="G331" t="str" s="97" cm="1">
        <f t="array" ref="G331">'Question_Bank'!G323</f>
        <v>I feel pressure from expectations.</v>
      </c>
      <c r="H331" s="131" cm="1">
        <f t="array" ref="H331">'Question_Bank'!H323</f>
        <v>0</v>
      </c>
      <c r="I331" s="131" cm="1">
        <f t="array" ref="I331">'Question_Bank'!I323</f>
        <v>0</v>
      </c>
      <c r="J331" s="131" cm="1">
        <f t="array" ref="J331">'Question_Bank'!J323</f>
        <v>0</v>
      </c>
      <c r="K331" s="131" cm="1">
        <f t="array" ref="K331">'Question_Bank'!K323</f>
        <v>0</v>
      </c>
      <c r="L331" s="131" cm="1">
        <f t="array" ref="L331">'Question_Bank'!L323</f>
        <v>0</v>
      </c>
      <c r="M331" s="132"/>
      <c r="N331" t="str" s="97" cm="1">
        <f t="array" ref="N331">IF(M331="","",IF(F331="MCQ",IF(UPPER(M331)=UPPER(L331),1,0),IF(O331="Yes",6-VALUE(M331),VALUE(M331))))</f>
      </c>
      <c r="O331" t="str" s="97" cm="1">
        <f t="array" ref="O331">'Question_Bank'!N323</f>
        <v>No</v>
      </c>
      <c r="P331" s="133" cm="1">
        <f t="array" ref="P331">IF(F331="MCQ",1,5)</f>
        <v>5</v>
      </c>
    </row>
    <row r="332" ht="42" customHeight="1">
      <c r="A332" t="str" s="130" cm="1">
        <f t="array" ref="A332">'Question_Bank'!A324</f>
        <v>NPI0320</v>
      </c>
      <c r="B332" t="str" s="97" cm="1">
        <f t="array" ref="B332">'Question_Bank'!B324</f>
        <v>8-12</v>
      </c>
      <c r="C332" t="str" s="97" cm="1">
        <f t="array" ref="C332">'Question_Bank'!C324</f>
        <v>Emotional Profile</v>
      </c>
      <c r="D332" t="str" s="97" cm="1">
        <f t="array" ref="D332">'Question_Bank'!D324</f>
        <v>Stress</v>
      </c>
      <c r="E332" t="str" s="97" cm="1">
        <f t="array" ref="E332">'Question_Bank'!E324</f>
        <v>Stress</v>
      </c>
      <c r="F332" t="str" s="97" cm="1">
        <f t="array" ref="F332">'Question_Bank'!F324</f>
        <v>Likert</v>
      </c>
      <c r="G332" t="str" s="97" cm="1">
        <f t="array" ref="G332">'Question_Bank'!G324</f>
        <v>I compare myself with others nervously.</v>
      </c>
      <c r="H332" s="131" cm="1">
        <f t="array" ref="H332">'Question_Bank'!H324</f>
        <v>0</v>
      </c>
      <c r="I332" s="131" cm="1">
        <f t="array" ref="I332">'Question_Bank'!I324</f>
        <v>0</v>
      </c>
      <c r="J332" s="131" cm="1">
        <f t="array" ref="J332">'Question_Bank'!J324</f>
        <v>0</v>
      </c>
      <c r="K332" s="131" cm="1">
        <f t="array" ref="K332">'Question_Bank'!K324</f>
        <v>0</v>
      </c>
      <c r="L332" s="131" cm="1">
        <f t="array" ref="L332">'Question_Bank'!L324</f>
        <v>0</v>
      </c>
      <c r="M332" s="132"/>
      <c r="N332" t="str" s="97" cm="1">
        <f t="array" ref="N332">IF(M332="","",IF(F332="MCQ",IF(UPPER(M332)=UPPER(L332),1,0),IF(O332="Yes",6-VALUE(M332),VALUE(M332))))</f>
      </c>
      <c r="O332" t="str" s="97" cm="1">
        <f t="array" ref="O332">'Question_Bank'!N324</f>
        <v>No</v>
      </c>
      <c r="P332" s="133" cm="1">
        <f t="array" ref="P332">IF(F332="MCQ",1,5)</f>
        <v>5</v>
      </c>
    </row>
    <row r="333" ht="42" customHeight="1">
      <c r="A333" t="str" s="130" cm="1">
        <f t="array" ref="A333">'Question_Bank'!A325</f>
        <v>NPI0321</v>
      </c>
      <c r="B333" t="str" s="97" cm="1">
        <f t="array" ref="B333">'Question_Bank'!B325</f>
        <v>8-12</v>
      </c>
      <c r="C333" t="str" s="97" cm="1">
        <f t="array" ref="C333">'Question_Bank'!C325</f>
        <v>Emotional Profile</v>
      </c>
      <c r="D333" t="str" s="97" cm="1">
        <f t="array" ref="D333">'Question_Bank'!D325</f>
        <v>Stress</v>
      </c>
      <c r="E333" t="str" s="97" cm="1">
        <f t="array" ref="E333">'Question_Bank'!E325</f>
        <v>Stress</v>
      </c>
      <c r="F333" t="str" s="97" cm="1">
        <f t="array" ref="F333">'Question_Bank'!F325</f>
        <v>Likert</v>
      </c>
      <c r="G333" t="str" s="97" cm="1">
        <f t="array" ref="G333">'Question_Bank'!G325</f>
        <v>I feel stress in competition.</v>
      </c>
      <c r="H333" s="131" cm="1">
        <f t="array" ref="H333">'Question_Bank'!H325</f>
        <v>0</v>
      </c>
      <c r="I333" s="131" cm="1">
        <f t="array" ref="I333">'Question_Bank'!I325</f>
        <v>0</v>
      </c>
      <c r="J333" s="131" cm="1">
        <f t="array" ref="J333">'Question_Bank'!J325</f>
        <v>0</v>
      </c>
      <c r="K333" s="131" cm="1">
        <f t="array" ref="K333">'Question_Bank'!K325</f>
        <v>0</v>
      </c>
      <c r="L333" s="131" cm="1">
        <f t="array" ref="L333">'Question_Bank'!L325</f>
        <v>0</v>
      </c>
      <c r="M333" s="132"/>
      <c r="N333" t="str" s="97" cm="1">
        <f t="array" ref="N333">IF(M333="","",IF(F333="MCQ",IF(UPPER(M333)=UPPER(L333),1,0),IF(O333="Yes",6-VALUE(M333),VALUE(M333))))</f>
      </c>
      <c r="O333" t="str" s="97" cm="1">
        <f t="array" ref="O333">'Question_Bank'!N325</f>
        <v>No</v>
      </c>
      <c r="P333" s="133" cm="1">
        <f t="array" ref="P333">IF(F333="MCQ",1,5)</f>
        <v>5</v>
      </c>
    </row>
    <row r="334" ht="42" customHeight="1">
      <c r="A334" t="str" s="130" cm="1">
        <f t="array" ref="A334">'Question_Bank'!A326</f>
        <v>NPI0322</v>
      </c>
      <c r="B334" t="str" s="97" cm="1">
        <f t="array" ref="B334">'Question_Bank'!B326</f>
        <v>8-12</v>
      </c>
      <c r="C334" t="str" s="97" cm="1">
        <f t="array" ref="C334">'Question_Bank'!C326</f>
        <v>Emotional Profile</v>
      </c>
      <c r="D334" t="str" s="97" cm="1">
        <f t="array" ref="D334">'Question_Bank'!D326</f>
        <v>Stress</v>
      </c>
      <c r="E334" t="str" s="97" cm="1">
        <f t="array" ref="E334">'Question_Bank'!E326</f>
        <v>Stress</v>
      </c>
      <c r="F334" t="str" s="97" cm="1">
        <f t="array" ref="F334">'Question_Bank'!F326</f>
        <v>Likert</v>
      </c>
      <c r="G334" t="str" s="97" cm="1">
        <f t="array" ref="G334">'Question_Bank'!G326</f>
        <v>I fear disappointing people.</v>
      </c>
      <c r="H334" s="131" cm="1">
        <f t="array" ref="H334">'Question_Bank'!H326</f>
        <v>0</v>
      </c>
      <c r="I334" s="131" cm="1">
        <f t="array" ref="I334">'Question_Bank'!I326</f>
        <v>0</v>
      </c>
      <c r="J334" s="131" cm="1">
        <f t="array" ref="J334">'Question_Bank'!J326</f>
        <v>0</v>
      </c>
      <c r="K334" s="131" cm="1">
        <f t="array" ref="K334">'Question_Bank'!K326</f>
        <v>0</v>
      </c>
      <c r="L334" s="131" cm="1">
        <f t="array" ref="L334">'Question_Bank'!L326</f>
        <v>0</v>
      </c>
      <c r="M334" s="132"/>
      <c r="N334" t="str" s="97" cm="1">
        <f t="array" ref="N334">IF(M334="","",IF(F334="MCQ",IF(UPPER(M334)=UPPER(L334),1,0),IF(O334="Yes",6-VALUE(M334),VALUE(M334))))</f>
      </c>
      <c r="O334" t="str" s="97" cm="1">
        <f t="array" ref="O334">'Question_Bank'!N326</f>
        <v>No</v>
      </c>
      <c r="P334" s="133" cm="1">
        <f t="array" ref="P334">IF(F334="MCQ",1,5)</f>
        <v>5</v>
      </c>
    </row>
    <row r="335" ht="42" customHeight="1">
      <c r="A335" t="str" s="130" cm="1">
        <f t="array" ref="A335">'Question_Bank'!A327</f>
        <v>NPI0323</v>
      </c>
      <c r="B335" t="str" s="97" cm="1">
        <f t="array" ref="B335">'Question_Bank'!B327</f>
        <v>8-12</v>
      </c>
      <c r="C335" t="str" s="97" cm="1">
        <f t="array" ref="C335">'Question_Bank'!C327</f>
        <v>Emotional Profile</v>
      </c>
      <c r="D335" t="str" s="97" cm="1">
        <f t="array" ref="D335">'Question_Bank'!D327</f>
        <v>Stress</v>
      </c>
      <c r="E335" t="str" s="97" cm="1">
        <f t="array" ref="E335">'Question_Bank'!E327</f>
        <v>Stress</v>
      </c>
      <c r="F335" t="str" s="97" cm="1">
        <f t="array" ref="F335">'Question_Bank'!F327</f>
        <v>Likert</v>
      </c>
      <c r="G335" t="str" s="97" cm="1">
        <f t="array" ref="G335">'Question_Bank'!G327</f>
        <v>I panic when I do not know an answer.</v>
      </c>
      <c r="H335" s="131" cm="1">
        <f t="array" ref="H335">'Question_Bank'!H327</f>
        <v>0</v>
      </c>
      <c r="I335" s="131" cm="1">
        <f t="array" ref="I335">'Question_Bank'!I327</f>
        <v>0</v>
      </c>
      <c r="J335" s="131" cm="1">
        <f t="array" ref="J335">'Question_Bank'!J327</f>
        <v>0</v>
      </c>
      <c r="K335" s="131" cm="1">
        <f t="array" ref="K335">'Question_Bank'!K327</f>
        <v>0</v>
      </c>
      <c r="L335" s="131" cm="1">
        <f t="array" ref="L335">'Question_Bank'!L327</f>
        <v>0</v>
      </c>
      <c r="M335" s="132"/>
      <c r="N335" t="str" s="97" cm="1">
        <f t="array" ref="N335">IF(M335="","",IF(F335="MCQ",IF(UPPER(M335)=UPPER(L335),1,0),IF(O335="Yes",6-VALUE(M335),VALUE(M335))))</f>
      </c>
      <c r="O335" t="str" s="97" cm="1">
        <f t="array" ref="O335">'Question_Bank'!N327</f>
        <v>No</v>
      </c>
      <c r="P335" s="133" cm="1">
        <f t="array" ref="P335">IF(F335="MCQ",1,5)</f>
        <v>5</v>
      </c>
    </row>
    <row r="336" ht="42" customHeight="1">
      <c r="A336" t="str" s="130" cm="1">
        <f t="array" ref="A336">'Question_Bank'!A328</f>
        <v>NPI0324</v>
      </c>
      <c r="B336" t="str" s="97" cm="1">
        <f t="array" ref="B336">'Question_Bank'!B328</f>
        <v>8-12</v>
      </c>
      <c r="C336" t="str" s="97" cm="1">
        <f t="array" ref="C336">'Question_Bank'!C328</f>
        <v>Emotional Profile</v>
      </c>
      <c r="D336" t="str" s="97" cm="1">
        <f t="array" ref="D336">'Question_Bank'!D328</f>
        <v>Stress</v>
      </c>
      <c r="E336" t="str" s="97" cm="1">
        <f t="array" ref="E336">'Question_Bank'!E328</f>
        <v>Stress</v>
      </c>
      <c r="F336" t="str" s="97" cm="1">
        <f t="array" ref="F336">'Question_Bank'!F328</f>
        <v>Likert</v>
      </c>
      <c r="G336" t="str" s="97" cm="1">
        <f t="array" ref="G336">'Question_Bank'!G328</f>
        <v>I overthink after mistakes.</v>
      </c>
      <c r="H336" s="131" cm="1">
        <f t="array" ref="H336">'Question_Bank'!H328</f>
        <v>0</v>
      </c>
      <c r="I336" s="131" cm="1">
        <f t="array" ref="I336">'Question_Bank'!I328</f>
        <v>0</v>
      </c>
      <c r="J336" s="131" cm="1">
        <f t="array" ref="J336">'Question_Bank'!J328</f>
        <v>0</v>
      </c>
      <c r="K336" s="131" cm="1">
        <f t="array" ref="K336">'Question_Bank'!K328</f>
        <v>0</v>
      </c>
      <c r="L336" s="131" cm="1">
        <f t="array" ref="L336">'Question_Bank'!L328</f>
        <v>0</v>
      </c>
      <c r="M336" s="132"/>
      <c r="N336" t="str" s="97" cm="1">
        <f t="array" ref="N336">IF(M336="","",IF(F336="MCQ",IF(UPPER(M336)=UPPER(L336),1,0),IF(O336="Yes",6-VALUE(M336),VALUE(M336))))</f>
      </c>
      <c r="O336" t="str" s="97" cm="1">
        <f t="array" ref="O336">'Question_Bank'!N328</f>
        <v>No</v>
      </c>
      <c r="P336" s="133" cm="1">
        <f t="array" ref="P336">IF(F336="MCQ",1,5)</f>
        <v>5</v>
      </c>
    </row>
    <row r="337" ht="42" customHeight="1">
      <c r="A337" t="str" s="130" cm="1">
        <f t="array" ref="A337">'Question_Bank'!A329</f>
        <v>NPI0325</v>
      </c>
      <c r="B337" t="str" s="97" cm="1">
        <f t="array" ref="B337">'Question_Bank'!B329</f>
        <v>8-12</v>
      </c>
      <c r="C337" t="str" s="97" cm="1">
        <f t="array" ref="C337">'Question_Bank'!C329</f>
        <v>Emotional Profile</v>
      </c>
      <c r="D337" t="str" s="97" cm="1">
        <f t="array" ref="D337">'Question_Bank'!D329</f>
        <v>Stress</v>
      </c>
      <c r="E337" t="str" s="97" cm="1">
        <f t="array" ref="E337">'Question_Bank'!E329</f>
        <v>Stress</v>
      </c>
      <c r="F337" t="str" s="97" cm="1">
        <f t="array" ref="F337">'Question_Bank'!F329</f>
        <v>Likert</v>
      </c>
      <c r="G337" t="str" s="97" cm="1">
        <f t="array" ref="G337">'Question_Bank'!G329</f>
        <v>I feel pressure to be perfect.</v>
      </c>
      <c r="H337" s="131" cm="1">
        <f t="array" ref="H337">'Question_Bank'!H329</f>
        <v>0</v>
      </c>
      <c r="I337" s="131" cm="1">
        <f t="array" ref="I337">'Question_Bank'!I329</f>
        <v>0</v>
      </c>
      <c r="J337" s="131" cm="1">
        <f t="array" ref="J337">'Question_Bank'!J329</f>
        <v>0</v>
      </c>
      <c r="K337" s="131" cm="1">
        <f t="array" ref="K337">'Question_Bank'!K329</f>
        <v>0</v>
      </c>
      <c r="L337" s="131" cm="1">
        <f t="array" ref="L337">'Question_Bank'!L329</f>
        <v>0</v>
      </c>
      <c r="M337" s="132"/>
      <c r="N337" t="str" s="97" cm="1">
        <f t="array" ref="N337">IF(M337="","",IF(F337="MCQ",IF(UPPER(M337)=UPPER(L337),1,0),IF(O337="Yes",6-VALUE(M337),VALUE(M337))))</f>
      </c>
      <c r="O337" t="str" s="97" cm="1">
        <f t="array" ref="O337">'Question_Bank'!N329</f>
        <v>No</v>
      </c>
      <c r="P337" s="133" cm="1">
        <f t="array" ref="P337">IF(F337="MCQ",1,5)</f>
        <v>5</v>
      </c>
    </row>
    <row r="338" ht="42" customHeight="1">
      <c r="A338" t="str" s="130" cm="1">
        <f t="array" ref="A338">'Question_Bank'!A330</f>
        <v>NPI0326</v>
      </c>
      <c r="B338" t="str" s="97" cm="1">
        <f t="array" ref="B338">'Question_Bank'!B330</f>
        <v>8-12</v>
      </c>
      <c r="C338" t="str" s="97" cm="1">
        <f t="array" ref="C338">'Question_Bank'!C330</f>
        <v>Emotional Profile</v>
      </c>
      <c r="D338" t="str" s="97" cm="1">
        <f t="array" ref="D338">'Question_Bank'!D330</f>
        <v>Stress</v>
      </c>
      <c r="E338" t="str" s="97" cm="1">
        <f t="array" ref="E338">'Question_Bank'!E330</f>
        <v>Stress</v>
      </c>
      <c r="F338" t="str" s="97" cm="1">
        <f t="array" ref="F338">'Question_Bank'!F330</f>
        <v>Likert</v>
      </c>
      <c r="G338" t="str" s="97" cm="1">
        <f t="array" ref="G338">'Question_Bank'!G330</f>
        <v>I feel drained after long study.</v>
      </c>
      <c r="H338" s="131" cm="1">
        <f t="array" ref="H338">'Question_Bank'!H330</f>
        <v>0</v>
      </c>
      <c r="I338" s="131" cm="1">
        <f t="array" ref="I338">'Question_Bank'!I330</f>
        <v>0</v>
      </c>
      <c r="J338" s="131" cm="1">
        <f t="array" ref="J338">'Question_Bank'!J330</f>
        <v>0</v>
      </c>
      <c r="K338" s="131" cm="1">
        <f t="array" ref="K338">'Question_Bank'!K330</f>
        <v>0</v>
      </c>
      <c r="L338" s="131" cm="1">
        <f t="array" ref="L338">'Question_Bank'!L330</f>
        <v>0</v>
      </c>
      <c r="M338" s="132"/>
      <c r="N338" t="str" s="97" cm="1">
        <f t="array" ref="N338">IF(M338="","",IF(F338="MCQ",IF(UPPER(M338)=UPPER(L338),1,0),IF(O338="Yes",6-VALUE(M338),VALUE(M338))))</f>
      </c>
      <c r="O338" t="str" s="97" cm="1">
        <f t="array" ref="O338">'Question_Bank'!N330</f>
        <v>No</v>
      </c>
      <c r="P338" s="133" cm="1">
        <f t="array" ref="P338">IF(F338="MCQ",1,5)</f>
        <v>5</v>
      </c>
    </row>
    <row r="339" ht="42" customHeight="1">
      <c r="A339" t="str" s="130" cm="1">
        <f t="array" ref="A339">'Question_Bank'!A331</f>
        <v>NPI0327</v>
      </c>
      <c r="B339" t="str" s="97" cm="1">
        <f t="array" ref="B339">'Question_Bank'!B331</f>
        <v>8-12</v>
      </c>
      <c r="C339" t="str" s="97" cm="1">
        <f t="array" ref="C339">'Question_Bank'!C331</f>
        <v>Emotional Profile</v>
      </c>
      <c r="D339" t="str" s="97" cm="1">
        <f t="array" ref="D339">'Question_Bank'!D331</f>
        <v>Stress</v>
      </c>
      <c r="E339" t="str" s="97" cm="1">
        <f t="array" ref="E339">'Question_Bank'!E331</f>
        <v>Stress</v>
      </c>
      <c r="F339" t="str" s="97" cm="1">
        <f t="array" ref="F339">'Question_Bank'!F331</f>
        <v>Likert</v>
      </c>
      <c r="G339" t="str" s="97" cm="1">
        <f t="array" ref="G339">'Question_Bank'!G331</f>
        <v>I feel anxious about future.</v>
      </c>
      <c r="H339" s="131" cm="1">
        <f t="array" ref="H339">'Question_Bank'!H331</f>
        <v>0</v>
      </c>
      <c r="I339" s="131" cm="1">
        <f t="array" ref="I339">'Question_Bank'!I331</f>
        <v>0</v>
      </c>
      <c r="J339" s="131" cm="1">
        <f t="array" ref="J339">'Question_Bank'!J331</f>
        <v>0</v>
      </c>
      <c r="K339" s="131" cm="1">
        <f t="array" ref="K339">'Question_Bank'!K331</f>
        <v>0</v>
      </c>
      <c r="L339" s="131" cm="1">
        <f t="array" ref="L339">'Question_Bank'!L331</f>
        <v>0</v>
      </c>
      <c r="M339" s="132"/>
      <c r="N339" t="str" s="97" cm="1">
        <f t="array" ref="N339">IF(M339="","",IF(F339="MCQ",IF(UPPER(M339)=UPPER(L339),1,0),IF(O339="Yes",6-VALUE(M339),VALUE(M339))))</f>
      </c>
      <c r="O339" t="str" s="97" cm="1">
        <f t="array" ref="O339">'Question_Bank'!N331</f>
        <v>No</v>
      </c>
      <c r="P339" s="133" cm="1">
        <f t="array" ref="P339">IF(F339="MCQ",1,5)</f>
        <v>5</v>
      </c>
    </row>
    <row r="340" ht="42" customHeight="1">
      <c r="A340" t="str" s="130" cm="1">
        <f t="array" ref="A340">'Question_Bank'!A332</f>
        <v>NPI0328</v>
      </c>
      <c r="B340" t="str" s="97" cm="1">
        <f t="array" ref="B340">'Question_Bank'!B332</f>
        <v>8-12</v>
      </c>
      <c r="C340" t="str" s="97" cm="1">
        <f t="array" ref="C340">'Question_Bank'!C332</f>
        <v>Emotional Profile</v>
      </c>
      <c r="D340" t="str" s="97" cm="1">
        <f t="array" ref="D340">'Question_Bank'!D332</f>
        <v>Stress</v>
      </c>
      <c r="E340" t="str" s="97" cm="1">
        <f t="array" ref="E340">'Question_Bank'!E332</f>
        <v>Stress</v>
      </c>
      <c r="F340" t="str" s="97" cm="1">
        <f t="array" ref="F340">'Question_Bank'!F332</f>
        <v>Likert</v>
      </c>
      <c r="G340" t="str" s="97" cm="1">
        <f t="array" ref="G340">'Question_Bank'!G332</f>
        <v>I feel tense with sudden changes.</v>
      </c>
      <c r="H340" s="131" cm="1">
        <f t="array" ref="H340">'Question_Bank'!H332</f>
        <v>0</v>
      </c>
      <c r="I340" s="131" cm="1">
        <f t="array" ref="I340">'Question_Bank'!I332</f>
        <v>0</v>
      </c>
      <c r="J340" s="131" cm="1">
        <f t="array" ref="J340">'Question_Bank'!J332</f>
        <v>0</v>
      </c>
      <c r="K340" s="131" cm="1">
        <f t="array" ref="K340">'Question_Bank'!K332</f>
        <v>0</v>
      </c>
      <c r="L340" s="131" cm="1">
        <f t="array" ref="L340">'Question_Bank'!L332</f>
        <v>0</v>
      </c>
      <c r="M340" s="132"/>
      <c r="N340" t="str" s="97" cm="1">
        <f t="array" ref="N340">IF(M340="","",IF(F340="MCQ",IF(UPPER(M340)=UPPER(L340),1,0),IF(O340="Yes",6-VALUE(M340),VALUE(M340))))</f>
      </c>
      <c r="O340" t="str" s="97" cm="1">
        <f t="array" ref="O340">'Question_Bank'!N332</f>
        <v>No</v>
      </c>
      <c r="P340" s="133" cm="1">
        <f t="array" ref="P340">IF(F340="MCQ",1,5)</f>
        <v>5</v>
      </c>
    </row>
    <row r="341" ht="42" customHeight="1">
      <c r="A341" t="str" s="130" cm="1">
        <f t="array" ref="A341">'Question_Bank'!A333</f>
        <v>NPI0329</v>
      </c>
      <c r="B341" t="str" s="97" cm="1">
        <f t="array" ref="B341">'Question_Bank'!B333</f>
        <v>8-12</v>
      </c>
      <c r="C341" t="str" s="97" cm="1">
        <f t="array" ref="C341">'Question_Bank'!C333</f>
        <v>Emotional Profile</v>
      </c>
      <c r="D341" t="str" s="97" cm="1">
        <f t="array" ref="D341">'Question_Bank'!D333</f>
        <v>Stress</v>
      </c>
      <c r="E341" t="str" s="97" cm="1">
        <f t="array" ref="E341">'Question_Bank'!E333</f>
        <v>Stress</v>
      </c>
      <c r="F341" t="str" s="97" cm="1">
        <f t="array" ref="F341">'Question_Bank'!F333</f>
        <v>Likert</v>
      </c>
      <c r="G341" t="str" s="97" cm="1">
        <f t="array" ref="G341">'Question_Bank'!G333</f>
        <v>I sleep poorly before tests.</v>
      </c>
      <c r="H341" s="131" cm="1">
        <f t="array" ref="H341">'Question_Bank'!H333</f>
        <v>0</v>
      </c>
      <c r="I341" s="131" cm="1">
        <f t="array" ref="I341">'Question_Bank'!I333</f>
        <v>0</v>
      </c>
      <c r="J341" s="131" cm="1">
        <f t="array" ref="J341">'Question_Bank'!J333</f>
        <v>0</v>
      </c>
      <c r="K341" s="131" cm="1">
        <f t="array" ref="K341">'Question_Bank'!K333</f>
        <v>0</v>
      </c>
      <c r="L341" s="131" cm="1">
        <f t="array" ref="L341">'Question_Bank'!L333</f>
        <v>0</v>
      </c>
      <c r="M341" s="132"/>
      <c r="N341" t="str" s="97" cm="1">
        <f t="array" ref="N341">IF(M341="","",IF(F341="MCQ",IF(UPPER(M341)=UPPER(L341),1,0),IF(O341="Yes",6-VALUE(M341),VALUE(M341))))</f>
      </c>
      <c r="O341" t="str" s="97" cm="1">
        <f t="array" ref="O341">'Question_Bank'!N333</f>
        <v>No</v>
      </c>
      <c r="P341" s="133" cm="1">
        <f t="array" ref="P341">IF(F341="MCQ",1,5)</f>
        <v>5</v>
      </c>
    </row>
    <row r="342" ht="42" customHeight="1">
      <c r="A342" t="str" s="130" cm="1">
        <f t="array" ref="A342">'Question_Bank'!A334</f>
        <v>NPI0330</v>
      </c>
      <c r="B342" t="str" s="97" cm="1">
        <f t="array" ref="B342">'Question_Bank'!B334</f>
        <v>8-12</v>
      </c>
      <c r="C342" t="str" s="97" cm="1">
        <f t="array" ref="C342">'Question_Bank'!C334</f>
        <v>Emotional Profile</v>
      </c>
      <c r="D342" t="str" s="97" cm="1">
        <f t="array" ref="D342">'Question_Bank'!D334</f>
        <v>Stress</v>
      </c>
      <c r="E342" t="str" s="97" cm="1">
        <f t="array" ref="E342">'Question_Bank'!E334</f>
        <v>Stress</v>
      </c>
      <c r="F342" t="str" s="97" cm="1">
        <f t="array" ref="F342">'Question_Bank'!F334</f>
        <v>Likert</v>
      </c>
      <c r="G342" t="str" s="97" cm="1">
        <f t="array" ref="G342">'Question_Bank'!G334</f>
        <v>I feel physical stress signs.</v>
      </c>
      <c r="H342" s="131" cm="1">
        <f t="array" ref="H342">'Question_Bank'!H334</f>
        <v>0</v>
      </c>
      <c r="I342" s="131" cm="1">
        <f t="array" ref="I342">'Question_Bank'!I334</f>
        <v>0</v>
      </c>
      <c r="J342" s="131" cm="1">
        <f t="array" ref="J342">'Question_Bank'!J334</f>
        <v>0</v>
      </c>
      <c r="K342" s="131" cm="1">
        <f t="array" ref="K342">'Question_Bank'!K334</f>
        <v>0</v>
      </c>
      <c r="L342" s="131" cm="1">
        <f t="array" ref="L342">'Question_Bank'!L334</f>
        <v>0</v>
      </c>
      <c r="M342" s="132"/>
      <c r="N342" t="str" s="97" cm="1">
        <f t="array" ref="N342">IF(M342="","",IF(F342="MCQ",IF(UPPER(M342)=UPPER(L342),1,0),IF(O342="Yes",6-VALUE(M342),VALUE(M342))))</f>
      </c>
      <c r="O342" t="str" s="97" cm="1">
        <f t="array" ref="O342">'Question_Bank'!N334</f>
        <v>No</v>
      </c>
      <c r="P342" s="133" cm="1">
        <f t="array" ref="P342">IF(F342="MCQ",1,5)</f>
        <v>5</v>
      </c>
    </row>
    <row r="343" ht="42" customHeight="1">
      <c r="A343" t="str" s="130" cm="1">
        <f t="array" ref="A343">'Question_Bank'!A335</f>
        <v>NPI0331</v>
      </c>
      <c r="B343" t="str" s="97" cm="1">
        <f t="array" ref="B343">'Question_Bank'!B335</f>
        <v>8-12</v>
      </c>
      <c r="C343" t="str" s="97" cm="1">
        <f t="array" ref="C343">'Question_Bank'!C335</f>
        <v>Emotional Profile</v>
      </c>
      <c r="D343" t="str" s="97" cm="1">
        <f t="array" ref="D343">'Question_Bank'!D335</f>
        <v>Stress</v>
      </c>
      <c r="E343" t="str" s="97" cm="1">
        <f t="array" ref="E343">'Question_Bank'!E335</f>
        <v>Stress</v>
      </c>
      <c r="F343" t="str" s="97" cm="1">
        <f t="array" ref="F343">'Question_Bank'!F335</f>
        <v>Likert</v>
      </c>
      <c r="G343" t="str" s="97" cm="1">
        <f t="array" ref="G343">'Question_Bank'!G335</f>
        <v>I avoid tasks due to pressure.</v>
      </c>
      <c r="H343" s="131" cm="1">
        <f t="array" ref="H343">'Question_Bank'!H335</f>
        <v>0</v>
      </c>
      <c r="I343" s="131" cm="1">
        <f t="array" ref="I343">'Question_Bank'!I335</f>
        <v>0</v>
      </c>
      <c r="J343" s="131" cm="1">
        <f t="array" ref="J343">'Question_Bank'!J335</f>
        <v>0</v>
      </c>
      <c r="K343" s="131" cm="1">
        <f t="array" ref="K343">'Question_Bank'!K335</f>
        <v>0</v>
      </c>
      <c r="L343" s="131" cm="1">
        <f t="array" ref="L343">'Question_Bank'!L335</f>
        <v>0</v>
      </c>
      <c r="M343" s="132"/>
      <c r="N343" t="str" s="97" cm="1">
        <f t="array" ref="N343">IF(M343="","",IF(F343="MCQ",IF(UPPER(M343)=UPPER(L343),1,0),IF(O343="Yes",6-VALUE(M343),VALUE(M343))))</f>
      </c>
      <c r="O343" t="str" s="97" cm="1">
        <f t="array" ref="O343">'Question_Bank'!N335</f>
        <v>No</v>
      </c>
      <c r="P343" s="133" cm="1">
        <f t="array" ref="P343">IF(F343="MCQ",1,5)</f>
        <v>5</v>
      </c>
    </row>
    <row r="344" ht="42" customHeight="1">
      <c r="A344" t="str" s="130" cm="1">
        <f t="array" ref="A344">'Question_Bank'!A336</f>
        <v>NPI0332</v>
      </c>
      <c r="B344" t="str" s="97" cm="1">
        <f t="array" ref="B344">'Question_Bank'!B336</f>
        <v>8-12</v>
      </c>
      <c r="C344" t="str" s="97" cm="1">
        <f t="array" ref="C344">'Question_Bank'!C336</f>
        <v>Emotional Profile</v>
      </c>
      <c r="D344" t="str" s="97" cm="1">
        <f t="array" ref="D344">'Question_Bank'!D336</f>
        <v>Stress</v>
      </c>
      <c r="E344" t="str" s="97" cm="1">
        <f t="array" ref="E344">'Question_Bank'!E336</f>
        <v>Stress</v>
      </c>
      <c r="F344" t="str" s="97" cm="1">
        <f t="array" ref="F344">'Question_Bank'!F336</f>
        <v>Likert</v>
      </c>
      <c r="G344" t="str" s="97" cm="1">
        <f t="array" ref="G344">'Question_Bank'!G336</f>
        <v>I feel nervous presenting.</v>
      </c>
      <c r="H344" s="131" cm="1">
        <f t="array" ref="H344">'Question_Bank'!H336</f>
        <v>0</v>
      </c>
      <c r="I344" s="131" cm="1">
        <f t="array" ref="I344">'Question_Bank'!I336</f>
        <v>0</v>
      </c>
      <c r="J344" s="131" cm="1">
        <f t="array" ref="J344">'Question_Bank'!J336</f>
        <v>0</v>
      </c>
      <c r="K344" s="131" cm="1">
        <f t="array" ref="K344">'Question_Bank'!K336</f>
        <v>0</v>
      </c>
      <c r="L344" s="131" cm="1">
        <f t="array" ref="L344">'Question_Bank'!L336</f>
        <v>0</v>
      </c>
      <c r="M344" s="132"/>
      <c r="N344" t="str" s="97" cm="1">
        <f t="array" ref="N344">IF(M344="","",IF(F344="MCQ",IF(UPPER(M344)=UPPER(L344),1,0),IF(O344="Yes",6-VALUE(M344),VALUE(M344))))</f>
      </c>
      <c r="O344" t="str" s="97" cm="1">
        <f t="array" ref="O344">'Question_Bank'!N336</f>
        <v>No</v>
      </c>
      <c r="P344" s="133" cm="1">
        <f t="array" ref="P344">IF(F344="MCQ",1,5)</f>
        <v>5</v>
      </c>
    </row>
    <row r="345" ht="42" customHeight="1">
      <c r="A345" t="str" s="130" cm="1">
        <f t="array" ref="A345">'Question_Bank'!A337</f>
        <v>NPI0333</v>
      </c>
      <c r="B345" t="str" s="97" cm="1">
        <f t="array" ref="B345">'Question_Bank'!B337</f>
        <v>8-12</v>
      </c>
      <c r="C345" t="str" s="97" cm="1">
        <f t="array" ref="C345">'Question_Bank'!C337</f>
        <v>Emotional Profile</v>
      </c>
      <c r="D345" t="str" s="97" cm="1">
        <f t="array" ref="D345">'Question_Bank'!D337</f>
        <v>Stress</v>
      </c>
      <c r="E345" t="str" s="97" cm="1">
        <f t="array" ref="E345">'Question_Bank'!E337</f>
        <v>Stress</v>
      </c>
      <c r="F345" t="str" s="97" cm="1">
        <f t="array" ref="F345">'Question_Bank'!F337</f>
        <v>Likert</v>
      </c>
      <c r="G345" t="str" s="97" cm="1">
        <f t="array" ref="G345">'Question_Bank'!G337</f>
        <v>I feel worried about results.</v>
      </c>
      <c r="H345" s="131" cm="1">
        <f t="array" ref="H345">'Question_Bank'!H337</f>
        <v>0</v>
      </c>
      <c r="I345" s="131" cm="1">
        <f t="array" ref="I345">'Question_Bank'!I337</f>
        <v>0</v>
      </c>
      <c r="J345" s="131" cm="1">
        <f t="array" ref="J345">'Question_Bank'!J337</f>
        <v>0</v>
      </c>
      <c r="K345" s="131" cm="1">
        <f t="array" ref="K345">'Question_Bank'!K337</f>
        <v>0</v>
      </c>
      <c r="L345" s="131" cm="1">
        <f t="array" ref="L345">'Question_Bank'!L337</f>
        <v>0</v>
      </c>
      <c r="M345" s="132"/>
      <c r="N345" t="str" s="97" cm="1">
        <f t="array" ref="N345">IF(M345="","",IF(F345="MCQ",IF(UPPER(M345)=UPPER(L345),1,0),IF(O345="Yes",6-VALUE(M345),VALUE(M345))))</f>
      </c>
      <c r="O345" t="str" s="97" cm="1">
        <f t="array" ref="O345">'Question_Bank'!N337</f>
        <v>No</v>
      </c>
      <c r="P345" s="133" cm="1">
        <f t="array" ref="P345">IF(F345="MCQ",1,5)</f>
        <v>5</v>
      </c>
    </row>
    <row r="346" ht="42" customHeight="1">
      <c r="A346" t="str" s="130" cm="1">
        <f t="array" ref="A346">'Question_Bank'!A338</f>
        <v>NPI0334</v>
      </c>
      <c r="B346" t="str" s="97" cm="1">
        <f t="array" ref="B346">'Question_Bank'!B338</f>
        <v>8-12</v>
      </c>
      <c r="C346" t="str" s="97" cm="1">
        <f t="array" ref="C346">'Question_Bank'!C338</f>
        <v>Emotional Profile</v>
      </c>
      <c r="D346" t="str" s="97" cm="1">
        <f t="array" ref="D346">'Question_Bank'!D338</f>
        <v>Stress</v>
      </c>
      <c r="E346" t="str" s="97" cm="1">
        <f t="array" ref="E346">'Question_Bank'!E338</f>
        <v>Stress</v>
      </c>
      <c r="F346" t="str" s="97" cm="1">
        <f t="array" ref="F346">'Question_Bank'!F338</f>
        <v>Likert</v>
      </c>
      <c r="G346" t="str" s="97" cm="1">
        <f t="array" ref="G346">'Question_Bank'!G338</f>
        <v>I feel upset after criticism.</v>
      </c>
      <c r="H346" s="131" cm="1">
        <f t="array" ref="H346">'Question_Bank'!H338</f>
        <v>0</v>
      </c>
      <c r="I346" s="131" cm="1">
        <f t="array" ref="I346">'Question_Bank'!I338</f>
        <v>0</v>
      </c>
      <c r="J346" s="131" cm="1">
        <f t="array" ref="J346">'Question_Bank'!J338</f>
        <v>0</v>
      </c>
      <c r="K346" s="131" cm="1">
        <f t="array" ref="K346">'Question_Bank'!K338</f>
        <v>0</v>
      </c>
      <c r="L346" s="131" cm="1">
        <f t="array" ref="L346">'Question_Bank'!L338</f>
        <v>0</v>
      </c>
      <c r="M346" s="132"/>
      <c r="N346" t="str" s="97" cm="1">
        <f t="array" ref="N346">IF(M346="","",IF(F346="MCQ",IF(UPPER(M346)=UPPER(L346),1,0),IF(O346="Yes",6-VALUE(M346),VALUE(M346))))</f>
      </c>
      <c r="O346" t="str" s="97" cm="1">
        <f t="array" ref="O346">'Question_Bank'!N338</f>
        <v>No</v>
      </c>
      <c r="P346" s="133" cm="1">
        <f t="array" ref="P346">IF(F346="MCQ",1,5)</f>
        <v>5</v>
      </c>
    </row>
    <row r="347" ht="42" customHeight="1">
      <c r="A347" t="str" s="130" cm="1">
        <f t="array" ref="A347">'Question_Bank'!A339</f>
        <v>NPI0335</v>
      </c>
      <c r="B347" t="str" s="97" cm="1">
        <f t="array" ref="B347">'Question_Bank'!B339</f>
        <v>8-12</v>
      </c>
      <c r="C347" t="str" s="97" cm="1">
        <f t="array" ref="C347">'Question_Bank'!C339</f>
        <v>Emotional Profile</v>
      </c>
      <c r="D347" t="str" s="97" cm="1">
        <f t="array" ref="D347">'Question_Bank'!D339</f>
        <v>Stress</v>
      </c>
      <c r="E347" t="str" s="97" cm="1">
        <f t="array" ref="E347">'Question_Bank'!E339</f>
        <v>Stress</v>
      </c>
      <c r="F347" t="str" s="97" cm="1">
        <f t="array" ref="F347">'Question_Bank'!F339</f>
        <v>Likert</v>
      </c>
      <c r="G347" t="str" s="97" cm="1">
        <f t="array" ref="G347">'Question_Bank'!G339</f>
        <v>I feel overloaded by deadlines.</v>
      </c>
      <c r="H347" s="131" cm="1">
        <f t="array" ref="H347">'Question_Bank'!H339</f>
        <v>0</v>
      </c>
      <c r="I347" s="131" cm="1">
        <f t="array" ref="I347">'Question_Bank'!I339</f>
        <v>0</v>
      </c>
      <c r="J347" s="131" cm="1">
        <f t="array" ref="J347">'Question_Bank'!J339</f>
        <v>0</v>
      </c>
      <c r="K347" s="131" cm="1">
        <f t="array" ref="K347">'Question_Bank'!K339</f>
        <v>0</v>
      </c>
      <c r="L347" s="131" cm="1">
        <f t="array" ref="L347">'Question_Bank'!L339</f>
        <v>0</v>
      </c>
      <c r="M347" s="132"/>
      <c r="N347" t="str" s="97" cm="1">
        <f t="array" ref="N347">IF(M347="","",IF(F347="MCQ",IF(UPPER(M347)=UPPER(L347),1,0),IF(O347="Yes",6-VALUE(M347),VALUE(M347))))</f>
      </c>
      <c r="O347" t="str" s="97" cm="1">
        <f t="array" ref="O347">'Question_Bank'!N339</f>
        <v>No</v>
      </c>
      <c r="P347" s="133" cm="1">
        <f t="array" ref="P347">IF(F347="MCQ",1,5)</f>
        <v>5</v>
      </c>
    </row>
    <row r="348" ht="42" customHeight="1">
      <c r="A348" t="str" s="130" cm="1">
        <f t="array" ref="A348">'Question_Bank'!A340</f>
        <v>NPI0336</v>
      </c>
      <c r="B348" t="str" s="97" cm="1">
        <f t="array" ref="B348">'Question_Bank'!B340</f>
        <v>8-12</v>
      </c>
      <c r="C348" t="str" s="97" cm="1">
        <f t="array" ref="C348">'Question_Bank'!C340</f>
        <v>Emotional Profile</v>
      </c>
      <c r="D348" t="str" s="97" cm="1">
        <f t="array" ref="D348">'Question_Bank'!D340</f>
        <v>Confidence</v>
      </c>
      <c r="E348" t="str" s="97" cm="1">
        <f t="array" ref="E348">'Question_Bank'!E340</f>
        <v>Confidence</v>
      </c>
      <c r="F348" t="str" s="97" cm="1">
        <f t="array" ref="F348">'Question_Bank'!F340</f>
        <v>Likert</v>
      </c>
      <c r="G348" t="str" s="97" cm="1">
        <f t="array" ref="G348">'Question_Bank'!G340</f>
        <v>I believe I can improve.</v>
      </c>
      <c r="H348" s="131" cm="1">
        <f t="array" ref="H348">'Question_Bank'!H340</f>
        <v>0</v>
      </c>
      <c r="I348" s="131" cm="1">
        <f t="array" ref="I348">'Question_Bank'!I340</f>
        <v>0</v>
      </c>
      <c r="J348" s="131" cm="1">
        <f t="array" ref="J348">'Question_Bank'!J340</f>
        <v>0</v>
      </c>
      <c r="K348" s="131" cm="1">
        <f t="array" ref="K348">'Question_Bank'!K340</f>
        <v>0</v>
      </c>
      <c r="L348" s="131" cm="1">
        <f t="array" ref="L348">'Question_Bank'!L340</f>
        <v>0</v>
      </c>
      <c r="M348" s="132"/>
      <c r="N348" t="str" s="97" cm="1">
        <f t="array" ref="N348">IF(M348="","",IF(F348="MCQ",IF(UPPER(M348)=UPPER(L348),1,0),IF(O348="Yes",6-VALUE(M348),VALUE(M348))))</f>
      </c>
      <c r="O348" t="str" s="97" cm="1">
        <f t="array" ref="O348">'Question_Bank'!N340</f>
        <v>No</v>
      </c>
      <c r="P348" s="133" cm="1">
        <f t="array" ref="P348">IF(F348="MCQ",1,5)</f>
        <v>5</v>
      </c>
    </row>
    <row r="349" ht="42" customHeight="1">
      <c r="A349" t="str" s="130" cm="1">
        <f t="array" ref="A349">'Question_Bank'!A341</f>
        <v>NPI0337</v>
      </c>
      <c r="B349" t="str" s="97" cm="1">
        <f t="array" ref="B349">'Question_Bank'!B341</f>
        <v>8-12</v>
      </c>
      <c r="C349" t="str" s="97" cm="1">
        <f t="array" ref="C349">'Question_Bank'!C341</f>
        <v>Emotional Profile</v>
      </c>
      <c r="D349" t="str" s="97" cm="1">
        <f t="array" ref="D349">'Question_Bank'!D341</f>
        <v>Confidence</v>
      </c>
      <c r="E349" t="str" s="97" cm="1">
        <f t="array" ref="E349">'Question_Bank'!E341</f>
        <v>Confidence</v>
      </c>
      <c r="F349" t="str" s="97" cm="1">
        <f t="array" ref="F349">'Question_Bank'!F341</f>
        <v>Likert</v>
      </c>
      <c r="G349" t="str" s="97" cm="1">
        <f t="array" ref="G349">'Question_Bank'!G341</f>
        <v>I feel confident asking doubts.</v>
      </c>
      <c r="H349" s="131" cm="1">
        <f t="array" ref="H349">'Question_Bank'!H341</f>
        <v>0</v>
      </c>
      <c r="I349" s="131" cm="1">
        <f t="array" ref="I349">'Question_Bank'!I341</f>
        <v>0</v>
      </c>
      <c r="J349" s="131" cm="1">
        <f t="array" ref="J349">'Question_Bank'!J341</f>
        <v>0</v>
      </c>
      <c r="K349" s="131" cm="1">
        <f t="array" ref="K349">'Question_Bank'!K341</f>
        <v>0</v>
      </c>
      <c r="L349" s="131" cm="1">
        <f t="array" ref="L349">'Question_Bank'!L341</f>
        <v>0</v>
      </c>
      <c r="M349" s="132"/>
      <c r="N349" t="str" s="97" cm="1">
        <f t="array" ref="N349">IF(M349="","",IF(F349="MCQ",IF(UPPER(M349)=UPPER(L349),1,0),IF(O349="Yes",6-VALUE(M349),VALUE(M349))))</f>
      </c>
      <c r="O349" t="str" s="97" cm="1">
        <f t="array" ref="O349">'Question_Bank'!N341</f>
        <v>No</v>
      </c>
      <c r="P349" s="133" cm="1">
        <f t="array" ref="P349">IF(F349="MCQ",1,5)</f>
        <v>5</v>
      </c>
    </row>
    <row r="350" ht="42" customHeight="1">
      <c r="A350" t="str" s="130" cm="1">
        <f t="array" ref="A350">'Question_Bank'!A342</f>
        <v>NPI0338</v>
      </c>
      <c r="B350" t="str" s="97" cm="1">
        <f t="array" ref="B350">'Question_Bank'!B342</f>
        <v>8-12</v>
      </c>
      <c r="C350" t="str" s="97" cm="1">
        <f t="array" ref="C350">'Question_Bank'!C342</f>
        <v>Emotional Profile</v>
      </c>
      <c r="D350" t="str" s="97" cm="1">
        <f t="array" ref="D350">'Question_Bank'!D342</f>
        <v>Confidence</v>
      </c>
      <c r="E350" t="str" s="97" cm="1">
        <f t="array" ref="E350">'Question_Bank'!E342</f>
        <v>Confidence</v>
      </c>
      <c r="F350" t="str" s="97" cm="1">
        <f t="array" ref="F350">'Question_Bank'!F342</f>
        <v>Likert</v>
      </c>
      <c r="G350" t="str" s="97" cm="1">
        <f t="array" ref="G350">'Question_Bank'!G342</f>
        <v>I trust my ability to learn.</v>
      </c>
      <c r="H350" s="131" cm="1">
        <f t="array" ref="H350">'Question_Bank'!H342</f>
        <v>0</v>
      </c>
      <c r="I350" s="131" cm="1">
        <f t="array" ref="I350">'Question_Bank'!I342</f>
        <v>0</v>
      </c>
      <c r="J350" s="131" cm="1">
        <f t="array" ref="J350">'Question_Bank'!J342</f>
        <v>0</v>
      </c>
      <c r="K350" s="131" cm="1">
        <f t="array" ref="K350">'Question_Bank'!K342</f>
        <v>0</v>
      </c>
      <c r="L350" s="131" cm="1">
        <f t="array" ref="L350">'Question_Bank'!L342</f>
        <v>0</v>
      </c>
      <c r="M350" s="132"/>
      <c r="N350" t="str" s="97" cm="1">
        <f t="array" ref="N350">IF(M350="","",IF(F350="MCQ",IF(UPPER(M350)=UPPER(L350),1,0),IF(O350="Yes",6-VALUE(M350),VALUE(M350))))</f>
      </c>
      <c r="O350" t="str" s="97" cm="1">
        <f t="array" ref="O350">'Question_Bank'!N342</f>
        <v>No</v>
      </c>
      <c r="P350" s="133" cm="1">
        <f t="array" ref="P350">IF(F350="MCQ",1,5)</f>
        <v>5</v>
      </c>
    </row>
    <row r="351" ht="42" customHeight="1">
      <c r="A351" t="str" s="130" cm="1">
        <f t="array" ref="A351">'Question_Bank'!A343</f>
        <v>NPI0339</v>
      </c>
      <c r="B351" t="str" s="97" cm="1">
        <f t="array" ref="B351">'Question_Bank'!B343</f>
        <v>8-12</v>
      </c>
      <c r="C351" t="str" s="97" cm="1">
        <f t="array" ref="C351">'Question_Bank'!C343</f>
        <v>Emotional Profile</v>
      </c>
      <c r="D351" t="str" s="97" cm="1">
        <f t="array" ref="D351">'Question_Bank'!D343</f>
        <v>Confidence</v>
      </c>
      <c r="E351" t="str" s="97" cm="1">
        <f t="array" ref="E351">'Question_Bank'!E343</f>
        <v>Confidence</v>
      </c>
      <c r="F351" t="str" s="97" cm="1">
        <f t="array" ref="F351">'Question_Bank'!F343</f>
        <v>Likert</v>
      </c>
      <c r="G351" t="str" s="97" cm="1">
        <f t="array" ref="G351">'Question_Bank'!G343</f>
        <v>I can speak about my strengths.</v>
      </c>
      <c r="H351" s="131" cm="1">
        <f t="array" ref="H351">'Question_Bank'!H343</f>
        <v>0</v>
      </c>
      <c r="I351" s="131" cm="1">
        <f t="array" ref="I351">'Question_Bank'!I343</f>
        <v>0</v>
      </c>
      <c r="J351" s="131" cm="1">
        <f t="array" ref="J351">'Question_Bank'!J343</f>
        <v>0</v>
      </c>
      <c r="K351" s="131" cm="1">
        <f t="array" ref="K351">'Question_Bank'!K343</f>
        <v>0</v>
      </c>
      <c r="L351" s="131" cm="1">
        <f t="array" ref="L351">'Question_Bank'!L343</f>
        <v>0</v>
      </c>
      <c r="M351" s="132"/>
      <c r="N351" t="str" s="97" cm="1">
        <f t="array" ref="N351">IF(M351="","",IF(F351="MCQ",IF(UPPER(M351)=UPPER(L351),1,0),IF(O351="Yes",6-VALUE(M351),VALUE(M351))))</f>
      </c>
      <c r="O351" t="str" s="97" cm="1">
        <f t="array" ref="O351">'Question_Bank'!N343</f>
        <v>No</v>
      </c>
      <c r="P351" s="133" cm="1">
        <f t="array" ref="P351">IF(F351="MCQ",1,5)</f>
        <v>5</v>
      </c>
    </row>
    <row r="352" ht="42" customHeight="1">
      <c r="A352" t="str" s="130" cm="1">
        <f t="array" ref="A352">'Question_Bank'!A344</f>
        <v>NPI0340</v>
      </c>
      <c r="B352" t="str" s="97" cm="1">
        <f t="array" ref="B352">'Question_Bank'!B344</f>
        <v>8-12</v>
      </c>
      <c r="C352" t="str" s="97" cm="1">
        <f t="array" ref="C352">'Question_Bank'!C344</f>
        <v>Emotional Profile</v>
      </c>
      <c r="D352" t="str" s="97" cm="1">
        <f t="array" ref="D352">'Question_Bank'!D344</f>
        <v>Confidence</v>
      </c>
      <c r="E352" t="str" s="97" cm="1">
        <f t="array" ref="E352">'Question_Bank'!E344</f>
        <v>Confidence</v>
      </c>
      <c r="F352" t="str" s="97" cm="1">
        <f t="array" ref="F352">'Question_Bank'!F344</f>
        <v>Likert</v>
      </c>
      <c r="G352" t="str" s="97" cm="1">
        <f t="array" ref="G352">'Question_Bank'!G344</f>
        <v>I feel capable with clear explanation.</v>
      </c>
      <c r="H352" s="131" cm="1">
        <f t="array" ref="H352">'Question_Bank'!H344</f>
        <v>0</v>
      </c>
      <c r="I352" s="131" cm="1">
        <f t="array" ref="I352">'Question_Bank'!I344</f>
        <v>0</v>
      </c>
      <c r="J352" s="131" cm="1">
        <f t="array" ref="J352">'Question_Bank'!J344</f>
        <v>0</v>
      </c>
      <c r="K352" s="131" cm="1">
        <f t="array" ref="K352">'Question_Bank'!K344</f>
        <v>0</v>
      </c>
      <c r="L352" s="131" cm="1">
        <f t="array" ref="L352">'Question_Bank'!L344</f>
        <v>0</v>
      </c>
      <c r="M352" s="132"/>
      <c r="N352" t="str" s="97" cm="1">
        <f t="array" ref="N352">IF(M352="","",IF(F352="MCQ",IF(UPPER(M352)=UPPER(L352),1,0),IF(O352="Yes",6-VALUE(M352),VALUE(M352))))</f>
      </c>
      <c r="O352" t="str" s="97" cm="1">
        <f t="array" ref="O352">'Question_Bank'!N344</f>
        <v>No</v>
      </c>
      <c r="P352" s="133" cm="1">
        <f t="array" ref="P352">IF(F352="MCQ",1,5)</f>
        <v>5</v>
      </c>
    </row>
    <row r="353" ht="42" customHeight="1">
      <c r="A353" t="str" s="130" cm="1">
        <f t="array" ref="A353">'Question_Bank'!A345</f>
        <v>NPI0341</v>
      </c>
      <c r="B353" t="str" s="97" cm="1">
        <f t="array" ref="B353">'Question_Bank'!B345</f>
        <v>8-12</v>
      </c>
      <c r="C353" t="str" s="97" cm="1">
        <f t="array" ref="C353">'Question_Bank'!C345</f>
        <v>Emotional Profile</v>
      </c>
      <c r="D353" t="str" s="97" cm="1">
        <f t="array" ref="D353">'Question_Bank'!D345</f>
        <v>Confidence</v>
      </c>
      <c r="E353" t="str" s="97" cm="1">
        <f t="array" ref="E353">'Question_Bank'!E345</f>
        <v>Confidence</v>
      </c>
      <c r="F353" t="str" s="97" cm="1">
        <f t="array" ref="F353">'Question_Bank'!F345</f>
        <v>Likert</v>
      </c>
      <c r="G353" t="str" s="97" cm="1">
        <f t="array" ref="G353">'Question_Bank'!G345</f>
        <v>I feel proud after difficult tasks.</v>
      </c>
      <c r="H353" s="131" cm="1">
        <f t="array" ref="H353">'Question_Bank'!H345</f>
        <v>0</v>
      </c>
      <c r="I353" s="131" cm="1">
        <f t="array" ref="I353">'Question_Bank'!I345</f>
        <v>0</v>
      </c>
      <c r="J353" s="131" cm="1">
        <f t="array" ref="J353">'Question_Bank'!J345</f>
        <v>0</v>
      </c>
      <c r="K353" s="131" cm="1">
        <f t="array" ref="K353">'Question_Bank'!K345</f>
        <v>0</v>
      </c>
      <c r="L353" s="131" cm="1">
        <f t="array" ref="L353">'Question_Bank'!L345</f>
        <v>0</v>
      </c>
      <c r="M353" s="132"/>
      <c r="N353" t="str" s="97" cm="1">
        <f t="array" ref="N353">IF(M353="","",IF(F353="MCQ",IF(UPPER(M353)=UPPER(L353),1,0),IF(O353="Yes",6-VALUE(M353),VALUE(M353))))</f>
      </c>
      <c r="O353" t="str" s="97" cm="1">
        <f t="array" ref="O353">'Question_Bank'!N345</f>
        <v>No</v>
      </c>
      <c r="P353" s="133" cm="1">
        <f t="array" ref="P353">IF(F353="MCQ",1,5)</f>
        <v>5</v>
      </c>
    </row>
    <row r="354" ht="42" customHeight="1">
      <c r="A354" t="str" s="130" cm="1">
        <f t="array" ref="A354">'Question_Bank'!A346</f>
        <v>NPI0342</v>
      </c>
      <c r="B354" t="str" s="97" cm="1">
        <f t="array" ref="B354">'Question_Bank'!B346</f>
        <v>8-12</v>
      </c>
      <c r="C354" t="str" s="97" cm="1">
        <f t="array" ref="C354">'Question_Bank'!C346</f>
        <v>Emotional Profile</v>
      </c>
      <c r="D354" t="str" s="97" cm="1">
        <f t="array" ref="D354">'Question_Bank'!D346</f>
        <v>Confidence</v>
      </c>
      <c r="E354" t="str" s="97" cm="1">
        <f t="array" ref="E354">'Question_Bank'!E346</f>
        <v>Confidence</v>
      </c>
      <c r="F354" t="str" s="97" cm="1">
        <f t="array" ref="F354">'Question_Bank'!F346</f>
        <v>Likert</v>
      </c>
      <c r="G354" t="str" s="97" cm="1">
        <f t="array" ref="G354">'Question_Bank'!G346</f>
        <v>I attempt challenges.</v>
      </c>
      <c r="H354" s="131" cm="1">
        <f t="array" ref="H354">'Question_Bank'!H346</f>
        <v>0</v>
      </c>
      <c r="I354" s="131" cm="1">
        <f t="array" ref="I354">'Question_Bank'!I346</f>
        <v>0</v>
      </c>
      <c r="J354" s="131" cm="1">
        <f t="array" ref="J354">'Question_Bank'!J346</f>
        <v>0</v>
      </c>
      <c r="K354" s="131" cm="1">
        <f t="array" ref="K354">'Question_Bank'!K346</f>
        <v>0</v>
      </c>
      <c r="L354" s="131" cm="1">
        <f t="array" ref="L354">'Question_Bank'!L346</f>
        <v>0</v>
      </c>
      <c r="M354" s="132"/>
      <c r="N354" t="str" s="97" cm="1">
        <f t="array" ref="N354">IF(M354="","",IF(F354="MCQ",IF(UPPER(M354)=UPPER(L354),1,0),IF(O354="Yes",6-VALUE(M354),VALUE(M354))))</f>
      </c>
      <c r="O354" t="str" s="97" cm="1">
        <f t="array" ref="O354">'Question_Bank'!N346</f>
        <v>No</v>
      </c>
      <c r="P354" s="133" cm="1">
        <f t="array" ref="P354">IF(F354="MCQ",1,5)</f>
        <v>5</v>
      </c>
    </row>
    <row r="355" ht="42" customHeight="1">
      <c r="A355" t="str" s="130" cm="1">
        <f t="array" ref="A355">'Question_Bank'!A347</f>
        <v>NPI0343</v>
      </c>
      <c r="B355" t="str" s="97" cm="1">
        <f t="array" ref="B355">'Question_Bank'!B347</f>
        <v>8-12</v>
      </c>
      <c r="C355" t="str" s="97" cm="1">
        <f t="array" ref="C355">'Question_Bank'!C347</f>
        <v>Emotional Profile</v>
      </c>
      <c r="D355" t="str" s="97" cm="1">
        <f t="array" ref="D355">'Question_Bank'!D347</f>
        <v>Confidence</v>
      </c>
      <c r="E355" t="str" s="97" cm="1">
        <f t="array" ref="E355">'Question_Bank'!E347</f>
        <v>Confidence</v>
      </c>
      <c r="F355" t="str" s="97" cm="1">
        <f t="array" ref="F355">'Question_Bank'!F347</f>
        <v>Likert</v>
      </c>
      <c r="G355" t="str" s="97" cm="1">
        <f t="array" ref="G355">'Question_Bank'!G347</f>
        <v>I feel my opinions matter.</v>
      </c>
      <c r="H355" s="131" cm="1">
        <f t="array" ref="H355">'Question_Bank'!H347</f>
        <v>0</v>
      </c>
      <c r="I355" s="131" cm="1">
        <f t="array" ref="I355">'Question_Bank'!I347</f>
        <v>0</v>
      </c>
      <c r="J355" s="131" cm="1">
        <f t="array" ref="J355">'Question_Bank'!J347</f>
        <v>0</v>
      </c>
      <c r="K355" s="131" cm="1">
        <f t="array" ref="K355">'Question_Bank'!K347</f>
        <v>0</v>
      </c>
      <c r="L355" s="131" cm="1">
        <f t="array" ref="L355">'Question_Bank'!L347</f>
        <v>0</v>
      </c>
      <c r="M355" s="132"/>
      <c r="N355" t="str" s="97" cm="1">
        <f t="array" ref="N355">IF(M355="","",IF(F355="MCQ",IF(UPPER(M355)=UPPER(L355),1,0),IF(O355="Yes",6-VALUE(M355),VALUE(M355))))</f>
      </c>
      <c r="O355" t="str" s="97" cm="1">
        <f t="array" ref="O355">'Question_Bank'!N347</f>
        <v>No</v>
      </c>
      <c r="P355" s="133" cm="1">
        <f t="array" ref="P355">IF(F355="MCQ",1,5)</f>
        <v>5</v>
      </c>
    </row>
    <row r="356" ht="42" customHeight="1">
      <c r="A356" t="str" s="130" cm="1">
        <f t="array" ref="A356">'Question_Bank'!A348</f>
        <v>NPI0344</v>
      </c>
      <c r="B356" t="str" s="97" cm="1">
        <f t="array" ref="B356">'Question_Bank'!B348</f>
        <v>8-12</v>
      </c>
      <c r="C356" t="str" s="97" cm="1">
        <f t="array" ref="C356">'Question_Bank'!C348</f>
        <v>Emotional Profile</v>
      </c>
      <c r="D356" t="str" s="97" cm="1">
        <f t="array" ref="D356">'Question_Bank'!D348</f>
        <v>Confidence</v>
      </c>
      <c r="E356" t="str" s="97" cm="1">
        <f t="array" ref="E356">'Question_Bank'!E348</f>
        <v>Confidence</v>
      </c>
      <c r="F356" t="str" s="97" cm="1">
        <f t="array" ref="F356">'Question_Bank'!F348</f>
        <v>Likert</v>
      </c>
      <c r="G356" t="str" s="97" cm="1">
        <f t="array" ref="G356">'Question_Bank'!G348</f>
        <v>I learn from feedback.</v>
      </c>
      <c r="H356" s="131" cm="1">
        <f t="array" ref="H356">'Question_Bank'!H348</f>
        <v>0</v>
      </c>
      <c r="I356" s="131" cm="1">
        <f t="array" ref="I356">'Question_Bank'!I348</f>
        <v>0</v>
      </c>
      <c r="J356" s="131" cm="1">
        <f t="array" ref="J356">'Question_Bank'!J348</f>
        <v>0</v>
      </c>
      <c r="K356" s="131" cm="1">
        <f t="array" ref="K356">'Question_Bank'!K348</f>
        <v>0</v>
      </c>
      <c r="L356" s="131" cm="1">
        <f t="array" ref="L356">'Question_Bank'!L348</f>
        <v>0</v>
      </c>
      <c r="M356" s="132"/>
      <c r="N356" t="str" s="97" cm="1">
        <f t="array" ref="N356">IF(M356="","",IF(F356="MCQ",IF(UPPER(M356)=UPPER(L356),1,0),IF(O356="Yes",6-VALUE(M356),VALUE(M356))))</f>
      </c>
      <c r="O356" t="str" s="97" cm="1">
        <f t="array" ref="O356">'Question_Bank'!N348</f>
        <v>No</v>
      </c>
      <c r="P356" s="133" cm="1">
        <f t="array" ref="P356">IF(F356="MCQ",1,5)</f>
        <v>5</v>
      </c>
    </row>
    <row r="357" ht="42" customHeight="1">
      <c r="A357" t="str" s="130" cm="1">
        <f t="array" ref="A357">'Question_Bank'!A349</f>
        <v>NPI0345</v>
      </c>
      <c r="B357" t="str" s="97" cm="1">
        <f t="array" ref="B357">'Question_Bank'!B349</f>
        <v>8-12</v>
      </c>
      <c r="C357" t="str" s="97" cm="1">
        <f t="array" ref="C357">'Question_Bank'!C349</f>
        <v>Emotional Profile</v>
      </c>
      <c r="D357" t="str" s="97" cm="1">
        <f t="array" ref="D357">'Question_Bank'!D349</f>
        <v>Confidence</v>
      </c>
      <c r="E357" t="str" s="97" cm="1">
        <f t="array" ref="E357">'Question_Bank'!E349</f>
        <v>Confidence</v>
      </c>
      <c r="F357" t="str" s="97" cm="1">
        <f t="array" ref="F357">'Question_Bank'!F349</f>
        <v>Likert</v>
      </c>
      <c r="G357" t="str" s="97" cm="1">
        <f t="array" ref="G357">'Question_Bank'!G349</f>
        <v>I feel confident in some area.</v>
      </c>
      <c r="H357" s="131" cm="1">
        <f t="array" ref="H357">'Question_Bank'!H349</f>
        <v>0</v>
      </c>
      <c r="I357" s="131" cm="1">
        <f t="array" ref="I357">'Question_Bank'!I349</f>
        <v>0</v>
      </c>
      <c r="J357" s="131" cm="1">
        <f t="array" ref="J357">'Question_Bank'!J349</f>
        <v>0</v>
      </c>
      <c r="K357" s="131" cm="1">
        <f t="array" ref="K357">'Question_Bank'!K349</f>
        <v>0</v>
      </c>
      <c r="L357" s="131" cm="1">
        <f t="array" ref="L357">'Question_Bank'!L349</f>
        <v>0</v>
      </c>
      <c r="M357" s="132"/>
      <c r="N357" t="str" s="97" cm="1">
        <f t="array" ref="N357">IF(M357="","",IF(F357="MCQ",IF(UPPER(M357)=UPPER(L357),1,0),IF(O357="Yes",6-VALUE(M357),VALUE(M357))))</f>
      </c>
      <c r="O357" t="str" s="97" cm="1">
        <f t="array" ref="O357">'Question_Bank'!N349</f>
        <v>No</v>
      </c>
      <c r="P357" s="133" cm="1">
        <f t="array" ref="P357">IF(F357="MCQ",1,5)</f>
        <v>5</v>
      </c>
    </row>
    <row r="358" ht="42" customHeight="1">
      <c r="A358" t="str" s="130" cm="1">
        <f t="array" ref="A358">'Question_Bank'!A350</f>
        <v>NPI0346</v>
      </c>
      <c r="B358" t="str" s="97" cm="1">
        <f t="array" ref="B358">'Question_Bank'!B350</f>
        <v>8-12</v>
      </c>
      <c r="C358" t="str" s="97" cm="1">
        <f t="array" ref="C358">'Question_Bank'!C350</f>
        <v>Emotional Profile</v>
      </c>
      <c r="D358" t="str" s="97" cm="1">
        <f t="array" ref="D358">'Question_Bank'!D350</f>
        <v>Confidence</v>
      </c>
      <c r="E358" t="str" s="97" cm="1">
        <f t="array" ref="E358">'Question_Bank'!E350</f>
        <v>Confidence</v>
      </c>
      <c r="F358" t="str" s="97" cm="1">
        <f t="array" ref="F358">'Question_Bank'!F350</f>
        <v>Likert</v>
      </c>
      <c r="G358" t="str" s="97" cm="1">
        <f t="array" ref="G358">'Question_Bank'!G350</f>
        <v>I explain what I need to improve.</v>
      </c>
      <c r="H358" s="131" cm="1">
        <f t="array" ref="H358">'Question_Bank'!H350</f>
        <v>0</v>
      </c>
      <c r="I358" s="131" cm="1">
        <f t="array" ref="I358">'Question_Bank'!I350</f>
        <v>0</v>
      </c>
      <c r="J358" s="131" cm="1">
        <f t="array" ref="J358">'Question_Bank'!J350</f>
        <v>0</v>
      </c>
      <c r="K358" s="131" cm="1">
        <f t="array" ref="K358">'Question_Bank'!K350</f>
        <v>0</v>
      </c>
      <c r="L358" s="131" cm="1">
        <f t="array" ref="L358">'Question_Bank'!L350</f>
        <v>0</v>
      </c>
      <c r="M358" s="132"/>
      <c r="N358" t="str" s="97" cm="1">
        <f t="array" ref="N358">IF(M358="","",IF(F358="MCQ",IF(UPPER(M358)=UPPER(L358),1,0),IF(O358="Yes",6-VALUE(M358),VALUE(M358))))</f>
      </c>
      <c r="O358" t="str" s="97" cm="1">
        <f t="array" ref="O358">'Question_Bank'!N350</f>
        <v>No</v>
      </c>
      <c r="P358" s="133" cm="1">
        <f t="array" ref="P358">IF(F358="MCQ",1,5)</f>
        <v>5</v>
      </c>
    </row>
    <row r="359" ht="42" customHeight="1">
      <c r="A359" t="str" s="130" cm="1">
        <f t="array" ref="A359">'Question_Bank'!A351</f>
        <v>NPI0347</v>
      </c>
      <c r="B359" t="str" s="97" cm="1">
        <f t="array" ref="B359">'Question_Bank'!B351</f>
        <v>8-12</v>
      </c>
      <c r="C359" t="str" s="97" cm="1">
        <f t="array" ref="C359">'Question_Bank'!C351</f>
        <v>Emotional Profile</v>
      </c>
      <c r="D359" t="str" s="97" cm="1">
        <f t="array" ref="D359">'Question_Bank'!D351</f>
        <v>Confidence</v>
      </c>
      <c r="E359" t="str" s="97" cm="1">
        <f t="array" ref="E359">'Question_Bank'!E351</f>
        <v>Confidence</v>
      </c>
      <c r="F359" t="str" s="97" cm="1">
        <f t="array" ref="F359">'Question_Bank'!F351</f>
        <v>Likert</v>
      </c>
      <c r="G359" t="str" s="97" cm="1">
        <f t="array" ref="G359">'Question_Bank'!G351</f>
        <v>I believe mistakes are learning.</v>
      </c>
      <c r="H359" s="131" cm="1">
        <f t="array" ref="H359">'Question_Bank'!H351</f>
        <v>0</v>
      </c>
      <c r="I359" s="131" cm="1">
        <f t="array" ref="I359">'Question_Bank'!I351</f>
        <v>0</v>
      </c>
      <c r="J359" s="131" cm="1">
        <f t="array" ref="J359">'Question_Bank'!J351</f>
        <v>0</v>
      </c>
      <c r="K359" s="131" cm="1">
        <f t="array" ref="K359">'Question_Bank'!K351</f>
        <v>0</v>
      </c>
      <c r="L359" s="131" cm="1">
        <f t="array" ref="L359">'Question_Bank'!L351</f>
        <v>0</v>
      </c>
      <c r="M359" s="132"/>
      <c r="N359" t="str" s="97" cm="1">
        <f t="array" ref="N359">IF(M359="","",IF(F359="MCQ",IF(UPPER(M359)=UPPER(L359),1,0),IF(O359="Yes",6-VALUE(M359),VALUE(M359))))</f>
      </c>
      <c r="O359" t="str" s="97" cm="1">
        <f t="array" ref="O359">'Question_Bank'!N351</f>
        <v>No</v>
      </c>
      <c r="P359" s="133" cm="1">
        <f t="array" ref="P359">IF(F359="MCQ",1,5)</f>
        <v>5</v>
      </c>
    </row>
    <row r="360" ht="42" customHeight="1">
      <c r="A360" t="str" s="130" cm="1">
        <f t="array" ref="A360">'Question_Bank'!A352</f>
        <v>NPI0348</v>
      </c>
      <c r="B360" t="str" s="97" cm="1">
        <f t="array" ref="B360">'Question_Bank'!B352</f>
        <v>8-12</v>
      </c>
      <c r="C360" t="str" s="97" cm="1">
        <f t="array" ref="C360">'Question_Bank'!C352</f>
        <v>Emotional Profile</v>
      </c>
      <c r="D360" t="str" s="97" cm="1">
        <f t="array" ref="D360">'Question_Bank'!D352</f>
        <v>Confidence</v>
      </c>
      <c r="E360" t="str" s="97" cm="1">
        <f t="array" ref="E360">'Question_Bank'!E352</f>
        <v>Confidence</v>
      </c>
      <c r="F360" t="str" s="97" cm="1">
        <f t="array" ref="F360">'Question_Bank'!F352</f>
        <v>Likert</v>
      </c>
      <c r="G360" t="str" s="97" cm="1">
        <f t="array" ref="G360">'Question_Bank'!G352</f>
        <v>I set reachable goals.</v>
      </c>
      <c r="H360" s="131" cm="1">
        <f t="array" ref="H360">'Question_Bank'!H352</f>
        <v>0</v>
      </c>
      <c r="I360" s="131" cm="1">
        <f t="array" ref="I360">'Question_Bank'!I352</f>
        <v>0</v>
      </c>
      <c r="J360" s="131" cm="1">
        <f t="array" ref="J360">'Question_Bank'!J352</f>
        <v>0</v>
      </c>
      <c r="K360" s="131" cm="1">
        <f t="array" ref="K360">'Question_Bank'!K352</f>
        <v>0</v>
      </c>
      <c r="L360" s="131" cm="1">
        <f t="array" ref="L360">'Question_Bank'!L352</f>
        <v>0</v>
      </c>
      <c r="M360" s="132"/>
      <c r="N360" t="str" s="97" cm="1">
        <f t="array" ref="N360">IF(M360="","",IF(F360="MCQ",IF(UPPER(M360)=UPPER(L360),1,0),IF(O360="Yes",6-VALUE(M360),VALUE(M360))))</f>
      </c>
      <c r="O360" t="str" s="97" cm="1">
        <f t="array" ref="O360">'Question_Bank'!N352</f>
        <v>No</v>
      </c>
      <c r="P360" s="133" cm="1">
        <f t="array" ref="P360">IF(F360="MCQ",1,5)</f>
        <v>5</v>
      </c>
    </row>
    <row r="361" ht="42" customHeight="1">
      <c r="A361" t="str" s="130" cm="1">
        <f t="array" ref="A361">'Question_Bank'!A353</f>
        <v>NPI0349</v>
      </c>
      <c r="B361" t="str" s="97" cm="1">
        <f t="array" ref="B361">'Question_Bank'!B353</f>
        <v>8-12</v>
      </c>
      <c r="C361" t="str" s="97" cm="1">
        <f t="array" ref="C361">'Question_Bank'!C353</f>
        <v>Emotional Profile</v>
      </c>
      <c r="D361" t="str" s="97" cm="1">
        <f t="array" ref="D361">'Question_Bank'!D353</f>
        <v>Confidence</v>
      </c>
      <c r="E361" t="str" s="97" cm="1">
        <f t="array" ref="E361">'Question_Bank'!E353</f>
        <v>Confidence</v>
      </c>
      <c r="F361" t="str" s="97" cm="1">
        <f t="array" ref="F361">'Question_Bank'!F353</f>
        <v>Likert</v>
      </c>
      <c r="G361" t="str" s="97" cm="1">
        <f t="array" ref="G361">'Question_Bank'!G353</f>
        <v>I try even when unsure.</v>
      </c>
      <c r="H361" s="131" cm="1">
        <f t="array" ref="H361">'Question_Bank'!H353</f>
        <v>0</v>
      </c>
      <c r="I361" s="131" cm="1">
        <f t="array" ref="I361">'Question_Bank'!I353</f>
        <v>0</v>
      </c>
      <c r="J361" s="131" cm="1">
        <f t="array" ref="J361">'Question_Bank'!J353</f>
        <v>0</v>
      </c>
      <c r="K361" s="131" cm="1">
        <f t="array" ref="K361">'Question_Bank'!K353</f>
        <v>0</v>
      </c>
      <c r="L361" s="131" cm="1">
        <f t="array" ref="L361">'Question_Bank'!L353</f>
        <v>0</v>
      </c>
      <c r="M361" s="132"/>
      <c r="N361" t="str" s="97" cm="1">
        <f t="array" ref="N361">IF(M361="","",IF(F361="MCQ",IF(UPPER(M361)=UPPER(L361),1,0),IF(O361="Yes",6-VALUE(M361),VALUE(M361))))</f>
      </c>
      <c r="O361" t="str" s="97" cm="1">
        <f t="array" ref="O361">'Question_Bank'!N353</f>
        <v>No</v>
      </c>
      <c r="P361" s="133" cm="1">
        <f t="array" ref="P361">IF(F361="MCQ",1,5)</f>
        <v>5</v>
      </c>
    </row>
    <row r="362" ht="42" customHeight="1">
      <c r="A362" t="str" s="130" cm="1">
        <f t="array" ref="A362">'Question_Bank'!A354</f>
        <v>NPI0350</v>
      </c>
      <c r="B362" t="str" s="97" cm="1">
        <f t="array" ref="B362">'Question_Bank'!B354</f>
        <v>8-12</v>
      </c>
      <c r="C362" t="str" s="97" cm="1">
        <f t="array" ref="C362">'Question_Bank'!C354</f>
        <v>Emotional Profile</v>
      </c>
      <c r="D362" t="str" s="97" cm="1">
        <f t="array" ref="D362">'Question_Bank'!D354</f>
        <v>Confidence</v>
      </c>
      <c r="E362" t="str" s="97" cm="1">
        <f t="array" ref="E362">'Question_Bank'!E354</f>
        <v>Confidence</v>
      </c>
      <c r="F362" t="str" s="97" cm="1">
        <f t="array" ref="F362">'Question_Bank'!F354</f>
        <v>Likert</v>
      </c>
      <c r="G362" t="str" s="97" cm="1">
        <f t="array" ref="G362">'Question_Bank'!G354</f>
        <v>I recognize my progress.</v>
      </c>
      <c r="H362" s="131" cm="1">
        <f t="array" ref="H362">'Question_Bank'!H354</f>
        <v>0</v>
      </c>
      <c r="I362" s="131" cm="1">
        <f t="array" ref="I362">'Question_Bank'!I354</f>
        <v>0</v>
      </c>
      <c r="J362" s="131" cm="1">
        <f t="array" ref="J362">'Question_Bank'!J354</f>
        <v>0</v>
      </c>
      <c r="K362" s="131" cm="1">
        <f t="array" ref="K362">'Question_Bank'!K354</f>
        <v>0</v>
      </c>
      <c r="L362" s="131" cm="1">
        <f t="array" ref="L362">'Question_Bank'!L354</f>
        <v>0</v>
      </c>
      <c r="M362" s="132"/>
      <c r="N362" t="str" s="97" cm="1">
        <f t="array" ref="N362">IF(M362="","",IF(F362="MCQ",IF(UPPER(M362)=UPPER(L362),1,0),IF(O362="Yes",6-VALUE(M362),VALUE(M362))))</f>
      </c>
      <c r="O362" t="str" s="97" cm="1">
        <f t="array" ref="O362">'Question_Bank'!N354</f>
        <v>No</v>
      </c>
      <c r="P362" s="133" cm="1">
        <f t="array" ref="P362">IF(F362="MCQ",1,5)</f>
        <v>5</v>
      </c>
    </row>
    <row r="363" ht="42" customHeight="1">
      <c r="A363" t="str" s="130" cm="1">
        <f t="array" ref="A363">'Question_Bank'!A355</f>
        <v>NPI0351</v>
      </c>
      <c r="B363" t="str" s="97" cm="1">
        <f t="array" ref="B363">'Question_Bank'!B355</f>
        <v>8-12</v>
      </c>
      <c r="C363" t="str" s="97" cm="1">
        <f t="array" ref="C363">'Question_Bank'!C355</f>
        <v>Emotional Profile</v>
      </c>
      <c r="D363" t="str" s="97" cm="1">
        <f t="array" ref="D363">'Question_Bank'!D355</f>
        <v>Confidence</v>
      </c>
      <c r="E363" t="str" s="97" cm="1">
        <f t="array" ref="E363">'Question_Bank'!E355</f>
        <v>Confidence</v>
      </c>
      <c r="F363" t="str" s="97" cm="1">
        <f t="array" ref="F363">'Question_Bank'!F355</f>
        <v>Likert</v>
      </c>
      <c r="G363" t="str" s="97" cm="1">
        <f t="array" ref="G363">'Question_Bank'!G355</f>
        <v>I ask questions without shame.</v>
      </c>
      <c r="H363" s="131" cm="1">
        <f t="array" ref="H363">'Question_Bank'!H355</f>
        <v>0</v>
      </c>
      <c r="I363" s="131" cm="1">
        <f t="array" ref="I363">'Question_Bank'!I355</f>
        <v>0</v>
      </c>
      <c r="J363" s="131" cm="1">
        <f t="array" ref="J363">'Question_Bank'!J355</f>
        <v>0</v>
      </c>
      <c r="K363" s="131" cm="1">
        <f t="array" ref="K363">'Question_Bank'!K355</f>
        <v>0</v>
      </c>
      <c r="L363" s="131" cm="1">
        <f t="array" ref="L363">'Question_Bank'!L355</f>
        <v>0</v>
      </c>
      <c r="M363" s="132"/>
      <c r="N363" t="str" s="97" cm="1">
        <f t="array" ref="N363">IF(M363="","",IF(F363="MCQ",IF(UPPER(M363)=UPPER(L363),1,0),IF(O363="Yes",6-VALUE(M363),VALUE(M363))))</f>
      </c>
      <c r="O363" t="str" s="97" cm="1">
        <f t="array" ref="O363">'Question_Bank'!N355</f>
        <v>No</v>
      </c>
      <c r="P363" s="133" cm="1">
        <f t="array" ref="P363">IF(F363="MCQ",1,5)</f>
        <v>5</v>
      </c>
    </row>
    <row r="364" ht="42" customHeight="1">
      <c r="A364" t="str" s="130" cm="1">
        <f t="array" ref="A364">'Question_Bank'!A356</f>
        <v>NPI0352</v>
      </c>
      <c r="B364" t="str" s="97" cm="1">
        <f t="array" ref="B364">'Question_Bank'!B356</f>
        <v>8-12</v>
      </c>
      <c r="C364" t="str" s="97" cm="1">
        <f t="array" ref="C364">'Question_Bank'!C356</f>
        <v>Emotional Profile</v>
      </c>
      <c r="D364" t="str" s="97" cm="1">
        <f t="array" ref="D364">'Question_Bank'!D356</f>
        <v>Confidence</v>
      </c>
      <c r="E364" t="str" s="97" cm="1">
        <f t="array" ref="E364">'Question_Bank'!E356</f>
        <v>Confidence</v>
      </c>
      <c r="F364" t="str" s="97" cm="1">
        <f t="array" ref="F364">'Question_Bank'!F356</f>
        <v>Likert</v>
      </c>
      <c r="G364" t="str" s="97" cm="1">
        <f t="array" ref="G364">'Question_Bank'!G356</f>
        <v>I believe effort matters.</v>
      </c>
      <c r="H364" s="131" cm="1">
        <f t="array" ref="H364">'Question_Bank'!H356</f>
        <v>0</v>
      </c>
      <c r="I364" s="131" cm="1">
        <f t="array" ref="I364">'Question_Bank'!I356</f>
        <v>0</v>
      </c>
      <c r="J364" s="131" cm="1">
        <f t="array" ref="J364">'Question_Bank'!J356</f>
        <v>0</v>
      </c>
      <c r="K364" s="131" cm="1">
        <f t="array" ref="K364">'Question_Bank'!K356</f>
        <v>0</v>
      </c>
      <c r="L364" s="131" cm="1">
        <f t="array" ref="L364">'Question_Bank'!L356</f>
        <v>0</v>
      </c>
      <c r="M364" s="132"/>
      <c r="N364" t="str" s="97" cm="1">
        <f t="array" ref="N364">IF(M364="","",IF(F364="MCQ",IF(UPPER(M364)=UPPER(L364),1,0),IF(O364="Yes",6-VALUE(M364),VALUE(M364))))</f>
      </c>
      <c r="O364" t="str" s="97" cm="1">
        <f t="array" ref="O364">'Question_Bank'!N356</f>
        <v>No</v>
      </c>
      <c r="P364" s="133" cm="1">
        <f t="array" ref="P364">IF(F364="MCQ",1,5)</f>
        <v>5</v>
      </c>
    </row>
    <row r="365" ht="42" customHeight="1">
      <c r="A365" t="str" s="130" cm="1">
        <f t="array" ref="A365">'Question_Bank'!A357</f>
        <v>NPI0353</v>
      </c>
      <c r="B365" t="str" s="97" cm="1">
        <f t="array" ref="B365">'Question_Bank'!B357</f>
        <v>8-12</v>
      </c>
      <c r="C365" t="str" s="97" cm="1">
        <f t="array" ref="C365">'Question_Bank'!C357</f>
        <v>Emotional Profile</v>
      </c>
      <c r="D365" t="str" s="97" cm="1">
        <f t="array" ref="D365">'Question_Bank'!D357</f>
        <v>Confidence</v>
      </c>
      <c r="E365" t="str" s="97" cm="1">
        <f t="array" ref="E365">'Question_Bank'!E357</f>
        <v>Confidence</v>
      </c>
      <c r="F365" t="str" s="97" cm="1">
        <f t="array" ref="F365">'Question_Bank'!F357</f>
        <v>Likert</v>
      </c>
      <c r="G365" t="str" s="97" cm="1">
        <f t="array" ref="G365">'Question_Bank'!G357</f>
        <v>I feel prepared after practice.</v>
      </c>
      <c r="H365" s="131" cm="1">
        <f t="array" ref="H365">'Question_Bank'!H357</f>
        <v>0</v>
      </c>
      <c r="I365" s="131" cm="1">
        <f t="array" ref="I365">'Question_Bank'!I357</f>
        <v>0</v>
      </c>
      <c r="J365" s="131" cm="1">
        <f t="array" ref="J365">'Question_Bank'!J357</f>
        <v>0</v>
      </c>
      <c r="K365" s="131" cm="1">
        <f t="array" ref="K365">'Question_Bank'!K357</f>
        <v>0</v>
      </c>
      <c r="L365" s="131" cm="1">
        <f t="array" ref="L365">'Question_Bank'!L357</f>
        <v>0</v>
      </c>
      <c r="M365" s="132"/>
      <c r="N365" t="str" s="97" cm="1">
        <f t="array" ref="N365">IF(M365="","",IF(F365="MCQ",IF(UPPER(M365)=UPPER(L365),1,0),IF(O365="Yes",6-VALUE(M365),VALUE(M365))))</f>
      </c>
      <c r="O365" t="str" s="97" cm="1">
        <f t="array" ref="O365">'Question_Bank'!N357</f>
        <v>No</v>
      </c>
      <c r="P365" s="133" cm="1">
        <f t="array" ref="P365">IF(F365="MCQ",1,5)</f>
        <v>5</v>
      </c>
    </row>
    <row r="366" ht="42" customHeight="1">
      <c r="A366" t="str" s="130" cm="1">
        <f t="array" ref="A366">'Question_Bank'!A358</f>
        <v>NPI0354</v>
      </c>
      <c r="B366" t="str" s="97" cm="1">
        <f t="array" ref="B366">'Question_Bank'!B358</f>
        <v>8-12</v>
      </c>
      <c r="C366" t="str" s="97" cm="1">
        <f t="array" ref="C366">'Question_Bank'!C358</f>
        <v>Emotional Profile</v>
      </c>
      <c r="D366" t="str" s="97" cm="1">
        <f t="array" ref="D366">'Question_Bank'!D358</f>
        <v>Confidence</v>
      </c>
      <c r="E366" t="str" s="97" cm="1">
        <f t="array" ref="E366">'Question_Bank'!E358</f>
        <v>Confidence</v>
      </c>
      <c r="F366" t="str" s="97" cm="1">
        <f t="array" ref="F366">'Question_Bank'!F358</f>
        <v>Likert</v>
      </c>
      <c r="G366" t="str" s="97" cm="1">
        <f t="array" ref="G366">'Question_Bank'!G358</f>
        <v>I try new subjects.</v>
      </c>
      <c r="H366" s="131" cm="1">
        <f t="array" ref="H366">'Question_Bank'!H358</f>
        <v>0</v>
      </c>
      <c r="I366" s="131" cm="1">
        <f t="array" ref="I366">'Question_Bank'!I358</f>
        <v>0</v>
      </c>
      <c r="J366" s="131" cm="1">
        <f t="array" ref="J366">'Question_Bank'!J358</f>
        <v>0</v>
      </c>
      <c r="K366" s="131" cm="1">
        <f t="array" ref="K366">'Question_Bank'!K358</f>
        <v>0</v>
      </c>
      <c r="L366" s="131" cm="1">
        <f t="array" ref="L366">'Question_Bank'!L358</f>
        <v>0</v>
      </c>
      <c r="M366" s="132"/>
      <c r="N366" t="str" s="97" cm="1">
        <f t="array" ref="N366">IF(M366="","",IF(F366="MCQ",IF(UPPER(M366)=UPPER(L366),1,0),IF(O366="Yes",6-VALUE(M366),VALUE(M366))))</f>
      </c>
      <c r="O366" t="str" s="97" cm="1">
        <f t="array" ref="O366">'Question_Bank'!N358</f>
        <v>No</v>
      </c>
      <c r="P366" s="133" cm="1">
        <f t="array" ref="P366">IF(F366="MCQ",1,5)</f>
        <v>5</v>
      </c>
    </row>
    <row r="367" ht="42" customHeight="1">
      <c r="A367" t="str" s="130" cm="1">
        <f t="array" ref="A367">'Question_Bank'!A359</f>
        <v>NPI0355</v>
      </c>
      <c r="B367" t="str" s="97" cm="1">
        <f t="array" ref="B367">'Question_Bank'!B359</f>
        <v>8-12</v>
      </c>
      <c r="C367" t="str" s="97" cm="1">
        <f t="array" ref="C367">'Question_Bank'!C359</f>
        <v>Emotional Profile</v>
      </c>
      <c r="D367" t="str" s="97" cm="1">
        <f t="array" ref="D367">'Question_Bank'!D359</f>
        <v>Confidence</v>
      </c>
      <c r="E367" t="str" s="97" cm="1">
        <f t="array" ref="E367">'Question_Bank'!E359</f>
        <v>Confidence</v>
      </c>
      <c r="F367" t="str" s="97" cm="1">
        <f t="array" ref="F367">'Question_Bank'!F359</f>
        <v>Likert</v>
      </c>
      <c r="G367" t="str" s="97" cm="1">
        <f t="array" ref="G367">'Question_Bank'!G359</f>
        <v>I accept constructive feedback.</v>
      </c>
      <c r="H367" s="131" cm="1">
        <f t="array" ref="H367">'Question_Bank'!H359</f>
        <v>0</v>
      </c>
      <c r="I367" s="131" cm="1">
        <f t="array" ref="I367">'Question_Bank'!I359</f>
        <v>0</v>
      </c>
      <c r="J367" s="131" cm="1">
        <f t="array" ref="J367">'Question_Bank'!J359</f>
        <v>0</v>
      </c>
      <c r="K367" s="131" cm="1">
        <f t="array" ref="K367">'Question_Bank'!K359</f>
        <v>0</v>
      </c>
      <c r="L367" s="131" cm="1">
        <f t="array" ref="L367">'Question_Bank'!L359</f>
        <v>0</v>
      </c>
      <c r="M367" s="132"/>
      <c r="N367" t="str" s="97" cm="1">
        <f t="array" ref="N367">IF(M367="","",IF(F367="MCQ",IF(UPPER(M367)=UPPER(L367),1,0),IF(O367="Yes",6-VALUE(M367),VALUE(M367))))</f>
      </c>
      <c r="O367" t="str" s="97" cm="1">
        <f t="array" ref="O367">'Question_Bank'!N359</f>
        <v>No</v>
      </c>
      <c r="P367" s="133" cm="1">
        <f t="array" ref="P367">IF(F367="MCQ",1,5)</f>
        <v>5</v>
      </c>
    </row>
    <row r="368" ht="42" customHeight="1">
      <c r="A368" t="str" s="130" cm="1">
        <f t="array" ref="A368">'Question_Bank'!A360</f>
        <v>NPI0356</v>
      </c>
      <c r="B368" t="str" s="97" cm="1">
        <f t="array" ref="B368">'Question_Bank'!B360</f>
        <v>8-12</v>
      </c>
      <c r="C368" t="str" s="97" cm="1">
        <f t="array" ref="C368">'Question_Bank'!C360</f>
        <v>Emotional Profile</v>
      </c>
      <c r="D368" t="str" s="97" cm="1">
        <f t="array" ref="D368">'Question_Bank'!D360</f>
        <v>Resilience</v>
      </c>
      <c r="E368" t="str" s="97" cm="1">
        <f t="array" ref="E368">'Question_Bank'!E360</f>
        <v>Resilience</v>
      </c>
      <c r="F368" t="str" s="97" cm="1">
        <f t="array" ref="F368">'Question_Bank'!F360</f>
        <v>Likert</v>
      </c>
      <c r="G368" t="str" s="97" cm="1">
        <f t="array" ref="G368">'Question_Bank'!G360</f>
        <v>I try again after failure.</v>
      </c>
      <c r="H368" s="131" cm="1">
        <f t="array" ref="H368">'Question_Bank'!H360</f>
        <v>0</v>
      </c>
      <c r="I368" s="131" cm="1">
        <f t="array" ref="I368">'Question_Bank'!I360</f>
        <v>0</v>
      </c>
      <c r="J368" s="131" cm="1">
        <f t="array" ref="J368">'Question_Bank'!J360</f>
        <v>0</v>
      </c>
      <c r="K368" s="131" cm="1">
        <f t="array" ref="K368">'Question_Bank'!K360</f>
        <v>0</v>
      </c>
      <c r="L368" s="131" cm="1">
        <f t="array" ref="L368">'Question_Bank'!L360</f>
        <v>0</v>
      </c>
      <c r="M368" s="132"/>
      <c r="N368" t="str" s="97" cm="1">
        <f t="array" ref="N368">IF(M368="","",IF(F368="MCQ",IF(UPPER(M368)=UPPER(L368),1,0),IF(O368="Yes",6-VALUE(M368),VALUE(M368))))</f>
      </c>
      <c r="O368" t="str" s="97" cm="1">
        <f t="array" ref="O368">'Question_Bank'!N360</f>
        <v>No</v>
      </c>
      <c r="P368" s="133" cm="1">
        <f t="array" ref="P368">IF(F368="MCQ",1,5)</f>
        <v>5</v>
      </c>
    </row>
    <row r="369" ht="42" customHeight="1">
      <c r="A369" t="str" s="130" cm="1">
        <f t="array" ref="A369">'Question_Bank'!A361</f>
        <v>NPI0357</v>
      </c>
      <c r="B369" t="str" s="97" cm="1">
        <f t="array" ref="B369">'Question_Bank'!B361</f>
        <v>8-12</v>
      </c>
      <c r="C369" t="str" s="97" cm="1">
        <f t="array" ref="C369">'Question_Bank'!C361</f>
        <v>Emotional Profile</v>
      </c>
      <c r="D369" t="str" s="97" cm="1">
        <f t="array" ref="D369">'Question_Bank'!D361</f>
        <v>Resilience</v>
      </c>
      <c r="E369" t="str" s="97" cm="1">
        <f t="array" ref="E369">'Question_Bank'!E361</f>
        <v>Resilience</v>
      </c>
      <c r="F369" t="str" s="97" cm="1">
        <f t="array" ref="F369">'Question_Bank'!F361</f>
        <v>Likert</v>
      </c>
      <c r="G369" t="str" s="97" cm="1">
        <f t="array" ref="G369">'Question_Bank'!G361</f>
        <v>I learn from mistakes.</v>
      </c>
      <c r="H369" s="131" cm="1">
        <f t="array" ref="H369">'Question_Bank'!H361</f>
        <v>0</v>
      </c>
      <c r="I369" s="131" cm="1">
        <f t="array" ref="I369">'Question_Bank'!I361</f>
        <v>0</v>
      </c>
      <c r="J369" s="131" cm="1">
        <f t="array" ref="J369">'Question_Bank'!J361</f>
        <v>0</v>
      </c>
      <c r="K369" s="131" cm="1">
        <f t="array" ref="K369">'Question_Bank'!K361</f>
        <v>0</v>
      </c>
      <c r="L369" s="131" cm="1">
        <f t="array" ref="L369">'Question_Bank'!L361</f>
        <v>0</v>
      </c>
      <c r="M369" s="132"/>
      <c r="N369" t="str" s="97" cm="1">
        <f t="array" ref="N369">IF(M369="","",IF(F369="MCQ",IF(UPPER(M369)=UPPER(L369),1,0),IF(O369="Yes",6-VALUE(M369),VALUE(M369))))</f>
      </c>
      <c r="O369" t="str" s="97" cm="1">
        <f t="array" ref="O369">'Question_Bank'!N361</f>
        <v>No</v>
      </c>
      <c r="P369" s="133" cm="1">
        <f t="array" ref="P369">IF(F369="MCQ",1,5)</f>
        <v>5</v>
      </c>
    </row>
    <row r="370" ht="42" customHeight="1">
      <c r="A370" t="str" s="130" cm="1">
        <f t="array" ref="A370">'Question_Bank'!A362</f>
        <v>NPI0358</v>
      </c>
      <c r="B370" t="str" s="97" cm="1">
        <f t="array" ref="B370">'Question_Bank'!B362</f>
        <v>8-12</v>
      </c>
      <c r="C370" t="str" s="97" cm="1">
        <f t="array" ref="C370">'Question_Bank'!C362</f>
        <v>Emotional Profile</v>
      </c>
      <c r="D370" t="str" s="97" cm="1">
        <f t="array" ref="D370">'Question_Bank'!D362</f>
        <v>Resilience</v>
      </c>
      <c r="E370" t="str" s="97" cm="1">
        <f t="array" ref="E370">'Question_Bank'!E362</f>
        <v>Resilience</v>
      </c>
      <c r="F370" t="str" s="97" cm="1">
        <f t="array" ref="F370">'Question_Bank'!F362</f>
        <v>Likert</v>
      </c>
      <c r="G370" t="str" s="97" cm="1">
        <f t="array" ref="G370">'Question_Bank'!G362</f>
        <v>I keep going when difficult.</v>
      </c>
      <c r="H370" s="131" cm="1">
        <f t="array" ref="H370">'Question_Bank'!H362</f>
        <v>0</v>
      </c>
      <c r="I370" s="131" cm="1">
        <f t="array" ref="I370">'Question_Bank'!I362</f>
        <v>0</v>
      </c>
      <c r="J370" s="131" cm="1">
        <f t="array" ref="J370">'Question_Bank'!J362</f>
        <v>0</v>
      </c>
      <c r="K370" s="131" cm="1">
        <f t="array" ref="K370">'Question_Bank'!K362</f>
        <v>0</v>
      </c>
      <c r="L370" s="131" cm="1">
        <f t="array" ref="L370">'Question_Bank'!L362</f>
        <v>0</v>
      </c>
      <c r="M370" s="132"/>
      <c r="N370" t="str" s="97" cm="1">
        <f t="array" ref="N370">IF(M370="","",IF(F370="MCQ",IF(UPPER(M370)=UPPER(L370),1,0),IF(O370="Yes",6-VALUE(M370),VALUE(M370))))</f>
      </c>
      <c r="O370" t="str" s="97" cm="1">
        <f t="array" ref="O370">'Question_Bank'!N362</f>
        <v>No</v>
      </c>
      <c r="P370" s="133" cm="1">
        <f t="array" ref="P370">IF(F370="MCQ",1,5)</f>
        <v>5</v>
      </c>
    </row>
    <row r="371" ht="42" customHeight="1">
      <c r="A371" t="str" s="130" cm="1">
        <f t="array" ref="A371">'Question_Bank'!A363</f>
        <v>NPI0359</v>
      </c>
      <c r="B371" t="str" s="97" cm="1">
        <f t="array" ref="B371">'Question_Bank'!B363</f>
        <v>8-12</v>
      </c>
      <c r="C371" t="str" s="97" cm="1">
        <f t="array" ref="C371">'Question_Bank'!C363</f>
        <v>Emotional Profile</v>
      </c>
      <c r="D371" t="str" s="97" cm="1">
        <f t="array" ref="D371">'Question_Bank'!D363</f>
        <v>Resilience</v>
      </c>
      <c r="E371" t="str" s="97" cm="1">
        <f t="array" ref="E371">'Question_Bank'!E363</f>
        <v>Resilience</v>
      </c>
      <c r="F371" t="str" s="97" cm="1">
        <f t="array" ref="F371">'Question_Bank'!F363</f>
        <v>Likert</v>
      </c>
      <c r="G371" t="str" s="97" cm="1">
        <f t="array" ref="G371">'Question_Bank'!G363</f>
        <v>I ask help after struggling.</v>
      </c>
      <c r="H371" s="131" cm="1">
        <f t="array" ref="H371">'Question_Bank'!H363</f>
        <v>0</v>
      </c>
      <c r="I371" s="131" cm="1">
        <f t="array" ref="I371">'Question_Bank'!I363</f>
        <v>0</v>
      </c>
      <c r="J371" s="131" cm="1">
        <f t="array" ref="J371">'Question_Bank'!J363</f>
        <v>0</v>
      </c>
      <c r="K371" s="131" cm="1">
        <f t="array" ref="K371">'Question_Bank'!K363</f>
        <v>0</v>
      </c>
      <c r="L371" s="131" cm="1">
        <f t="array" ref="L371">'Question_Bank'!L363</f>
        <v>0</v>
      </c>
      <c r="M371" s="132"/>
      <c r="N371" t="str" s="97" cm="1">
        <f t="array" ref="N371">IF(M371="","",IF(F371="MCQ",IF(UPPER(M371)=UPPER(L371),1,0),IF(O371="Yes",6-VALUE(M371),VALUE(M371))))</f>
      </c>
      <c r="O371" t="str" s="97" cm="1">
        <f t="array" ref="O371">'Question_Bank'!N363</f>
        <v>No</v>
      </c>
      <c r="P371" s="133" cm="1">
        <f t="array" ref="P371">IF(F371="MCQ",1,5)</f>
        <v>5</v>
      </c>
    </row>
    <row r="372" ht="42" customHeight="1">
      <c r="A372" t="str" s="130" cm="1">
        <f t="array" ref="A372">'Question_Bank'!A364</f>
        <v>NPI0360</v>
      </c>
      <c r="B372" t="str" s="97" cm="1">
        <f t="array" ref="B372">'Question_Bank'!B364</f>
        <v>8-12</v>
      </c>
      <c r="C372" t="str" s="97" cm="1">
        <f t="array" ref="C372">'Question_Bank'!C364</f>
        <v>Emotional Profile</v>
      </c>
      <c r="D372" t="str" s="97" cm="1">
        <f t="array" ref="D372">'Question_Bank'!D364</f>
        <v>Resilience</v>
      </c>
      <c r="E372" t="str" s="97" cm="1">
        <f t="array" ref="E372">'Question_Bank'!E364</f>
        <v>Resilience</v>
      </c>
      <c r="F372" t="str" s="97" cm="1">
        <f t="array" ref="F372">'Question_Bank'!F364</f>
        <v>Likert</v>
      </c>
      <c r="G372" t="str" s="97" cm="1">
        <f t="array" ref="G372">'Question_Bank'!G364</f>
        <v>I recover after disappointment.</v>
      </c>
      <c r="H372" s="131" cm="1">
        <f t="array" ref="H372">'Question_Bank'!H364</f>
        <v>0</v>
      </c>
      <c r="I372" s="131" cm="1">
        <f t="array" ref="I372">'Question_Bank'!I364</f>
        <v>0</v>
      </c>
      <c r="J372" s="131" cm="1">
        <f t="array" ref="J372">'Question_Bank'!J364</f>
        <v>0</v>
      </c>
      <c r="K372" s="131" cm="1">
        <f t="array" ref="K372">'Question_Bank'!K364</f>
        <v>0</v>
      </c>
      <c r="L372" s="131" cm="1">
        <f t="array" ref="L372">'Question_Bank'!L364</f>
        <v>0</v>
      </c>
      <c r="M372" s="132"/>
      <c r="N372" t="str" s="97" cm="1">
        <f t="array" ref="N372">IF(M372="","",IF(F372="MCQ",IF(UPPER(M372)=UPPER(L372),1,0),IF(O372="Yes",6-VALUE(M372),VALUE(M372))))</f>
      </c>
      <c r="O372" t="str" s="97" cm="1">
        <f t="array" ref="O372">'Question_Bank'!N364</f>
        <v>No</v>
      </c>
      <c r="P372" s="133" cm="1">
        <f t="array" ref="P372">IF(F372="MCQ",1,5)</f>
        <v>5</v>
      </c>
    </row>
    <row r="373" ht="42" customHeight="1">
      <c r="A373" t="str" s="130" cm="1">
        <f t="array" ref="A373">'Question_Bank'!A365</f>
        <v>NPI0361</v>
      </c>
      <c r="B373" t="str" s="97" cm="1">
        <f t="array" ref="B373">'Question_Bank'!B365</f>
        <v>8-12</v>
      </c>
      <c r="C373" t="str" s="97" cm="1">
        <f t="array" ref="C373">'Question_Bank'!C365</f>
        <v>Emotional Profile</v>
      </c>
      <c r="D373" t="str" s="97" cm="1">
        <f t="array" ref="D373">'Question_Bank'!D365</f>
        <v>Resilience</v>
      </c>
      <c r="E373" t="str" s="97" cm="1">
        <f t="array" ref="E373">'Question_Bank'!E365</f>
        <v>Resilience</v>
      </c>
      <c r="F373" t="str" s="97" cm="1">
        <f t="array" ref="F373">'Question_Bank'!F365</f>
        <v>Likert</v>
      </c>
      <c r="G373" t="str" s="97" cm="1">
        <f t="array" ref="G373">'Question_Bank'!G365</f>
        <v>I break problems into steps.</v>
      </c>
      <c r="H373" s="131" cm="1">
        <f t="array" ref="H373">'Question_Bank'!H365</f>
        <v>0</v>
      </c>
      <c r="I373" s="131" cm="1">
        <f t="array" ref="I373">'Question_Bank'!I365</f>
        <v>0</v>
      </c>
      <c r="J373" s="131" cm="1">
        <f t="array" ref="J373">'Question_Bank'!J365</f>
        <v>0</v>
      </c>
      <c r="K373" s="131" cm="1">
        <f t="array" ref="K373">'Question_Bank'!K365</f>
        <v>0</v>
      </c>
      <c r="L373" s="131" cm="1">
        <f t="array" ref="L373">'Question_Bank'!L365</f>
        <v>0</v>
      </c>
      <c r="M373" s="132"/>
      <c r="N373" t="str" s="97" cm="1">
        <f t="array" ref="N373">IF(M373="","",IF(F373="MCQ",IF(UPPER(M373)=UPPER(L373),1,0),IF(O373="Yes",6-VALUE(M373),VALUE(M373))))</f>
      </c>
      <c r="O373" t="str" s="97" cm="1">
        <f t="array" ref="O373">'Question_Bank'!N365</f>
        <v>No</v>
      </c>
      <c r="P373" s="133" cm="1">
        <f t="array" ref="P373">IF(F373="MCQ",1,5)</f>
        <v>5</v>
      </c>
    </row>
    <row r="374" ht="42" customHeight="1">
      <c r="A374" t="str" s="130" cm="1">
        <f t="array" ref="A374">'Question_Bank'!A366</f>
        <v>NPI0362</v>
      </c>
      <c r="B374" t="str" s="97" cm="1">
        <f t="array" ref="B374">'Question_Bank'!B366</f>
        <v>8-12</v>
      </c>
      <c r="C374" t="str" s="97" cm="1">
        <f t="array" ref="C374">'Question_Bank'!C366</f>
        <v>Emotional Profile</v>
      </c>
      <c r="D374" t="str" s="97" cm="1">
        <f t="array" ref="D374">'Question_Bank'!D366</f>
        <v>Resilience</v>
      </c>
      <c r="E374" t="str" s="97" cm="1">
        <f t="array" ref="E374">'Question_Bank'!E366</f>
        <v>Resilience</v>
      </c>
      <c r="F374" t="str" s="97" cm="1">
        <f t="array" ref="F374">'Question_Bank'!F366</f>
        <v>Likert</v>
      </c>
      <c r="G374" t="str" s="97" cm="1">
        <f t="array" ref="G374">'Question_Bank'!G366</f>
        <v>I stay motivated after feedback.</v>
      </c>
      <c r="H374" s="131" cm="1">
        <f t="array" ref="H374">'Question_Bank'!H366</f>
        <v>0</v>
      </c>
      <c r="I374" s="131" cm="1">
        <f t="array" ref="I374">'Question_Bank'!I366</f>
        <v>0</v>
      </c>
      <c r="J374" s="131" cm="1">
        <f t="array" ref="J374">'Question_Bank'!J366</f>
        <v>0</v>
      </c>
      <c r="K374" s="131" cm="1">
        <f t="array" ref="K374">'Question_Bank'!K366</f>
        <v>0</v>
      </c>
      <c r="L374" s="131" cm="1">
        <f t="array" ref="L374">'Question_Bank'!L366</f>
        <v>0</v>
      </c>
      <c r="M374" s="132"/>
      <c r="N374" t="str" s="97" cm="1">
        <f t="array" ref="N374">IF(M374="","",IF(F374="MCQ",IF(UPPER(M374)=UPPER(L374),1,0),IF(O374="Yes",6-VALUE(M374),VALUE(M374))))</f>
      </c>
      <c r="O374" t="str" s="97" cm="1">
        <f t="array" ref="O374">'Question_Bank'!N366</f>
        <v>No</v>
      </c>
      <c r="P374" s="133" cm="1">
        <f t="array" ref="P374">IF(F374="MCQ",1,5)</f>
        <v>5</v>
      </c>
    </row>
    <row r="375" ht="42" customHeight="1">
      <c r="A375" t="str" s="130" cm="1">
        <f t="array" ref="A375">'Question_Bank'!A367</f>
        <v>NPI0363</v>
      </c>
      <c r="B375" t="str" s="97" cm="1">
        <f t="array" ref="B375">'Question_Bank'!B367</f>
        <v>8-12</v>
      </c>
      <c r="C375" t="str" s="97" cm="1">
        <f t="array" ref="C375">'Question_Bank'!C367</f>
        <v>Emotional Profile</v>
      </c>
      <c r="D375" t="str" s="97" cm="1">
        <f t="array" ref="D375">'Question_Bank'!D367</f>
        <v>Resilience</v>
      </c>
      <c r="E375" t="str" s="97" cm="1">
        <f t="array" ref="E375">'Question_Bank'!E367</f>
        <v>Resilience</v>
      </c>
      <c r="F375" t="str" s="97" cm="1">
        <f t="array" ref="F375">'Question_Bank'!F367</f>
        <v>Likert</v>
      </c>
      <c r="G375" t="str" s="97" cm="1">
        <f t="array" ref="G375">'Question_Bank'!G367</f>
        <v>I rebuild confidence after poor marks.</v>
      </c>
      <c r="H375" s="131" cm="1">
        <f t="array" ref="H375">'Question_Bank'!H367</f>
        <v>0</v>
      </c>
      <c r="I375" s="131" cm="1">
        <f t="array" ref="I375">'Question_Bank'!I367</f>
        <v>0</v>
      </c>
      <c r="J375" s="131" cm="1">
        <f t="array" ref="J375">'Question_Bank'!J367</f>
        <v>0</v>
      </c>
      <c r="K375" s="131" cm="1">
        <f t="array" ref="K375">'Question_Bank'!K367</f>
        <v>0</v>
      </c>
      <c r="L375" s="131" cm="1">
        <f t="array" ref="L375">'Question_Bank'!L367</f>
        <v>0</v>
      </c>
      <c r="M375" s="132"/>
      <c r="N375" t="str" s="97" cm="1">
        <f t="array" ref="N375">IF(M375="","",IF(F375="MCQ",IF(UPPER(M375)=UPPER(L375),1,0),IF(O375="Yes",6-VALUE(M375),VALUE(M375))))</f>
      </c>
      <c r="O375" t="str" s="97" cm="1">
        <f t="array" ref="O375">'Question_Bank'!N367</f>
        <v>No</v>
      </c>
      <c r="P375" s="133" cm="1">
        <f t="array" ref="P375">IF(F375="MCQ",1,5)</f>
        <v>5</v>
      </c>
    </row>
    <row r="376" ht="42" customHeight="1">
      <c r="A376" t="str" s="130" cm="1">
        <f t="array" ref="A376">'Question_Bank'!A368</f>
        <v>NPI0364</v>
      </c>
      <c r="B376" t="str" s="97" cm="1">
        <f t="array" ref="B376">'Question_Bank'!B368</f>
        <v>8-12</v>
      </c>
      <c r="C376" t="str" s="97" cm="1">
        <f t="array" ref="C376">'Question_Bank'!C368</f>
        <v>Emotional Profile</v>
      </c>
      <c r="D376" t="str" s="97" cm="1">
        <f t="array" ref="D376">'Question_Bank'!D368</f>
        <v>Resilience</v>
      </c>
      <c r="E376" t="str" s="97" cm="1">
        <f t="array" ref="E376">'Question_Bank'!E368</f>
        <v>Resilience</v>
      </c>
      <c r="F376" t="str" s="97" cm="1">
        <f t="array" ref="F376">'Question_Bank'!F368</f>
        <v>Likert</v>
      </c>
      <c r="G376" t="str" s="97" cm="1">
        <f t="array" ref="G376">'Question_Bank'!G368</f>
        <v>I see challenges as practice.</v>
      </c>
      <c r="H376" s="131" cm="1">
        <f t="array" ref="H376">'Question_Bank'!H368</f>
        <v>0</v>
      </c>
      <c r="I376" s="131" cm="1">
        <f t="array" ref="I376">'Question_Bank'!I368</f>
        <v>0</v>
      </c>
      <c r="J376" s="131" cm="1">
        <f t="array" ref="J376">'Question_Bank'!J368</f>
        <v>0</v>
      </c>
      <c r="K376" s="131" cm="1">
        <f t="array" ref="K376">'Question_Bank'!K368</f>
        <v>0</v>
      </c>
      <c r="L376" s="131" cm="1">
        <f t="array" ref="L376">'Question_Bank'!L368</f>
        <v>0</v>
      </c>
      <c r="M376" s="132"/>
      <c r="N376" t="str" s="97" cm="1">
        <f t="array" ref="N376">IF(M376="","",IF(F376="MCQ",IF(UPPER(M376)=UPPER(L376),1,0),IF(O376="Yes",6-VALUE(M376),VALUE(M376))))</f>
      </c>
      <c r="O376" t="str" s="97" cm="1">
        <f t="array" ref="O376">'Question_Bank'!N368</f>
        <v>No</v>
      </c>
      <c r="P376" s="133" cm="1">
        <f t="array" ref="P376">IF(F376="MCQ",1,5)</f>
        <v>5</v>
      </c>
    </row>
    <row r="377" ht="42" customHeight="1">
      <c r="A377" t="str" s="130" cm="1">
        <f t="array" ref="A377">'Question_Bank'!A369</f>
        <v>NPI0365</v>
      </c>
      <c r="B377" t="str" s="97" cm="1">
        <f t="array" ref="B377">'Question_Bank'!B369</f>
        <v>8-12</v>
      </c>
      <c r="C377" t="str" s="97" cm="1">
        <f t="array" ref="C377">'Question_Bank'!C369</f>
        <v>Emotional Profile</v>
      </c>
      <c r="D377" t="str" s="97" cm="1">
        <f t="array" ref="D377">'Question_Bank'!D369</f>
        <v>Resilience</v>
      </c>
      <c r="E377" t="str" s="97" cm="1">
        <f t="array" ref="E377">'Question_Bank'!E369</f>
        <v>Resilience</v>
      </c>
      <c r="F377" t="str" s="97" cm="1">
        <f t="array" ref="F377">'Question_Bank'!F369</f>
        <v>Likert</v>
      </c>
      <c r="G377" t="str" s="97" cm="1">
        <f t="array" ref="G377">'Question_Bank'!G369</f>
        <v>I try different strategies.</v>
      </c>
      <c r="H377" s="131" cm="1">
        <f t="array" ref="H377">'Question_Bank'!H369</f>
        <v>0</v>
      </c>
      <c r="I377" s="131" cm="1">
        <f t="array" ref="I377">'Question_Bank'!I369</f>
        <v>0</v>
      </c>
      <c r="J377" s="131" cm="1">
        <f t="array" ref="J377">'Question_Bank'!J369</f>
        <v>0</v>
      </c>
      <c r="K377" s="131" cm="1">
        <f t="array" ref="K377">'Question_Bank'!K369</f>
        <v>0</v>
      </c>
      <c r="L377" s="131" cm="1">
        <f t="array" ref="L377">'Question_Bank'!L369</f>
        <v>0</v>
      </c>
      <c r="M377" s="132"/>
      <c r="N377" t="str" s="97" cm="1">
        <f t="array" ref="N377">IF(M377="","",IF(F377="MCQ",IF(UPPER(M377)=UPPER(L377),1,0),IF(O377="Yes",6-VALUE(M377),VALUE(M377))))</f>
      </c>
      <c r="O377" t="str" s="97" cm="1">
        <f t="array" ref="O377">'Question_Bank'!N369</f>
        <v>No</v>
      </c>
      <c r="P377" s="133" cm="1">
        <f t="array" ref="P377">IF(F377="MCQ",1,5)</f>
        <v>5</v>
      </c>
    </row>
    <row r="378" ht="42" customHeight="1">
      <c r="A378" t="str" s="130" cm="1">
        <f t="array" ref="A378">'Question_Bank'!A370</f>
        <v>NPI0366</v>
      </c>
      <c r="B378" t="str" s="97" cm="1">
        <f t="array" ref="B378">'Question_Bank'!B370</f>
        <v>8-12</v>
      </c>
      <c r="C378" t="str" s="97" cm="1">
        <f t="array" ref="C378">'Question_Bank'!C370</f>
        <v>Emotional Profile</v>
      </c>
      <c r="D378" t="str" s="97" cm="1">
        <f t="array" ref="D378">'Question_Bank'!D370</f>
        <v>Resilience</v>
      </c>
      <c r="E378" t="str" s="97" cm="1">
        <f t="array" ref="E378">'Question_Bank'!E370</f>
        <v>Resilience</v>
      </c>
      <c r="F378" t="str" s="97" cm="1">
        <f t="array" ref="F378">'Question_Bank'!F370</f>
        <v>Likert</v>
      </c>
      <c r="G378" t="str" s="97" cm="1">
        <f t="array" ref="G378">'Question_Bank'!G370</f>
        <v>I continue after criticism.</v>
      </c>
      <c r="H378" s="131" cm="1">
        <f t="array" ref="H378">'Question_Bank'!H370</f>
        <v>0</v>
      </c>
      <c r="I378" s="131" cm="1">
        <f t="array" ref="I378">'Question_Bank'!I370</f>
        <v>0</v>
      </c>
      <c r="J378" s="131" cm="1">
        <f t="array" ref="J378">'Question_Bank'!J370</f>
        <v>0</v>
      </c>
      <c r="K378" s="131" cm="1">
        <f t="array" ref="K378">'Question_Bank'!K370</f>
        <v>0</v>
      </c>
      <c r="L378" s="131" cm="1">
        <f t="array" ref="L378">'Question_Bank'!L370</f>
        <v>0</v>
      </c>
      <c r="M378" s="132"/>
      <c r="N378" t="str" s="97" cm="1">
        <f t="array" ref="N378">IF(M378="","",IF(F378="MCQ",IF(UPPER(M378)=UPPER(L378),1,0),IF(O378="Yes",6-VALUE(M378),VALUE(M378))))</f>
      </c>
      <c r="O378" t="str" s="97" cm="1">
        <f t="array" ref="O378">'Question_Bank'!N370</f>
        <v>No</v>
      </c>
      <c r="P378" s="133" cm="1">
        <f t="array" ref="P378">IF(F378="MCQ",1,5)</f>
        <v>5</v>
      </c>
    </row>
    <row r="379" ht="42" customHeight="1">
      <c r="A379" t="str" s="130" cm="1">
        <f t="array" ref="A379">'Question_Bank'!A371</f>
        <v>NPI0367</v>
      </c>
      <c r="B379" t="str" s="97" cm="1">
        <f t="array" ref="B379">'Question_Bank'!B371</f>
        <v>8-12</v>
      </c>
      <c r="C379" t="str" s="97" cm="1">
        <f t="array" ref="C379">'Question_Bank'!C371</f>
        <v>Emotional Profile</v>
      </c>
      <c r="D379" t="str" s="97" cm="1">
        <f t="array" ref="D379">'Question_Bank'!D371</f>
        <v>Resilience</v>
      </c>
      <c r="E379" t="str" s="97" cm="1">
        <f t="array" ref="E379">'Question_Bank'!E371</f>
        <v>Resilience</v>
      </c>
      <c r="F379" t="str" s="97" cm="1">
        <f t="array" ref="F379">'Question_Bank'!F371</f>
        <v>Likert</v>
      </c>
      <c r="G379" t="str" s="97" cm="1">
        <f t="array" ref="G379">'Question_Bank'!G371</f>
        <v>I celebrate small progress.</v>
      </c>
      <c r="H379" s="131" cm="1">
        <f t="array" ref="H379">'Question_Bank'!H371</f>
        <v>0</v>
      </c>
      <c r="I379" s="131" cm="1">
        <f t="array" ref="I379">'Question_Bank'!I371</f>
        <v>0</v>
      </c>
      <c r="J379" s="131" cm="1">
        <f t="array" ref="J379">'Question_Bank'!J371</f>
        <v>0</v>
      </c>
      <c r="K379" s="131" cm="1">
        <f t="array" ref="K379">'Question_Bank'!K371</f>
        <v>0</v>
      </c>
      <c r="L379" s="131" cm="1">
        <f t="array" ref="L379">'Question_Bank'!L371</f>
        <v>0</v>
      </c>
      <c r="M379" s="132"/>
      <c r="N379" t="str" s="97" cm="1">
        <f t="array" ref="N379">IF(M379="","",IF(F379="MCQ",IF(UPPER(M379)=UPPER(L379),1,0),IF(O379="Yes",6-VALUE(M379),VALUE(M379))))</f>
      </c>
      <c r="O379" t="str" s="97" cm="1">
        <f t="array" ref="O379">'Question_Bank'!N371</f>
        <v>No</v>
      </c>
      <c r="P379" s="133" cm="1">
        <f t="array" ref="P379">IF(F379="MCQ",1,5)</f>
        <v>5</v>
      </c>
    </row>
    <row r="380" ht="42" customHeight="1">
      <c r="A380" t="str" s="130" cm="1">
        <f t="array" ref="A380">'Question_Bank'!A372</f>
        <v>NPI0368</v>
      </c>
      <c r="B380" t="str" s="97" cm="1">
        <f t="array" ref="B380">'Question_Bank'!B372</f>
        <v>8-12</v>
      </c>
      <c r="C380" t="str" s="97" cm="1">
        <f t="array" ref="C380">'Question_Bank'!C372</f>
        <v>Emotional Profile</v>
      </c>
      <c r="D380" t="str" s="97" cm="1">
        <f t="array" ref="D380">'Question_Bank'!D372</f>
        <v>Resilience</v>
      </c>
      <c r="E380" t="str" s="97" cm="1">
        <f t="array" ref="E380">'Question_Bank'!E372</f>
        <v>Resilience</v>
      </c>
      <c r="F380" t="str" s="97" cm="1">
        <f t="array" ref="F380">'Question_Bank'!F372</f>
        <v>Likert</v>
      </c>
      <c r="G380" t="str" s="97" cm="1">
        <f t="array" ref="G380">'Question_Bank'!G372</f>
        <v>I handle temporary disappointment.</v>
      </c>
      <c r="H380" s="131" cm="1">
        <f t="array" ref="H380">'Question_Bank'!H372</f>
        <v>0</v>
      </c>
      <c r="I380" s="131" cm="1">
        <f t="array" ref="I380">'Question_Bank'!I372</f>
        <v>0</v>
      </c>
      <c r="J380" s="131" cm="1">
        <f t="array" ref="J380">'Question_Bank'!J372</f>
        <v>0</v>
      </c>
      <c r="K380" s="131" cm="1">
        <f t="array" ref="K380">'Question_Bank'!K372</f>
        <v>0</v>
      </c>
      <c r="L380" s="131" cm="1">
        <f t="array" ref="L380">'Question_Bank'!L372</f>
        <v>0</v>
      </c>
      <c r="M380" s="132"/>
      <c r="N380" t="str" s="97" cm="1">
        <f t="array" ref="N380">IF(M380="","",IF(F380="MCQ",IF(UPPER(M380)=UPPER(L380),1,0),IF(O380="Yes",6-VALUE(M380),VALUE(M380))))</f>
      </c>
      <c r="O380" t="str" s="97" cm="1">
        <f t="array" ref="O380">'Question_Bank'!N372</f>
        <v>No</v>
      </c>
      <c r="P380" s="133" cm="1">
        <f t="array" ref="P380">IF(F380="MCQ",1,5)</f>
        <v>5</v>
      </c>
    </row>
    <row r="381" ht="42" customHeight="1">
      <c r="A381" t="str" s="130" cm="1">
        <f t="array" ref="A381">'Question_Bank'!A373</f>
        <v>NPI0369</v>
      </c>
      <c r="B381" t="str" s="97" cm="1">
        <f t="array" ref="B381">'Question_Bank'!B373</f>
        <v>8-12</v>
      </c>
      <c r="C381" t="str" s="97" cm="1">
        <f t="array" ref="C381">'Question_Bank'!C373</f>
        <v>Emotional Profile</v>
      </c>
      <c r="D381" t="str" s="97" cm="1">
        <f t="array" ref="D381">'Question_Bank'!D373</f>
        <v>Resilience</v>
      </c>
      <c r="E381" t="str" s="97" cm="1">
        <f t="array" ref="E381">'Question_Bank'!E373</f>
        <v>Resilience</v>
      </c>
      <c r="F381" t="str" s="97" cm="1">
        <f t="array" ref="F381">'Question_Bank'!F373</f>
        <v>Likert</v>
      </c>
      <c r="G381" t="str" s="97" cm="1">
        <f t="array" ref="G381">'Question_Bank'!G373</f>
        <v>I believe effort changes outcomes.</v>
      </c>
      <c r="H381" s="131" cm="1">
        <f t="array" ref="H381">'Question_Bank'!H373</f>
        <v>0</v>
      </c>
      <c r="I381" s="131" cm="1">
        <f t="array" ref="I381">'Question_Bank'!I373</f>
        <v>0</v>
      </c>
      <c r="J381" s="131" cm="1">
        <f t="array" ref="J381">'Question_Bank'!J373</f>
        <v>0</v>
      </c>
      <c r="K381" s="131" cm="1">
        <f t="array" ref="K381">'Question_Bank'!K373</f>
        <v>0</v>
      </c>
      <c r="L381" s="131" cm="1">
        <f t="array" ref="L381">'Question_Bank'!L373</f>
        <v>0</v>
      </c>
      <c r="M381" s="132"/>
      <c r="N381" t="str" s="97" cm="1">
        <f t="array" ref="N381">IF(M381="","",IF(F381="MCQ",IF(UPPER(M381)=UPPER(L381),1,0),IF(O381="Yes",6-VALUE(M381),VALUE(M381))))</f>
      </c>
      <c r="O381" t="str" s="97" cm="1">
        <f t="array" ref="O381">'Question_Bank'!N373</f>
        <v>No</v>
      </c>
      <c r="P381" s="133" cm="1">
        <f t="array" ref="P381">IF(F381="MCQ",1,5)</f>
        <v>5</v>
      </c>
    </row>
    <row r="382" ht="42" customHeight="1">
      <c r="A382" t="str" s="130" cm="1">
        <f t="array" ref="A382">'Question_Bank'!A374</f>
        <v>NPI0370</v>
      </c>
      <c r="B382" t="str" s="97" cm="1">
        <f t="array" ref="B382">'Question_Bank'!B374</f>
        <v>8-12</v>
      </c>
      <c r="C382" t="str" s="97" cm="1">
        <f t="array" ref="C382">'Question_Bank'!C374</f>
        <v>Emotional Profile</v>
      </c>
      <c r="D382" t="str" s="97" cm="1">
        <f t="array" ref="D382">'Question_Bank'!D374</f>
        <v>Resilience</v>
      </c>
      <c r="E382" t="str" s="97" cm="1">
        <f t="array" ref="E382">'Question_Bank'!E374</f>
        <v>Resilience</v>
      </c>
      <c r="F382" t="str" s="97" cm="1">
        <f t="array" ref="F382">'Question_Bank'!F374</f>
        <v>Likert</v>
      </c>
      <c r="G382" t="str" s="97" cm="1">
        <f t="array" ref="G382">'Question_Bank'!G374</f>
        <v>I return to a topic after difficulty.</v>
      </c>
      <c r="H382" s="131" cm="1">
        <f t="array" ref="H382">'Question_Bank'!H374</f>
        <v>0</v>
      </c>
      <c r="I382" s="131" cm="1">
        <f t="array" ref="I382">'Question_Bank'!I374</f>
        <v>0</v>
      </c>
      <c r="J382" s="131" cm="1">
        <f t="array" ref="J382">'Question_Bank'!J374</f>
        <v>0</v>
      </c>
      <c r="K382" s="131" cm="1">
        <f t="array" ref="K382">'Question_Bank'!K374</f>
        <v>0</v>
      </c>
      <c r="L382" s="131" cm="1">
        <f t="array" ref="L382">'Question_Bank'!L374</f>
        <v>0</v>
      </c>
      <c r="M382" s="132"/>
      <c r="N382" t="str" s="97" cm="1">
        <f t="array" ref="N382">IF(M382="","",IF(F382="MCQ",IF(UPPER(M382)=UPPER(L382),1,0),IF(O382="Yes",6-VALUE(M382),VALUE(M382))))</f>
      </c>
      <c r="O382" t="str" s="97" cm="1">
        <f t="array" ref="O382">'Question_Bank'!N374</f>
        <v>No</v>
      </c>
      <c r="P382" s="133" cm="1">
        <f t="array" ref="P382">IF(F382="MCQ",1,5)</f>
        <v>5</v>
      </c>
    </row>
    <row r="383" ht="42" customHeight="1">
      <c r="A383" t="str" s="130" cm="1">
        <f t="array" ref="A383">'Question_Bank'!A375</f>
        <v>NPI0371</v>
      </c>
      <c r="B383" t="str" s="97" cm="1">
        <f t="array" ref="B383">'Question_Bank'!B375</f>
        <v>8-12</v>
      </c>
      <c r="C383" t="str" s="97" cm="1">
        <f t="array" ref="C383">'Question_Bank'!C375</f>
        <v>Emotional Profile</v>
      </c>
      <c r="D383" t="str" s="97" cm="1">
        <f t="array" ref="D383">'Question_Bank'!D375</f>
        <v>Resilience</v>
      </c>
      <c r="E383" t="str" s="97" cm="1">
        <f t="array" ref="E383">'Question_Bank'!E375</f>
        <v>Resilience</v>
      </c>
      <c r="F383" t="str" s="97" cm="1">
        <f t="array" ref="F383">'Question_Bank'!F375</f>
        <v>Likert</v>
      </c>
      <c r="G383" t="str" s="97" cm="1">
        <f t="array" ref="G383">'Question_Bank'!G375</f>
        <v>I keep practicing.</v>
      </c>
      <c r="H383" s="131" cm="1">
        <f t="array" ref="H383">'Question_Bank'!H375</f>
        <v>0</v>
      </c>
      <c r="I383" s="131" cm="1">
        <f t="array" ref="I383">'Question_Bank'!I375</f>
        <v>0</v>
      </c>
      <c r="J383" s="131" cm="1">
        <f t="array" ref="J383">'Question_Bank'!J375</f>
        <v>0</v>
      </c>
      <c r="K383" s="131" cm="1">
        <f t="array" ref="K383">'Question_Bank'!K375</f>
        <v>0</v>
      </c>
      <c r="L383" s="131" cm="1">
        <f t="array" ref="L383">'Question_Bank'!L375</f>
        <v>0</v>
      </c>
      <c r="M383" s="132"/>
      <c r="N383" t="str" s="97" cm="1">
        <f t="array" ref="N383">IF(M383="","",IF(F383="MCQ",IF(UPPER(M383)=UPPER(L383),1,0),IF(O383="Yes",6-VALUE(M383),VALUE(M383))))</f>
      </c>
      <c r="O383" t="str" s="97" cm="1">
        <f t="array" ref="O383">'Question_Bank'!N375</f>
        <v>No</v>
      </c>
      <c r="P383" s="133" cm="1">
        <f t="array" ref="P383">IF(F383="MCQ",1,5)</f>
        <v>5</v>
      </c>
    </row>
    <row r="384" ht="42" customHeight="1">
      <c r="A384" t="str" s="130" cm="1">
        <f t="array" ref="A384">'Question_Bank'!A376</f>
        <v>NPI0372</v>
      </c>
      <c r="B384" t="str" s="97" cm="1">
        <f t="array" ref="B384">'Question_Bank'!B376</f>
        <v>8-12</v>
      </c>
      <c r="C384" t="str" s="97" cm="1">
        <f t="array" ref="C384">'Question_Bank'!C376</f>
        <v>Emotional Profile</v>
      </c>
      <c r="D384" t="str" s="97" cm="1">
        <f t="array" ref="D384">'Question_Bank'!D376</f>
        <v>Resilience</v>
      </c>
      <c r="E384" t="str" s="97" cm="1">
        <f t="array" ref="E384">'Question_Bank'!E376</f>
        <v>Resilience</v>
      </c>
      <c r="F384" t="str" s="97" cm="1">
        <f t="array" ref="F384">'Question_Bank'!F376</f>
        <v>Likert</v>
      </c>
      <c r="G384" t="str" s="97" cm="1">
        <f t="array" ref="G384">'Question_Bank'!G376</f>
        <v>I use failure as information.</v>
      </c>
      <c r="H384" s="131" cm="1">
        <f t="array" ref="H384">'Question_Bank'!H376</f>
        <v>0</v>
      </c>
      <c r="I384" s="131" cm="1">
        <f t="array" ref="I384">'Question_Bank'!I376</f>
        <v>0</v>
      </c>
      <c r="J384" s="131" cm="1">
        <f t="array" ref="J384">'Question_Bank'!J376</f>
        <v>0</v>
      </c>
      <c r="K384" s="131" cm="1">
        <f t="array" ref="K384">'Question_Bank'!K376</f>
        <v>0</v>
      </c>
      <c r="L384" s="131" cm="1">
        <f t="array" ref="L384">'Question_Bank'!L376</f>
        <v>0</v>
      </c>
      <c r="M384" s="132"/>
      <c r="N384" t="str" s="97" cm="1">
        <f t="array" ref="N384">IF(M384="","",IF(F384="MCQ",IF(UPPER(M384)=UPPER(L384),1,0),IF(O384="Yes",6-VALUE(M384),VALUE(M384))))</f>
      </c>
      <c r="O384" t="str" s="97" cm="1">
        <f t="array" ref="O384">'Question_Bank'!N376</f>
        <v>No</v>
      </c>
      <c r="P384" s="133" cm="1">
        <f t="array" ref="P384">IF(F384="MCQ",1,5)</f>
        <v>5</v>
      </c>
    </row>
    <row r="385" ht="42" customHeight="1">
      <c r="A385" t="str" s="130" cm="1">
        <f t="array" ref="A385">'Question_Bank'!A377</f>
        <v>NPI0373</v>
      </c>
      <c r="B385" t="str" s="97" cm="1">
        <f t="array" ref="B385">'Question_Bank'!B377</f>
        <v>8-12</v>
      </c>
      <c r="C385" t="str" s="97" cm="1">
        <f t="array" ref="C385">'Question_Bank'!C377</f>
        <v>Emotional Profile</v>
      </c>
      <c r="D385" t="str" s="97" cm="1">
        <f t="array" ref="D385">'Question_Bank'!D377</f>
        <v>Resilience</v>
      </c>
      <c r="E385" t="str" s="97" cm="1">
        <f t="array" ref="E385">'Question_Bank'!E377</f>
        <v>Resilience</v>
      </c>
      <c r="F385" t="str" s="97" cm="1">
        <f t="array" ref="F385">'Question_Bank'!F377</f>
        <v>Likert</v>
      </c>
      <c r="G385" t="str" s="97" cm="1">
        <f t="array" ref="G385">'Question_Bank'!G377</f>
        <v>I stay patient with progress.</v>
      </c>
      <c r="H385" s="131" cm="1">
        <f t="array" ref="H385">'Question_Bank'!H377</f>
        <v>0</v>
      </c>
      <c r="I385" s="131" cm="1">
        <f t="array" ref="I385">'Question_Bank'!I377</f>
        <v>0</v>
      </c>
      <c r="J385" s="131" cm="1">
        <f t="array" ref="J385">'Question_Bank'!J377</f>
        <v>0</v>
      </c>
      <c r="K385" s="131" cm="1">
        <f t="array" ref="K385">'Question_Bank'!K377</f>
        <v>0</v>
      </c>
      <c r="L385" s="131" cm="1">
        <f t="array" ref="L385">'Question_Bank'!L377</f>
        <v>0</v>
      </c>
      <c r="M385" s="132"/>
      <c r="N385" t="str" s="97" cm="1">
        <f t="array" ref="N385">IF(M385="","",IF(F385="MCQ",IF(UPPER(M385)=UPPER(L385),1,0),IF(O385="Yes",6-VALUE(M385),VALUE(M385))))</f>
      </c>
      <c r="O385" t="str" s="97" cm="1">
        <f t="array" ref="O385">'Question_Bank'!N377</f>
        <v>No</v>
      </c>
      <c r="P385" s="133" cm="1">
        <f t="array" ref="P385">IF(F385="MCQ",1,5)</f>
        <v>5</v>
      </c>
    </row>
    <row r="386" ht="42" customHeight="1">
      <c r="A386" t="str" s="130" cm="1">
        <f t="array" ref="A386">'Question_Bank'!A378</f>
        <v>NPI0374</v>
      </c>
      <c r="B386" t="str" s="97" cm="1">
        <f t="array" ref="B386">'Question_Bank'!B378</f>
        <v>8-12</v>
      </c>
      <c r="C386" t="str" s="97" cm="1">
        <f t="array" ref="C386">'Question_Bank'!C378</f>
        <v>Emotional Profile</v>
      </c>
      <c r="D386" t="str" s="97" cm="1">
        <f t="array" ref="D386">'Question_Bank'!D378</f>
        <v>Resilience</v>
      </c>
      <c r="E386" t="str" s="97" cm="1">
        <f t="array" ref="E386">'Question_Bank'!E378</f>
        <v>Resilience</v>
      </c>
      <c r="F386" t="str" s="97" cm="1">
        <f t="array" ref="F386">'Question_Bank'!F378</f>
        <v>Likert</v>
      </c>
      <c r="G386" t="str" s="97" cm="1">
        <f t="array" ref="G386">'Question_Bank'!G378</f>
        <v>I can restart after a setback.</v>
      </c>
      <c r="H386" s="131" cm="1">
        <f t="array" ref="H386">'Question_Bank'!H378</f>
        <v>0</v>
      </c>
      <c r="I386" s="131" cm="1">
        <f t="array" ref="I386">'Question_Bank'!I378</f>
        <v>0</v>
      </c>
      <c r="J386" s="131" cm="1">
        <f t="array" ref="J386">'Question_Bank'!J378</f>
        <v>0</v>
      </c>
      <c r="K386" s="131" cm="1">
        <f t="array" ref="K386">'Question_Bank'!K378</f>
        <v>0</v>
      </c>
      <c r="L386" s="131" cm="1">
        <f t="array" ref="L386">'Question_Bank'!L378</f>
        <v>0</v>
      </c>
      <c r="M386" s="132"/>
      <c r="N386" t="str" s="97" cm="1">
        <f t="array" ref="N386">IF(M386="","",IF(F386="MCQ",IF(UPPER(M386)=UPPER(L386),1,0),IF(O386="Yes",6-VALUE(M386),VALUE(M386))))</f>
      </c>
      <c r="O386" t="str" s="97" cm="1">
        <f t="array" ref="O386">'Question_Bank'!N378</f>
        <v>No</v>
      </c>
      <c r="P386" s="133" cm="1">
        <f t="array" ref="P386">IF(F386="MCQ",1,5)</f>
        <v>5</v>
      </c>
    </row>
    <row r="387" ht="42" customHeight="1">
      <c r="A387" t="str" s="130" cm="1">
        <f t="array" ref="A387">'Question_Bank'!A379</f>
        <v>NPI0375</v>
      </c>
      <c r="B387" t="str" s="97" cm="1">
        <f t="array" ref="B387">'Question_Bank'!B379</f>
        <v>8-12</v>
      </c>
      <c r="C387" t="str" s="97" cm="1">
        <f t="array" ref="C387">'Question_Bank'!C379</f>
        <v>Emotional Profile</v>
      </c>
      <c r="D387" t="str" s="97" cm="1">
        <f t="array" ref="D387">'Question_Bank'!D379</f>
        <v>Resilience</v>
      </c>
      <c r="E387" t="str" s="97" cm="1">
        <f t="array" ref="E387">'Question_Bank'!E379</f>
        <v>Resilience</v>
      </c>
      <c r="F387" t="str" s="97" cm="1">
        <f t="array" ref="F387">'Question_Bank'!F379</f>
        <v>Likert</v>
      </c>
      <c r="G387" t="str" s="97" cm="1">
        <f t="array" ref="G387">'Question_Bank'!G379</f>
        <v>I complete difficult work with support.</v>
      </c>
      <c r="H387" s="131" cm="1">
        <f t="array" ref="H387">'Question_Bank'!H379</f>
        <v>0</v>
      </c>
      <c r="I387" s="131" cm="1">
        <f t="array" ref="I387">'Question_Bank'!I379</f>
        <v>0</v>
      </c>
      <c r="J387" s="131" cm="1">
        <f t="array" ref="J387">'Question_Bank'!J379</f>
        <v>0</v>
      </c>
      <c r="K387" s="131" cm="1">
        <f t="array" ref="K387">'Question_Bank'!K379</f>
        <v>0</v>
      </c>
      <c r="L387" s="131" cm="1">
        <f t="array" ref="L387">'Question_Bank'!L379</f>
        <v>0</v>
      </c>
      <c r="M387" s="132"/>
      <c r="N387" t="str" s="97" cm="1">
        <f t="array" ref="N387">IF(M387="","",IF(F387="MCQ",IF(UPPER(M387)=UPPER(L387),1,0),IF(O387="Yes",6-VALUE(M387),VALUE(M387))))</f>
      </c>
      <c r="O387" t="str" s="97" cm="1">
        <f t="array" ref="O387">'Question_Bank'!N379</f>
        <v>No</v>
      </c>
      <c r="P387" s="133" cm="1">
        <f t="array" ref="P387">IF(F387="MCQ",1,5)</f>
        <v>5</v>
      </c>
    </row>
    <row r="388" ht="42" customHeight="1">
      <c r="A388" t="str" s="130" cm="1">
        <f t="array" ref="A388">'Question_Bank'!A380</f>
        <v>NPI0376</v>
      </c>
      <c r="B388" t="str" s="97" cm="1">
        <f t="array" ref="B388">'Question_Bank'!B380</f>
        <v>8-12</v>
      </c>
      <c r="C388" t="str" s="97" cm="1">
        <f t="array" ref="C388">'Question_Bank'!C380</f>
        <v>Emotional Profile</v>
      </c>
      <c r="D388" t="str" s="97" cm="1">
        <f t="array" ref="D388">'Question_Bank'!D380</f>
        <v>Coping</v>
      </c>
      <c r="E388" t="str" s="97" cm="1">
        <f t="array" ref="E388">'Question_Bank'!E380</f>
        <v>Coping</v>
      </c>
      <c r="F388" t="str" s="97" cm="1">
        <f t="array" ref="F388">'Question_Bank'!F380</f>
        <v>Likert</v>
      </c>
      <c r="G388" t="str" s="97" cm="1">
        <f t="array" ref="G388">'Question_Bank'!G380</f>
        <v>I make a plan when stressed.</v>
      </c>
      <c r="H388" s="131" cm="1">
        <f t="array" ref="H388">'Question_Bank'!H380</f>
        <v>0</v>
      </c>
      <c r="I388" s="131" cm="1">
        <f t="array" ref="I388">'Question_Bank'!I380</f>
        <v>0</v>
      </c>
      <c r="J388" s="131" cm="1">
        <f t="array" ref="J388">'Question_Bank'!J380</f>
        <v>0</v>
      </c>
      <c r="K388" s="131" cm="1">
        <f t="array" ref="K388">'Question_Bank'!K380</f>
        <v>0</v>
      </c>
      <c r="L388" s="131" cm="1">
        <f t="array" ref="L388">'Question_Bank'!L380</f>
        <v>0</v>
      </c>
      <c r="M388" s="132"/>
      <c r="N388" t="str" s="97" cm="1">
        <f t="array" ref="N388">IF(M388="","",IF(F388="MCQ",IF(UPPER(M388)=UPPER(L388),1,0),IF(O388="Yes",6-VALUE(M388),VALUE(M388))))</f>
      </c>
      <c r="O388" t="str" s="97" cm="1">
        <f t="array" ref="O388">'Question_Bank'!N380</f>
        <v>No</v>
      </c>
      <c r="P388" s="133" cm="1">
        <f t="array" ref="P388">IF(F388="MCQ",1,5)</f>
        <v>5</v>
      </c>
    </row>
    <row r="389" ht="42" customHeight="1">
      <c r="A389" t="str" s="130" cm="1">
        <f t="array" ref="A389">'Question_Bank'!A381</f>
        <v>NPI0377</v>
      </c>
      <c r="B389" t="str" s="97" cm="1">
        <f t="array" ref="B389">'Question_Bank'!B381</f>
        <v>8-12</v>
      </c>
      <c r="C389" t="str" s="97" cm="1">
        <f t="array" ref="C389">'Question_Bank'!C381</f>
        <v>Emotional Profile</v>
      </c>
      <c r="D389" t="str" s="97" cm="1">
        <f t="array" ref="D389">'Question_Bank'!D381</f>
        <v>Coping</v>
      </c>
      <c r="E389" t="str" s="97" cm="1">
        <f t="array" ref="E389">'Question_Bank'!E381</f>
        <v>Coping</v>
      </c>
      <c r="F389" t="str" s="97" cm="1">
        <f t="array" ref="F389">'Question_Bank'!F381</f>
        <v>Likert</v>
      </c>
      <c r="G389" t="str" s="97" cm="1">
        <f t="array" ref="G389">'Question_Bank'!G381</f>
        <v>I talk to someone trusted.</v>
      </c>
      <c r="H389" s="131" cm="1">
        <f t="array" ref="H389">'Question_Bank'!H381</f>
        <v>0</v>
      </c>
      <c r="I389" s="131" cm="1">
        <f t="array" ref="I389">'Question_Bank'!I381</f>
        <v>0</v>
      </c>
      <c r="J389" s="131" cm="1">
        <f t="array" ref="J389">'Question_Bank'!J381</f>
        <v>0</v>
      </c>
      <c r="K389" s="131" cm="1">
        <f t="array" ref="K389">'Question_Bank'!K381</f>
        <v>0</v>
      </c>
      <c r="L389" s="131" cm="1">
        <f t="array" ref="L389">'Question_Bank'!L381</f>
        <v>0</v>
      </c>
      <c r="M389" s="132"/>
      <c r="N389" t="str" s="97" cm="1">
        <f t="array" ref="N389">IF(M389="","",IF(F389="MCQ",IF(UPPER(M389)=UPPER(L389),1,0),IF(O389="Yes",6-VALUE(M389),VALUE(M389))))</f>
      </c>
      <c r="O389" t="str" s="97" cm="1">
        <f t="array" ref="O389">'Question_Bank'!N381</f>
        <v>No</v>
      </c>
      <c r="P389" s="133" cm="1">
        <f t="array" ref="P389">IF(F389="MCQ",1,5)</f>
        <v>5</v>
      </c>
    </row>
    <row r="390" ht="42" customHeight="1">
      <c r="A390" t="str" s="130" cm="1">
        <f t="array" ref="A390">'Question_Bank'!A382</f>
        <v>NPI0378</v>
      </c>
      <c r="B390" t="str" s="97" cm="1">
        <f t="array" ref="B390">'Question_Bank'!B382</f>
        <v>8-12</v>
      </c>
      <c r="C390" t="str" s="97" cm="1">
        <f t="array" ref="C390">'Question_Bank'!C382</f>
        <v>Emotional Profile</v>
      </c>
      <c r="D390" t="str" s="97" cm="1">
        <f t="array" ref="D390">'Question_Bank'!D382</f>
        <v>Coping</v>
      </c>
      <c r="E390" t="str" s="97" cm="1">
        <f t="array" ref="E390">'Question_Bank'!E382</f>
        <v>Coping</v>
      </c>
      <c r="F390" t="str" s="97" cm="1">
        <f t="array" ref="F390">'Question_Bank'!F382</f>
        <v>Likert</v>
      </c>
      <c r="G390" t="str" s="97" cm="1">
        <f t="array" ref="G390">'Question_Bank'!G382</f>
        <v>I use breaks to refresh.</v>
      </c>
      <c r="H390" s="131" cm="1">
        <f t="array" ref="H390">'Question_Bank'!H382</f>
        <v>0</v>
      </c>
      <c r="I390" s="131" cm="1">
        <f t="array" ref="I390">'Question_Bank'!I382</f>
        <v>0</v>
      </c>
      <c r="J390" s="131" cm="1">
        <f t="array" ref="J390">'Question_Bank'!J382</f>
        <v>0</v>
      </c>
      <c r="K390" s="131" cm="1">
        <f t="array" ref="K390">'Question_Bank'!K382</f>
        <v>0</v>
      </c>
      <c r="L390" s="131" cm="1">
        <f t="array" ref="L390">'Question_Bank'!L382</f>
        <v>0</v>
      </c>
      <c r="M390" s="132"/>
      <c r="N390" t="str" s="97" cm="1">
        <f t="array" ref="N390">IF(M390="","",IF(F390="MCQ",IF(UPPER(M390)=UPPER(L390),1,0),IF(O390="Yes",6-VALUE(M390),VALUE(M390))))</f>
      </c>
      <c r="O390" t="str" s="97" cm="1">
        <f t="array" ref="O390">'Question_Bank'!N382</f>
        <v>No</v>
      </c>
      <c r="P390" s="133" cm="1">
        <f t="array" ref="P390">IF(F390="MCQ",1,5)</f>
        <v>5</v>
      </c>
    </row>
    <row r="391" ht="42" customHeight="1">
      <c r="A391" t="str" s="130" cm="1">
        <f t="array" ref="A391">'Question_Bank'!A383</f>
        <v>NPI0379</v>
      </c>
      <c r="B391" t="str" s="97" cm="1">
        <f t="array" ref="B391">'Question_Bank'!B383</f>
        <v>8-12</v>
      </c>
      <c r="C391" t="str" s="97" cm="1">
        <f t="array" ref="C391">'Question_Bank'!C383</f>
        <v>Emotional Profile</v>
      </c>
      <c r="D391" t="str" s="97" cm="1">
        <f t="array" ref="D391">'Question_Bank'!D383</f>
        <v>Coping</v>
      </c>
      <c r="E391" t="str" s="97" cm="1">
        <f t="array" ref="E391">'Question_Bank'!E383</f>
        <v>Coping</v>
      </c>
      <c r="F391" t="str" s="97" cm="1">
        <f t="array" ref="F391">'Question_Bank'!F383</f>
        <v>Likert</v>
      </c>
      <c r="G391" t="str" s="97" cm="1">
        <f t="array" ref="G391">'Question_Bank'!G383</f>
        <v>I ask for clarification.</v>
      </c>
      <c r="H391" s="131" cm="1">
        <f t="array" ref="H391">'Question_Bank'!H383</f>
        <v>0</v>
      </c>
      <c r="I391" s="131" cm="1">
        <f t="array" ref="I391">'Question_Bank'!I383</f>
        <v>0</v>
      </c>
      <c r="J391" s="131" cm="1">
        <f t="array" ref="J391">'Question_Bank'!J383</f>
        <v>0</v>
      </c>
      <c r="K391" s="131" cm="1">
        <f t="array" ref="K391">'Question_Bank'!K383</f>
        <v>0</v>
      </c>
      <c r="L391" s="131" cm="1">
        <f t="array" ref="L391">'Question_Bank'!L383</f>
        <v>0</v>
      </c>
      <c r="M391" s="132"/>
      <c r="N391" t="str" s="97" cm="1">
        <f t="array" ref="N391">IF(M391="","",IF(F391="MCQ",IF(UPPER(M391)=UPPER(L391),1,0),IF(O391="Yes",6-VALUE(M391),VALUE(M391))))</f>
      </c>
      <c r="O391" t="str" s="97" cm="1">
        <f t="array" ref="O391">'Question_Bank'!N383</f>
        <v>No</v>
      </c>
      <c r="P391" s="133" cm="1">
        <f t="array" ref="P391">IF(F391="MCQ",1,5)</f>
        <v>5</v>
      </c>
    </row>
    <row r="392" ht="42" customHeight="1">
      <c r="A392" t="str" s="130" cm="1">
        <f t="array" ref="A392">'Question_Bank'!A384</f>
        <v>NPI0380</v>
      </c>
      <c r="B392" t="str" s="97" cm="1">
        <f t="array" ref="B392">'Question_Bank'!B384</f>
        <v>8-12</v>
      </c>
      <c r="C392" t="str" s="97" cm="1">
        <f t="array" ref="C392">'Question_Bank'!C384</f>
        <v>Emotional Profile</v>
      </c>
      <c r="D392" t="str" s="97" cm="1">
        <f t="array" ref="D392">'Question_Bank'!D384</f>
        <v>Coping</v>
      </c>
      <c r="E392" t="str" s="97" cm="1">
        <f t="array" ref="E392">'Question_Bank'!E384</f>
        <v>Coping</v>
      </c>
      <c r="F392" t="str" s="97" cm="1">
        <f t="array" ref="F392">'Question_Bank'!F384</f>
        <v>Likert</v>
      </c>
      <c r="G392" t="str" s="97" cm="1">
        <f t="array" ref="G392">'Question_Bank'!G384</f>
        <v>I use breathing or calming methods.</v>
      </c>
      <c r="H392" s="131" cm="1">
        <f t="array" ref="H392">'Question_Bank'!H384</f>
        <v>0</v>
      </c>
      <c r="I392" s="131" cm="1">
        <f t="array" ref="I392">'Question_Bank'!I384</f>
        <v>0</v>
      </c>
      <c r="J392" s="131" cm="1">
        <f t="array" ref="J392">'Question_Bank'!J384</f>
        <v>0</v>
      </c>
      <c r="K392" s="131" cm="1">
        <f t="array" ref="K392">'Question_Bank'!K384</f>
        <v>0</v>
      </c>
      <c r="L392" s="131" cm="1">
        <f t="array" ref="L392">'Question_Bank'!L384</f>
        <v>0</v>
      </c>
      <c r="M392" s="132"/>
      <c r="N392" t="str" s="97" cm="1">
        <f t="array" ref="N392">IF(M392="","",IF(F392="MCQ",IF(UPPER(M392)=UPPER(L392),1,0),IF(O392="Yes",6-VALUE(M392),VALUE(M392))))</f>
      </c>
      <c r="O392" t="str" s="97" cm="1">
        <f t="array" ref="O392">'Question_Bank'!N384</f>
        <v>No</v>
      </c>
      <c r="P392" s="133" cm="1">
        <f t="array" ref="P392">IF(F392="MCQ",1,5)</f>
        <v>5</v>
      </c>
    </row>
    <row r="393" ht="42" customHeight="1">
      <c r="A393" t="str" s="130" cm="1">
        <f t="array" ref="A393">'Question_Bank'!A385</f>
        <v>NPI0381</v>
      </c>
      <c r="B393" t="str" s="97" cm="1">
        <f t="array" ref="B393">'Question_Bank'!B385</f>
        <v>8-12</v>
      </c>
      <c r="C393" t="str" s="97" cm="1">
        <f t="array" ref="C393">'Question_Bank'!C385</f>
        <v>Emotional Profile</v>
      </c>
      <c r="D393" t="str" s="97" cm="1">
        <f t="array" ref="D393">'Question_Bank'!D385</f>
        <v>Coping</v>
      </c>
      <c r="E393" t="str" s="97" cm="1">
        <f t="array" ref="E393">'Question_Bank'!E385</f>
        <v>Coping</v>
      </c>
      <c r="F393" t="str" s="97" cm="1">
        <f t="array" ref="F393">'Question_Bank'!F385</f>
        <v>Likert</v>
      </c>
      <c r="G393" t="str" s="97" cm="1">
        <f t="array" ref="G393">'Question_Bank'!G385</f>
        <v>I organize tasks when overloaded.</v>
      </c>
      <c r="H393" s="131" cm="1">
        <f t="array" ref="H393">'Question_Bank'!H385</f>
        <v>0</v>
      </c>
      <c r="I393" s="131" cm="1">
        <f t="array" ref="I393">'Question_Bank'!I385</f>
        <v>0</v>
      </c>
      <c r="J393" s="131" cm="1">
        <f t="array" ref="J393">'Question_Bank'!J385</f>
        <v>0</v>
      </c>
      <c r="K393" s="131" cm="1">
        <f t="array" ref="K393">'Question_Bank'!K385</f>
        <v>0</v>
      </c>
      <c r="L393" s="131" cm="1">
        <f t="array" ref="L393">'Question_Bank'!L385</f>
        <v>0</v>
      </c>
      <c r="M393" s="132"/>
      <c r="N393" t="str" s="97" cm="1">
        <f t="array" ref="N393">IF(M393="","",IF(F393="MCQ",IF(UPPER(M393)=UPPER(L393),1,0),IF(O393="Yes",6-VALUE(M393),VALUE(M393))))</f>
      </c>
      <c r="O393" t="str" s="97" cm="1">
        <f t="array" ref="O393">'Question_Bank'!N385</f>
        <v>No</v>
      </c>
      <c r="P393" s="133" cm="1">
        <f t="array" ref="P393">IF(F393="MCQ",1,5)</f>
        <v>5</v>
      </c>
    </row>
    <row r="394" ht="42" customHeight="1">
      <c r="A394" t="str" s="130" cm="1">
        <f t="array" ref="A394">'Question_Bank'!A386</f>
        <v>NPI0382</v>
      </c>
      <c r="B394" t="str" s="97" cm="1">
        <f t="array" ref="B394">'Question_Bank'!B386</f>
        <v>8-12</v>
      </c>
      <c r="C394" t="str" s="97" cm="1">
        <f t="array" ref="C394">'Question_Bank'!C386</f>
        <v>Emotional Profile</v>
      </c>
      <c r="D394" t="str" s="97" cm="1">
        <f t="array" ref="D394">'Question_Bank'!D386</f>
        <v>Coping</v>
      </c>
      <c r="E394" t="str" s="97" cm="1">
        <f t="array" ref="E394">'Question_Bank'!E386</f>
        <v>Coping</v>
      </c>
      <c r="F394" t="str" s="97" cm="1">
        <f t="array" ref="F394">'Question_Bank'!F386</f>
        <v>Likert</v>
      </c>
      <c r="G394" t="str" s="97" cm="1">
        <f t="array" ref="G394">'Question_Bank'!G386</f>
        <v>I identify what causes stress.</v>
      </c>
      <c r="H394" s="131" cm="1">
        <f t="array" ref="H394">'Question_Bank'!H386</f>
        <v>0</v>
      </c>
      <c r="I394" s="131" cm="1">
        <f t="array" ref="I394">'Question_Bank'!I386</f>
        <v>0</v>
      </c>
      <c r="J394" s="131" cm="1">
        <f t="array" ref="J394">'Question_Bank'!J386</f>
        <v>0</v>
      </c>
      <c r="K394" s="131" cm="1">
        <f t="array" ref="K394">'Question_Bank'!K386</f>
        <v>0</v>
      </c>
      <c r="L394" s="131" cm="1">
        <f t="array" ref="L394">'Question_Bank'!L386</f>
        <v>0</v>
      </c>
      <c r="M394" s="132"/>
      <c r="N394" t="str" s="97" cm="1">
        <f t="array" ref="N394">IF(M394="","",IF(F394="MCQ",IF(UPPER(M394)=UPPER(L394),1,0),IF(O394="Yes",6-VALUE(M394),VALUE(M394))))</f>
      </c>
      <c r="O394" t="str" s="97" cm="1">
        <f t="array" ref="O394">'Question_Bank'!N386</f>
        <v>No</v>
      </c>
      <c r="P394" s="133" cm="1">
        <f t="array" ref="P394">IF(F394="MCQ",1,5)</f>
        <v>5</v>
      </c>
    </row>
    <row r="395" ht="42" customHeight="1">
      <c r="A395" t="str" s="130" cm="1">
        <f t="array" ref="A395">'Question_Bank'!A387</f>
        <v>NPI0383</v>
      </c>
      <c r="B395" t="str" s="97" cm="1">
        <f t="array" ref="B395">'Question_Bank'!B387</f>
        <v>8-12</v>
      </c>
      <c r="C395" t="str" s="97" cm="1">
        <f t="array" ref="C395">'Question_Bank'!C387</f>
        <v>Emotional Profile</v>
      </c>
      <c r="D395" t="str" s="97" cm="1">
        <f t="array" ref="D395">'Question_Bank'!D387</f>
        <v>Coping</v>
      </c>
      <c r="E395" t="str" s="97" cm="1">
        <f t="array" ref="E395">'Question_Bank'!E387</f>
        <v>Coping</v>
      </c>
      <c r="F395" t="str" s="97" cm="1">
        <f t="array" ref="F395">'Question_Bank'!F387</f>
        <v>Likert</v>
      </c>
      <c r="G395" t="str" s="97" cm="1">
        <f t="array" ref="G395">'Question_Bank'!G387</f>
        <v>I use sleep and movement routines.</v>
      </c>
      <c r="H395" s="131" cm="1">
        <f t="array" ref="H395">'Question_Bank'!H387</f>
        <v>0</v>
      </c>
      <c r="I395" s="131" cm="1">
        <f t="array" ref="I395">'Question_Bank'!I387</f>
        <v>0</v>
      </c>
      <c r="J395" s="131" cm="1">
        <f t="array" ref="J395">'Question_Bank'!J387</f>
        <v>0</v>
      </c>
      <c r="K395" s="131" cm="1">
        <f t="array" ref="K395">'Question_Bank'!K387</f>
        <v>0</v>
      </c>
      <c r="L395" s="131" cm="1">
        <f t="array" ref="L395">'Question_Bank'!L387</f>
        <v>0</v>
      </c>
      <c r="M395" s="132"/>
      <c r="N395" t="str" s="97" cm="1">
        <f t="array" ref="N395">IF(M395="","",IF(F395="MCQ",IF(UPPER(M395)=UPPER(L395),1,0),IF(O395="Yes",6-VALUE(M395),VALUE(M395))))</f>
      </c>
      <c r="O395" t="str" s="97" cm="1">
        <f t="array" ref="O395">'Question_Bank'!N387</f>
        <v>No</v>
      </c>
      <c r="P395" s="133" cm="1">
        <f t="array" ref="P395">IF(F395="MCQ",1,5)</f>
        <v>5</v>
      </c>
    </row>
    <row r="396" ht="42" customHeight="1">
      <c r="A396" t="str" s="130" cm="1">
        <f t="array" ref="A396">'Question_Bank'!A388</f>
        <v>NPI0384</v>
      </c>
      <c r="B396" t="str" s="97" cm="1">
        <f t="array" ref="B396">'Question_Bank'!B388</f>
        <v>8-12</v>
      </c>
      <c r="C396" t="str" s="97" cm="1">
        <f t="array" ref="C396">'Question_Bank'!C388</f>
        <v>Emotional Profile</v>
      </c>
      <c r="D396" t="str" s="97" cm="1">
        <f t="array" ref="D396">'Question_Bank'!D388</f>
        <v>Coping</v>
      </c>
      <c r="E396" t="str" s="97" cm="1">
        <f t="array" ref="E396">'Question_Bank'!E388</f>
        <v>Coping</v>
      </c>
      <c r="F396" t="str" s="97" cm="1">
        <f t="array" ref="F396">'Question_Bank'!F388</f>
        <v>Likert</v>
      </c>
      <c r="G396" t="str" s="97" cm="1">
        <f t="array" ref="G396">'Question_Bank'!G388</f>
        <v>I seek guidance for choices.</v>
      </c>
      <c r="H396" s="131" cm="1">
        <f t="array" ref="H396">'Question_Bank'!H388</f>
        <v>0</v>
      </c>
      <c r="I396" s="131" cm="1">
        <f t="array" ref="I396">'Question_Bank'!I388</f>
        <v>0</v>
      </c>
      <c r="J396" s="131" cm="1">
        <f t="array" ref="J396">'Question_Bank'!J388</f>
        <v>0</v>
      </c>
      <c r="K396" s="131" cm="1">
        <f t="array" ref="K396">'Question_Bank'!K388</f>
        <v>0</v>
      </c>
      <c r="L396" s="131" cm="1">
        <f t="array" ref="L396">'Question_Bank'!L388</f>
        <v>0</v>
      </c>
      <c r="M396" s="132"/>
      <c r="N396" t="str" s="97" cm="1">
        <f t="array" ref="N396">IF(M396="","",IF(F396="MCQ",IF(UPPER(M396)=UPPER(L396),1,0),IF(O396="Yes",6-VALUE(M396),VALUE(M396))))</f>
      </c>
      <c r="O396" t="str" s="97" cm="1">
        <f t="array" ref="O396">'Question_Bank'!N388</f>
        <v>No</v>
      </c>
      <c r="P396" s="133" cm="1">
        <f t="array" ref="P396">IF(F396="MCQ",1,5)</f>
        <v>5</v>
      </c>
    </row>
    <row r="397" ht="42" customHeight="1">
      <c r="A397" t="str" s="130" cm="1">
        <f t="array" ref="A397">'Question_Bank'!A389</f>
        <v>NPI0385</v>
      </c>
      <c r="B397" t="str" s="97" cm="1">
        <f t="array" ref="B397">'Question_Bank'!B389</f>
        <v>8-12</v>
      </c>
      <c r="C397" t="str" s="97" cm="1">
        <f t="array" ref="C397">'Question_Bank'!C389</f>
        <v>Emotional Profile</v>
      </c>
      <c r="D397" t="str" s="97" cm="1">
        <f t="array" ref="D397">'Question_Bank'!D389</f>
        <v>Coping</v>
      </c>
      <c r="E397" t="str" s="97" cm="1">
        <f t="array" ref="E397">'Question_Bank'!E389</f>
        <v>Coping</v>
      </c>
      <c r="F397" t="str" s="97" cm="1">
        <f t="array" ref="F397">'Question_Bank'!F389</f>
        <v>Likert</v>
      </c>
      <c r="G397" t="str" s="97" cm="1">
        <f t="array" ref="G397">'Question_Bank'!G389</f>
        <v>I write steps to solve problems.</v>
      </c>
      <c r="H397" s="131" cm="1">
        <f t="array" ref="H397">'Question_Bank'!H389</f>
        <v>0</v>
      </c>
      <c r="I397" s="131" cm="1">
        <f t="array" ref="I397">'Question_Bank'!I389</f>
        <v>0</v>
      </c>
      <c r="J397" s="131" cm="1">
        <f t="array" ref="J397">'Question_Bank'!J389</f>
        <v>0</v>
      </c>
      <c r="K397" s="131" cm="1">
        <f t="array" ref="K397">'Question_Bank'!K389</f>
        <v>0</v>
      </c>
      <c r="L397" s="131" cm="1">
        <f t="array" ref="L397">'Question_Bank'!L389</f>
        <v>0</v>
      </c>
      <c r="M397" s="132"/>
      <c r="N397" t="str" s="97" cm="1">
        <f t="array" ref="N397">IF(M397="","",IF(F397="MCQ",IF(UPPER(M397)=UPPER(L397),1,0),IF(O397="Yes",6-VALUE(M397),VALUE(M397))))</f>
      </c>
      <c r="O397" t="str" s="97" cm="1">
        <f t="array" ref="O397">'Question_Bank'!N389</f>
        <v>No</v>
      </c>
      <c r="P397" s="133" cm="1">
        <f t="array" ref="P397">IF(F397="MCQ",1,5)</f>
        <v>5</v>
      </c>
    </row>
    <row r="398" ht="42" customHeight="1">
      <c r="A398" t="str" s="130" cm="1">
        <f t="array" ref="A398">'Question_Bank'!A390</f>
        <v>NPI0386</v>
      </c>
      <c r="B398" t="str" s="97" cm="1">
        <f t="array" ref="B398">'Question_Bank'!B390</f>
        <v>8-12</v>
      </c>
      <c r="C398" t="str" s="97" cm="1">
        <f t="array" ref="C398">'Question_Bank'!C390</f>
        <v>Emotional Profile</v>
      </c>
      <c r="D398" t="str" s="97" cm="1">
        <f t="array" ref="D398">'Question_Bank'!D390</f>
        <v>Coping</v>
      </c>
      <c r="E398" t="str" s="97" cm="1">
        <f t="array" ref="E398">'Question_Bank'!E390</f>
        <v>Coping</v>
      </c>
      <c r="F398" t="str" s="97" cm="1">
        <f t="array" ref="F398">'Question_Bank'!F390</f>
        <v>Likert</v>
      </c>
      <c r="G398" t="str" s="97" cm="1">
        <f t="array" ref="G398">'Question_Bank'!G390</f>
        <v>I review mistakes after tests.</v>
      </c>
      <c r="H398" s="131" cm="1">
        <f t="array" ref="H398">'Question_Bank'!H390</f>
        <v>0</v>
      </c>
      <c r="I398" s="131" cm="1">
        <f t="array" ref="I398">'Question_Bank'!I390</f>
        <v>0</v>
      </c>
      <c r="J398" s="131" cm="1">
        <f t="array" ref="J398">'Question_Bank'!J390</f>
        <v>0</v>
      </c>
      <c r="K398" s="131" cm="1">
        <f t="array" ref="K398">'Question_Bank'!K390</f>
        <v>0</v>
      </c>
      <c r="L398" s="131" cm="1">
        <f t="array" ref="L398">'Question_Bank'!L390</f>
        <v>0</v>
      </c>
      <c r="M398" s="132"/>
      <c r="N398" t="str" s="97" cm="1">
        <f t="array" ref="N398">IF(M398="","",IF(F398="MCQ",IF(UPPER(M398)=UPPER(L398),1,0),IF(O398="Yes",6-VALUE(M398),VALUE(M398))))</f>
      </c>
      <c r="O398" t="str" s="97" cm="1">
        <f t="array" ref="O398">'Question_Bank'!N390</f>
        <v>No</v>
      </c>
      <c r="P398" s="133" cm="1">
        <f t="array" ref="P398">IF(F398="MCQ",1,5)</f>
        <v>5</v>
      </c>
    </row>
    <row r="399" ht="42" customHeight="1">
      <c r="A399" t="str" s="130" cm="1">
        <f t="array" ref="A399">'Question_Bank'!A391</f>
        <v>NPI0387</v>
      </c>
      <c r="B399" t="str" s="97" cm="1">
        <f t="array" ref="B399">'Question_Bank'!B391</f>
        <v>8-12</v>
      </c>
      <c r="C399" t="str" s="97" cm="1">
        <f t="array" ref="C399">'Question_Bank'!C391</f>
        <v>Emotional Profile</v>
      </c>
      <c r="D399" t="str" s="97" cm="1">
        <f t="array" ref="D399">'Question_Bank'!D391</f>
        <v>Coping</v>
      </c>
      <c r="E399" t="str" s="97" cm="1">
        <f t="array" ref="E399">'Question_Bank'!E391</f>
        <v>Coping</v>
      </c>
      <c r="F399" t="str" s="97" cm="1">
        <f t="array" ref="F399">'Question_Bank'!F391</f>
        <v>Likert</v>
      </c>
      <c r="G399" t="str" s="97" cm="1">
        <f t="array" ref="G399">'Question_Bank'!G391</f>
        <v>I calm down before decisions.</v>
      </c>
      <c r="H399" s="131" cm="1">
        <f t="array" ref="H399">'Question_Bank'!H391</f>
        <v>0</v>
      </c>
      <c r="I399" s="131" cm="1">
        <f t="array" ref="I399">'Question_Bank'!I391</f>
        <v>0</v>
      </c>
      <c r="J399" s="131" cm="1">
        <f t="array" ref="J399">'Question_Bank'!J391</f>
        <v>0</v>
      </c>
      <c r="K399" s="131" cm="1">
        <f t="array" ref="K399">'Question_Bank'!K391</f>
        <v>0</v>
      </c>
      <c r="L399" s="131" cm="1">
        <f t="array" ref="L399">'Question_Bank'!L391</f>
        <v>0</v>
      </c>
      <c r="M399" s="132"/>
      <c r="N399" t="str" s="97" cm="1">
        <f t="array" ref="N399">IF(M399="","",IF(F399="MCQ",IF(UPPER(M399)=UPPER(L399),1,0),IF(O399="Yes",6-VALUE(M399),VALUE(M399))))</f>
      </c>
      <c r="O399" t="str" s="97" cm="1">
        <f t="array" ref="O399">'Question_Bank'!N391</f>
        <v>No</v>
      </c>
      <c r="P399" s="133" cm="1">
        <f t="array" ref="P399">IF(F399="MCQ",1,5)</f>
        <v>5</v>
      </c>
    </row>
    <row r="400" ht="42" customHeight="1">
      <c r="A400" t="str" s="130" cm="1">
        <f t="array" ref="A400">'Question_Bank'!A392</f>
        <v>NPI0388</v>
      </c>
      <c r="B400" t="str" s="97" cm="1">
        <f t="array" ref="B400">'Question_Bank'!B392</f>
        <v>8-12</v>
      </c>
      <c r="C400" t="str" s="97" cm="1">
        <f t="array" ref="C400">'Question_Bank'!C392</f>
        <v>Emotional Profile</v>
      </c>
      <c r="D400" t="str" s="97" cm="1">
        <f t="array" ref="D400">'Question_Bank'!D392</f>
        <v>Coping</v>
      </c>
      <c r="E400" t="str" s="97" cm="1">
        <f t="array" ref="E400">'Question_Bank'!E392</f>
        <v>Coping</v>
      </c>
      <c r="F400" t="str" s="97" cm="1">
        <f t="array" ref="F400">'Question_Bank'!F392</f>
        <v>Likert</v>
      </c>
      <c r="G400" t="str" s="97" cm="1">
        <f t="array" ref="G400">'Question_Bank'!G392</f>
        <v>I use supportive self-talk.</v>
      </c>
      <c r="H400" s="131" cm="1">
        <f t="array" ref="H400">'Question_Bank'!H392</f>
        <v>0</v>
      </c>
      <c r="I400" s="131" cm="1">
        <f t="array" ref="I400">'Question_Bank'!I392</f>
        <v>0</v>
      </c>
      <c r="J400" s="131" cm="1">
        <f t="array" ref="J400">'Question_Bank'!J392</f>
        <v>0</v>
      </c>
      <c r="K400" s="131" cm="1">
        <f t="array" ref="K400">'Question_Bank'!K392</f>
        <v>0</v>
      </c>
      <c r="L400" s="131" cm="1">
        <f t="array" ref="L400">'Question_Bank'!L392</f>
        <v>0</v>
      </c>
      <c r="M400" s="132"/>
      <c r="N400" t="str" s="97" cm="1">
        <f t="array" ref="N400">IF(M400="","",IF(F400="MCQ",IF(UPPER(M400)=UPPER(L400),1,0),IF(O400="Yes",6-VALUE(M400),VALUE(M400))))</f>
      </c>
      <c r="O400" t="str" s="97" cm="1">
        <f t="array" ref="O400">'Question_Bank'!N392</f>
        <v>No</v>
      </c>
      <c r="P400" s="133" cm="1">
        <f t="array" ref="P400">IF(F400="MCQ",1,5)</f>
        <v>5</v>
      </c>
    </row>
    <row r="401" ht="42" customHeight="1">
      <c r="A401" t="str" s="130" cm="1">
        <f t="array" ref="A401">'Question_Bank'!A393</f>
        <v>NPI0389</v>
      </c>
      <c r="B401" t="str" s="97" cm="1">
        <f t="array" ref="B401">'Question_Bank'!B393</f>
        <v>8-12</v>
      </c>
      <c r="C401" t="str" s="97" cm="1">
        <f t="array" ref="C401">'Question_Bank'!C393</f>
        <v>Emotional Profile</v>
      </c>
      <c r="D401" t="str" s="97" cm="1">
        <f t="array" ref="D401">'Question_Bank'!D393</f>
        <v>Coping</v>
      </c>
      <c r="E401" t="str" s="97" cm="1">
        <f t="array" ref="E401">'Question_Bank'!E393</f>
        <v>Coping</v>
      </c>
      <c r="F401" t="str" s="97" cm="1">
        <f t="array" ref="F401">'Question_Bank'!F393</f>
        <v>Likert</v>
      </c>
      <c r="G401" t="str" s="97" cm="1">
        <f t="array" ref="G401">'Question_Bank'!G393</f>
        <v>I know a strategy that helps.</v>
      </c>
      <c r="H401" s="131" cm="1">
        <f t="array" ref="H401">'Question_Bank'!H393</f>
        <v>0</v>
      </c>
      <c r="I401" s="131" cm="1">
        <f t="array" ref="I401">'Question_Bank'!I393</f>
        <v>0</v>
      </c>
      <c r="J401" s="131" cm="1">
        <f t="array" ref="J401">'Question_Bank'!J393</f>
        <v>0</v>
      </c>
      <c r="K401" s="131" cm="1">
        <f t="array" ref="K401">'Question_Bank'!K393</f>
        <v>0</v>
      </c>
      <c r="L401" s="131" cm="1">
        <f t="array" ref="L401">'Question_Bank'!L393</f>
        <v>0</v>
      </c>
      <c r="M401" s="132"/>
      <c r="N401" t="str" s="97" cm="1">
        <f t="array" ref="N401">IF(M401="","",IF(F401="MCQ",IF(UPPER(M401)=UPPER(L401),1,0),IF(O401="Yes",6-VALUE(M401),VALUE(M401))))</f>
      </c>
      <c r="O401" t="str" s="97" cm="1">
        <f t="array" ref="O401">'Question_Bank'!N393</f>
        <v>No</v>
      </c>
      <c r="P401" s="133" cm="1">
        <f t="array" ref="P401">IF(F401="MCQ",1,5)</f>
        <v>5</v>
      </c>
    </row>
    <row r="402" ht="42" customHeight="1">
      <c r="A402" t="str" s="130" cm="1">
        <f t="array" ref="A402">'Question_Bank'!A394</f>
        <v>NPI0390</v>
      </c>
      <c r="B402" t="str" s="97" cm="1">
        <f t="array" ref="B402">'Question_Bank'!B394</f>
        <v>8-12</v>
      </c>
      <c r="C402" t="str" s="97" cm="1">
        <f t="array" ref="C402">'Question_Bank'!C394</f>
        <v>Emotional Profile</v>
      </c>
      <c r="D402" t="str" s="97" cm="1">
        <f t="array" ref="D402">'Question_Bank'!D394</f>
        <v>Coping</v>
      </c>
      <c r="E402" t="str" s="97" cm="1">
        <f t="array" ref="E402">'Question_Bank'!E394</f>
        <v>Coping</v>
      </c>
      <c r="F402" t="str" s="97" cm="1">
        <f t="array" ref="F402">'Question_Bank'!F394</f>
        <v>Likert</v>
      </c>
      <c r="G402" t="str" s="97" cm="1">
        <f t="array" ref="G402">'Question_Bank'!G394</f>
        <v>I prioritize tasks.</v>
      </c>
      <c r="H402" s="131" cm="1">
        <f t="array" ref="H402">'Question_Bank'!H394</f>
        <v>0</v>
      </c>
      <c r="I402" s="131" cm="1">
        <f t="array" ref="I402">'Question_Bank'!I394</f>
        <v>0</v>
      </c>
      <c r="J402" s="131" cm="1">
        <f t="array" ref="J402">'Question_Bank'!J394</f>
        <v>0</v>
      </c>
      <c r="K402" s="131" cm="1">
        <f t="array" ref="K402">'Question_Bank'!K394</f>
        <v>0</v>
      </c>
      <c r="L402" s="131" cm="1">
        <f t="array" ref="L402">'Question_Bank'!L394</f>
        <v>0</v>
      </c>
      <c r="M402" s="132"/>
      <c r="N402" t="str" s="97" cm="1">
        <f t="array" ref="N402">IF(M402="","",IF(F402="MCQ",IF(UPPER(M402)=UPPER(L402),1,0),IF(O402="Yes",6-VALUE(M402),VALUE(M402))))</f>
      </c>
      <c r="O402" t="str" s="97" cm="1">
        <f t="array" ref="O402">'Question_Bank'!N394</f>
        <v>No</v>
      </c>
      <c r="P402" s="133" cm="1">
        <f t="array" ref="P402">IF(F402="MCQ",1,5)</f>
        <v>5</v>
      </c>
    </row>
    <row r="403" ht="42" customHeight="1">
      <c r="A403" t="str" s="130" cm="1">
        <f t="array" ref="A403">'Question_Bank'!A395</f>
        <v>NPI0391</v>
      </c>
      <c r="B403" t="str" s="97" cm="1">
        <f t="array" ref="B403">'Question_Bank'!B395</f>
        <v>8-12</v>
      </c>
      <c r="C403" t="str" s="97" cm="1">
        <f t="array" ref="C403">'Question_Bank'!C395</f>
        <v>Emotional Profile</v>
      </c>
      <c r="D403" t="str" s="97" cm="1">
        <f t="array" ref="D403">'Question_Bank'!D395</f>
        <v>Coping</v>
      </c>
      <c r="E403" t="str" s="97" cm="1">
        <f t="array" ref="E403">'Question_Bank'!E395</f>
        <v>Coping</v>
      </c>
      <c r="F403" t="str" s="97" cm="1">
        <f t="array" ref="F403">'Question_Bank'!F395</f>
        <v>Likert</v>
      </c>
      <c r="G403" t="str" s="97" cm="1">
        <f t="array" ref="G403">'Question_Bank'!G395</f>
        <v>I reduce distractions.</v>
      </c>
      <c r="H403" s="131" cm="1">
        <f t="array" ref="H403">'Question_Bank'!H395</f>
        <v>0</v>
      </c>
      <c r="I403" s="131" cm="1">
        <f t="array" ref="I403">'Question_Bank'!I395</f>
        <v>0</v>
      </c>
      <c r="J403" s="131" cm="1">
        <f t="array" ref="J403">'Question_Bank'!J395</f>
        <v>0</v>
      </c>
      <c r="K403" s="131" cm="1">
        <f t="array" ref="K403">'Question_Bank'!K395</f>
        <v>0</v>
      </c>
      <c r="L403" s="131" cm="1">
        <f t="array" ref="L403">'Question_Bank'!L395</f>
        <v>0</v>
      </c>
      <c r="M403" s="132"/>
      <c r="N403" t="str" s="97" cm="1">
        <f t="array" ref="N403">IF(M403="","",IF(F403="MCQ",IF(UPPER(M403)=UPPER(L403),1,0),IF(O403="Yes",6-VALUE(M403),VALUE(M403))))</f>
      </c>
      <c r="O403" t="str" s="97" cm="1">
        <f t="array" ref="O403">'Question_Bank'!N395</f>
        <v>No</v>
      </c>
      <c r="P403" s="133" cm="1">
        <f t="array" ref="P403">IF(F403="MCQ",1,5)</f>
        <v>5</v>
      </c>
    </row>
    <row r="404" ht="42" customHeight="1">
      <c r="A404" t="str" s="130" cm="1">
        <f t="array" ref="A404">'Question_Bank'!A396</f>
        <v>NPI0392</v>
      </c>
      <c r="B404" t="str" s="97" cm="1">
        <f t="array" ref="B404">'Question_Bank'!B396</f>
        <v>8-12</v>
      </c>
      <c r="C404" t="str" s="97" cm="1">
        <f t="array" ref="C404">'Question_Bank'!C396</f>
        <v>Emotional Profile</v>
      </c>
      <c r="D404" t="str" s="97" cm="1">
        <f t="array" ref="D404">'Question_Bank'!D396</f>
        <v>Coping</v>
      </c>
      <c r="E404" t="str" s="97" cm="1">
        <f t="array" ref="E404">'Question_Bank'!E396</f>
        <v>Coping</v>
      </c>
      <c r="F404" t="str" s="97" cm="1">
        <f t="array" ref="F404">'Question_Bank'!F396</f>
        <v>Likert</v>
      </c>
      <c r="G404" t="str" s="97" cm="1">
        <f t="array" ref="G404">'Question_Bank'!G396</f>
        <v>I reflect before reacting.</v>
      </c>
      <c r="H404" s="131" cm="1">
        <f t="array" ref="H404">'Question_Bank'!H396</f>
        <v>0</v>
      </c>
      <c r="I404" s="131" cm="1">
        <f t="array" ref="I404">'Question_Bank'!I396</f>
        <v>0</v>
      </c>
      <c r="J404" s="131" cm="1">
        <f t="array" ref="J404">'Question_Bank'!J396</f>
        <v>0</v>
      </c>
      <c r="K404" s="131" cm="1">
        <f t="array" ref="K404">'Question_Bank'!K396</f>
        <v>0</v>
      </c>
      <c r="L404" s="131" cm="1">
        <f t="array" ref="L404">'Question_Bank'!L396</f>
        <v>0</v>
      </c>
      <c r="M404" s="132"/>
      <c r="N404" t="str" s="97" cm="1">
        <f t="array" ref="N404">IF(M404="","",IF(F404="MCQ",IF(UPPER(M404)=UPPER(L404),1,0),IF(O404="Yes",6-VALUE(M404),VALUE(M404))))</f>
      </c>
      <c r="O404" t="str" s="97" cm="1">
        <f t="array" ref="O404">'Question_Bank'!N396</f>
        <v>No</v>
      </c>
      <c r="P404" s="133" cm="1">
        <f t="array" ref="P404">IF(F404="MCQ",1,5)</f>
        <v>5</v>
      </c>
    </row>
    <row r="405" ht="42" customHeight="1">
      <c r="A405" t="str" s="130" cm="1">
        <f t="array" ref="A405">'Question_Bank'!A397</f>
        <v>NPI0393</v>
      </c>
      <c r="B405" t="str" s="97" cm="1">
        <f t="array" ref="B405">'Question_Bank'!B397</f>
        <v>8-12</v>
      </c>
      <c r="C405" t="str" s="97" cm="1">
        <f t="array" ref="C405">'Question_Bank'!C397</f>
        <v>Emotional Profile</v>
      </c>
      <c r="D405" t="str" s="97" cm="1">
        <f t="array" ref="D405">'Question_Bank'!D397</f>
        <v>Coping</v>
      </c>
      <c r="E405" t="str" s="97" cm="1">
        <f t="array" ref="E405">'Question_Bank'!E397</f>
        <v>Coping</v>
      </c>
      <c r="F405" t="str" s="97" cm="1">
        <f t="array" ref="F405">'Question_Bank'!F397</f>
        <v>Likert</v>
      </c>
      <c r="G405" t="str" s="97" cm="1">
        <f t="array" ref="G405">'Question_Bank'!G397</f>
        <v>I ask for help early.</v>
      </c>
      <c r="H405" s="131" cm="1">
        <f t="array" ref="H405">'Question_Bank'!H397</f>
        <v>0</v>
      </c>
      <c r="I405" s="131" cm="1">
        <f t="array" ref="I405">'Question_Bank'!I397</f>
        <v>0</v>
      </c>
      <c r="J405" s="131" cm="1">
        <f t="array" ref="J405">'Question_Bank'!J397</f>
        <v>0</v>
      </c>
      <c r="K405" s="131" cm="1">
        <f t="array" ref="K405">'Question_Bank'!K397</f>
        <v>0</v>
      </c>
      <c r="L405" s="131" cm="1">
        <f t="array" ref="L405">'Question_Bank'!L397</f>
        <v>0</v>
      </c>
      <c r="M405" s="132"/>
      <c r="N405" t="str" s="97" cm="1">
        <f t="array" ref="N405">IF(M405="","",IF(F405="MCQ",IF(UPPER(M405)=UPPER(L405),1,0),IF(O405="Yes",6-VALUE(M405),VALUE(M405))))</f>
      </c>
      <c r="O405" t="str" s="97" cm="1">
        <f t="array" ref="O405">'Question_Bank'!N397</f>
        <v>No</v>
      </c>
      <c r="P405" s="133" cm="1">
        <f t="array" ref="P405">IF(F405="MCQ",1,5)</f>
        <v>5</v>
      </c>
    </row>
    <row r="406" ht="42" customHeight="1">
      <c r="A406" t="str" s="130" cm="1">
        <f t="array" ref="A406">'Question_Bank'!A398</f>
        <v>NPI0394</v>
      </c>
      <c r="B406" t="str" s="97" cm="1">
        <f t="array" ref="B406">'Question_Bank'!B398</f>
        <v>8-12</v>
      </c>
      <c r="C406" t="str" s="97" cm="1">
        <f t="array" ref="C406">'Question_Bank'!C398</f>
        <v>Emotional Profile</v>
      </c>
      <c r="D406" t="str" s="97" cm="1">
        <f t="array" ref="D406">'Question_Bank'!D398</f>
        <v>Coping</v>
      </c>
      <c r="E406" t="str" s="97" cm="1">
        <f t="array" ref="E406">'Question_Bank'!E398</f>
        <v>Coping</v>
      </c>
      <c r="F406" t="str" s="97" cm="1">
        <f t="array" ref="F406">'Question_Bank'!F398</f>
        <v>Likert</v>
      </c>
      <c r="G406" t="str" s="97" cm="1">
        <f t="array" ref="G406">'Question_Bank'!G398</f>
        <v>I create a study plan.</v>
      </c>
      <c r="H406" s="131" cm="1">
        <f t="array" ref="H406">'Question_Bank'!H398</f>
        <v>0</v>
      </c>
      <c r="I406" s="131" cm="1">
        <f t="array" ref="I406">'Question_Bank'!I398</f>
        <v>0</v>
      </c>
      <c r="J406" s="131" cm="1">
        <f t="array" ref="J406">'Question_Bank'!J398</f>
        <v>0</v>
      </c>
      <c r="K406" s="131" cm="1">
        <f t="array" ref="K406">'Question_Bank'!K398</f>
        <v>0</v>
      </c>
      <c r="L406" s="131" cm="1">
        <f t="array" ref="L406">'Question_Bank'!L398</f>
        <v>0</v>
      </c>
      <c r="M406" s="132"/>
      <c r="N406" t="str" s="97" cm="1">
        <f t="array" ref="N406">IF(M406="","",IF(F406="MCQ",IF(UPPER(M406)=UPPER(L406),1,0),IF(O406="Yes",6-VALUE(M406),VALUE(M406))))</f>
      </c>
      <c r="O406" t="str" s="97" cm="1">
        <f t="array" ref="O406">'Question_Bank'!N398</f>
        <v>No</v>
      </c>
      <c r="P406" s="133" cm="1">
        <f t="array" ref="P406">IF(F406="MCQ",1,5)</f>
        <v>5</v>
      </c>
    </row>
    <row r="407" ht="42" customHeight="1">
      <c r="A407" t="str" s="130" cm="1">
        <f t="array" ref="A407">'Question_Bank'!A399</f>
        <v>NPI0395</v>
      </c>
      <c r="B407" t="str" s="97" cm="1">
        <f t="array" ref="B407">'Question_Bank'!B399</f>
        <v>8-12</v>
      </c>
      <c r="C407" t="str" s="97" cm="1">
        <f t="array" ref="C407">'Question_Bank'!C399</f>
        <v>Emotional Profile</v>
      </c>
      <c r="D407" t="str" s="97" cm="1">
        <f t="array" ref="D407">'Question_Bank'!D399</f>
        <v>Coping</v>
      </c>
      <c r="E407" t="str" s="97" cm="1">
        <f t="array" ref="E407">'Question_Bank'!E399</f>
        <v>Coping</v>
      </c>
      <c r="F407" t="str" s="97" cm="1">
        <f t="array" ref="F407">'Question_Bank'!F399</f>
        <v>Likert</v>
      </c>
      <c r="G407" t="str" s="97" cm="1">
        <f t="array" ref="G407">'Question_Bank'!G399</f>
        <v>I use positive routines.</v>
      </c>
      <c r="H407" s="131" cm="1">
        <f t="array" ref="H407">'Question_Bank'!H399</f>
        <v>0</v>
      </c>
      <c r="I407" s="131" cm="1">
        <f t="array" ref="I407">'Question_Bank'!I399</f>
        <v>0</v>
      </c>
      <c r="J407" s="131" cm="1">
        <f t="array" ref="J407">'Question_Bank'!J399</f>
        <v>0</v>
      </c>
      <c r="K407" s="131" cm="1">
        <f t="array" ref="K407">'Question_Bank'!K399</f>
        <v>0</v>
      </c>
      <c r="L407" s="131" cm="1">
        <f t="array" ref="L407">'Question_Bank'!L399</f>
        <v>0</v>
      </c>
      <c r="M407" s="132"/>
      <c r="N407" t="str" s="97" cm="1">
        <f t="array" ref="N407">IF(M407="","",IF(F407="MCQ",IF(UPPER(M407)=UPPER(L407),1,0),IF(O407="Yes",6-VALUE(M407),VALUE(M407))))</f>
      </c>
      <c r="O407" t="str" s="97" cm="1">
        <f t="array" ref="O407">'Question_Bank'!N399</f>
        <v>No</v>
      </c>
      <c r="P407" s="133" cm="1">
        <f t="array" ref="P407">IF(F407="MCQ",1,5)</f>
        <v>5</v>
      </c>
    </row>
    <row r="408" ht="42" customHeight="1">
      <c r="A408" t="str" s="130" cm="1">
        <f t="array" ref="A408">'Question_Bank'!A400</f>
        <v>NPI0396</v>
      </c>
      <c r="B408" t="str" s="97" cm="1">
        <f t="array" ref="B408">'Question_Bank'!B400</f>
        <v>8-12</v>
      </c>
      <c r="C408" t="str" s="97" cm="1">
        <f t="array" ref="C408">'Question_Bank'!C400</f>
        <v>Learning Style</v>
      </c>
      <c r="D408" t="str" s="97" cm="1">
        <f t="array" ref="D408">'Question_Bank'!D400</f>
        <v>Visual</v>
      </c>
      <c r="E408" t="str" s="97" cm="1">
        <f t="array" ref="E408">'Question_Bank'!E400</f>
        <v>Visual</v>
      </c>
      <c r="F408" t="str" s="97" cm="1">
        <f t="array" ref="F408">'Question_Bank'!F400</f>
        <v>Likert</v>
      </c>
      <c r="G408" t="str" s="97" cm="1">
        <f t="array" ref="G408">'Question_Bank'!G400</f>
        <v>I learn well through diagrams or charts.</v>
      </c>
      <c r="H408" s="131" cm="1">
        <f t="array" ref="H408">'Question_Bank'!H400</f>
        <v>0</v>
      </c>
      <c r="I408" s="131" cm="1">
        <f t="array" ref="I408">'Question_Bank'!I400</f>
        <v>0</v>
      </c>
      <c r="J408" s="131" cm="1">
        <f t="array" ref="J408">'Question_Bank'!J400</f>
        <v>0</v>
      </c>
      <c r="K408" s="131" cm="1">
        <f t="array" ref="K408">'Question_Bank'!K400</f>
        <v>0</v>
      </c>
      <c r="L408" s="131" cm="1">
        <f t="array" ref="L408">'Question_Bank'!L400</f>
        <v>0</v>
      </c>
      <c r="M408" s="132"/>
      <c r="N408" t="str" s="97" cm="1">
        <f t="array" ref="N408">IF(M408="","",IF(F408="MCQ",IF(UPPER(M408)=UPPER(L408),1,0),IF(O408="Yes",6-VALUE(M408),VALUE(M408))))</f>
      </c>
      <c r="O408" t="str" s="97" cm="1">
        <f t="array" ref="O408">'Question_Bank'!N400</f>
        <v>No</v>
      </c>
      <c r="P408" s="133" cm="1">
        <f t="array" ref="P408">IF(F408="MCQ",1,5)</f>
        <v>5</v>
      </c>
    </row>
    <row r="409" ht="42" customHeight="1">
      <c r="A409" t="str" s="130" cm="1">
        <f t="array" ref="A409">'Question_Bank'!A401</f>
        <v>NPI0397</v>
      </c>
      <c r="B409" t="str" s="97" cm="1">
        <f t="array" ref="B409">'Question_Bank'!B401</f>
        <v>8-12</v>
      </c>
      <c r="C409" t="str" s="97" cm="1">
        <f t="array" ref="C409">'Question_Bank'!C401</f>
        <v>Learning Style</v>
      </c>
      <c r="D409" t="str" s="97" cm="1">
        <f t="array" ref="D409">'Question_Bank'!D401</f>
        <v>Visual</v>
      </c>
      <c r="E409" t="str" s="97" cm="1">
        <f t="array" ref="E409">'Question_Bank'!E401</f>
        <v>Visual</v>
      </c>
      <c r="F409" t="str" s="97" cm="1">
        <f t="array" ref="F409">'Question_Bank'!F401</f>
        <v>Likert</v>
      </c>
      <c r="G409" t="str" s="97" cm="1">
        <f t="array" ref="G409">'Question_Bank'!G401</f>
        <v>I learn well through mind maps.</v>
      </c>
      <c r="H409" s="131" cm="1">
        <f t="array" ref="H409">'Question_Bank'!H401</f>
        <v>0</v>
      </c>
      <c r="I409" s="131" cm="1">
        <f t="array" ref="I409">'Question_Bank'!I401</f>
        <v>0</v>
      </c>
      <c r="J409" s="131" cm="1">
        <f t="array" ref="J409">'Question_Bank'!J401</f>
        <v>0</v>
      </c>
      <c r="K409" s="131" cm="1">
        <f t="array" ref="K409">'Question_Bank'!K401</f>
        <v>0</v>
      </c>
      <c r="L409" s="131" cm="1">
        <f t="array" ref="L409">'Question_Bank'!L401</f>
        <v>0</v>
      </c>
      <c r="M409" s="132"/>
      <c r="N409" t="str" s="97" cm="1">
        <f t="array" ref="N409">IF(M409="","",IF(F409="MCQ",IF(UPPER(M409)=UPPER(L409),1,0),IF(O409="Yes",6-VALUE(M409),VALUE(M409))))</f>
      </c>
      <c r="O409" t="str" s="97" cm="1">
        <f t="array" ref="O409">'Question_Bank'!N401</f>
        <v>No</v>
      </c>
      <c r="P409" s="133" cm="1">
        <f t="array" ref="P409">IF(F409="MCQ",1,5)</f>
        <v>5</v>
      </c>
    </row>
    <row r="410" ht="42" customHeight="1">
      <c r="A410" t="str" s="130" cm="1">
        <f t="array" ref="A410">'Question_Bank'!A402</f>
        <v>NPI0398</v>
      </c>
      <c r="B410" t="str" s="97" cm="1">
        <f t="array" ref="B410">'Question_Bank'!B402</f>
        <v>8-12</v>
      </c>
      <c r="C410" t="str" s="97" cm="1">
        <f t="array" ref="C410">'Question_Bank'!C402</f>
        <v>Learning Style</v>
      </c>
      <c r="D410" t="str" s="97" cm="1">
        <f t="array" ref="D410">'Question_Bank'!D402</f>
        <v>Visual</v>
      </c>
      <c r="E410" t="str" s="97" cm="1">
        <f t="array" ref="E410">'Question_Bank'!E402</f>
        <v>Visual</v>
      </c>
      <c r="F410" t="str" s="97" cm="1">
        <f t="array" ref="F410">'Question_Bank'!F402</f>
        <v>Likert</v>
      </c>
      <c r="G410" t="str" s="97" cm="1">
        <f t="array" ref="G410">'Question_Bank'!G402</f>
        <v>I learn well through pictures or visual examples.</v>
      </c>
      <c r="H410" s="131" cm="1">
        <f t="array" ref="H410">'Question_Bank'!H402</f>
        <v>0</v>
      </c>
      <c r="I410" s="131" cm="1">
        <f t="array" ref="I410">'Question_Bank'!I402</f>
        <v>0</v>
      </c>
      <c r="J410" s="131" cm="1">
        <f t="array" ref="J410">'Question_Bank'!J402</f>
        <v>0</v>
      </c>
      <c r="K410" s="131" cm="1">
        <f t="array" ref="K410">'Question_Bank'!K402</f>
        <v>0</v>
      </c>
      <c r="L410" s="131" cm="1">
        <f t="array" ref="L410">'Question_Bank'!L402</f>
        <v>0</v>
      </c>
      <c r="M410" s="132"/>
      <c r="N410" t="str" s="97" cm="1">
        <f t="array" ref="N410">IF(M410="","",IF(F410="MCQ",IF(UPPER(M410)=UPPER(L410),1,0),IF(O410="Yes",6-VALUE(M410),VALUE(M410))))</f>
      </c>
      <c r="O410" t="str" s="97" cm="1">
        <f t="array" ref="O410">'Question_Bank'!N402</f>
        <v>No</v>
      </c>
      <c r="P410" s="133" cm="1">
        <f t="array" ref="P410">IF(F410="MCQ",1,5)</f>
        <v>5</v>
      </c>
    </row>
    <row r="411" ht="42" customHeight="1">
      <c r="A411" t="str" s="130" cm="1">
        <f t="array" ref="A411">'Question_Bank'!A403</f>
        <v>NPI0399</v>
      </c>
      <c r="B411" t="str" s="97" cm="1">
        <f t="array" ref="B411">'Question_Bank'!B403</f>
        <v>8-12</v>
      </c>
      <c r="C411" t="str" s="97" cm="1">
        <f t="array" ref="C411">'Question_Bank'!C403</f>
        <v>Learning Style</v>
      </c>
      <c r="D411" t="str" s="97" cm="1">
        <f t="array" ref="D411">'Question_Bank'!D403</f>
        <v>Visual</v>
      </c>
      <c r="E411" t="str" s="97" cm="1">
        <f t="array" ref="E411">'Question_Bank'!E403</f>
        <v>Visual</v>
      </c>
      <c r="F411" t="str" s="97" cm="1">
        <f t="array" ref="F411">'Question_Bank'!F403</f>
        <v>Likert</v>
      </c>
      <c r="G411" t="str" s="97" cm="1">
        <f t="array" ref="G411">'Question_Bank'!G403</f>
        <v>I learn well through page layout memory.</v>
      </c>
      <c r="H411" s="131" cm="1">
        <f t="array" ref="H411">'Question_Bank'!H403</f>
        <v>0</v>
      </c>
      <c r="I411" s="131" cm="1">
        <f t="array" ref="I411">'Question_Bank'!I403</f>
        <v>0</v>
      </c>
      <c r="J411" s="131" cm="1">
        <f t="array" ref="J411">'Question_Bank'!J403</f>
        <v>0</v>
      </c>
      <c r="K411" s="131" cm="1">
        <f t="array" ref="K411">'Question_Bank'!K403</f>
        <v>0</v>
      </c>
      <c r="L411" s="131" cm="1">
        <f t="array" ref="L411">'Question_Bank'!L403</f>
        <v>0</v>
      </c>
      <c r="M411" s="132"/>
      <c r="N411" t="str" s="97" cm="1">
        <f t="array" ref="N411">IF(M411="","",IF(F411="MCQ",IF(UPPER(M411)=UPPER(L411),1,0),IF(O411="Yes",6-VALUE(M411),VALUE(M411))))</f>
      </c>
      <c r="O411" t="str" s="97" cm="1">
        <f t="array" ref="O411">'Question_Bank'!N403</f>
        <v>No</v>
      </c>
      <c r="P411" s="133" cm="1">
        <f t="array" ref="P411">IF(F411="MCQ",1,5)</f>
        <v>5</v>
      </c>
    </row>
    <row r="412" ht="42" customHeight="1">
      <c r="A412" t="str" s="130" cm="1">
        <f t="array" ref="A412">'Question_Bank'!A404</f>
        <v>NPI0400</v>
      </c>
      <c r="B412" t="str" s="97" cm="1">
        <f t="array" ref="B412">'Question_Bank'!B404</f>
        <v>8-12</v>
      </c>
      <c r="C412" t="str" s="97" cm="1">
        <f t="array" ref="C412">'Question_Bank'!C404</f>
        <v>Learning Style</v>
      </c>
      <c r="D412" t="str" s="97" cm="1">
        <f t="array" ref="D412">'Question_Bank'!D404</f>
        <v>Visual</v>
      </c>
      <c r="E412" t="str" s="97" cm="1">
        <f t="array" ref="E412">'Question_Bank'!E404</f>
        <v>Visual</v>
      </c>
      <c r="F412" t="str" s="97" cm="1">
        <f t="array" ref="F412">'Question_Bank'!F404</f>
        <v>Likert</v>
      </c>
      <c r="G412" t="str" s="97" cm="1">
        <f t="array" ref="G412">'Question_Bank'!G404</f>
        <v>I learn well through videos and animations.</v>
      </c>
      <c r="H412" s="131" cm="1">
        <f t="array" ref="H412">'Question_Bank'!H404</f>
        <v>0</v>
      </c>
      <c r="I412" s="131" cm="1">
        <f t="array" ref="I412">'Question_Bank'!I404</f>
        <v>0</v>
      </c>
      <c r="J412" s="131" cm="1">
        <f t="array" ref="J412">'Question_Bank'!J404</f>
        <v>0</v>
      </c>
      <c r="K412" s="131" cm="1">
        <f t="array" ref="K412">'Question_Bank'!K404</f>
        <v>0</v>
      </c>
      <c r="L412" s="131" cm="1">
        <f t="array" ref="L412">'Question_Bank'!L404</f>
        <v>0</v>
      </c>
      <c r="M412" s="132"/>
      <c r="N412" t="str" s="97" cm="1">
        <f t="array" ref="N412">IF(M412="","",IF(F412="MCQ",IF(UPPER(M412)=UPPER(L412),1,0),IF(O412="Yes",6-VALUE(M412),VALUE(M412))))</f>
      </c>
      <c r="O412" t="str" s="97" cm="1">
        <f t="array" ref="O412">'Question_Bank'!N404</f>
        <v>No</v>
      </c>
      <c r="P412" s="133" cm="1">
        <f t="array" ref="P412">IF(F412="MCQ",1,5)</f>
        <v>5</v>
      </c>
    </row>
    <row r="413" ht="42" customHeight="1">
      <c r="A413" t="str" s="130" cm="1">
        <f t="array" ref="A413">'Question_Bank'!A405</f>
        <v>NPI0401</v>
      </c>
      <c r="B413" t="str" s="97" cm="1">
        <f t="array" ref="B413">'Question_Bank'!B405</f>
        <v>8-12</v>
      </c>
      <c r="C413" t="str" s="97" cm="1">
        <f t="array" ref="C413">'Question_Bank'!C405</f>
        <v>Learning Style</v>
      </c>
      <c r="D413" t="str" s="97" cm="1">
        <f t="array" ref="D413">'Question_Bank'!D405</f>
        <v>Visual</v>
      </c>
      <c r="E413" t="str" s="97" cm="1">
        <f t="array" ref="E413">'Question_Bank'!E405</f>
        <v>Visual</v>
      </c>
      <c r="F413" t="str" s="97" cm="1">
        <f t="array" ref="F413">'Question_Bank'!F405</f>
        <v>Likert</v>
      </c>
      <c r="G413" t="str" s="97" cm="1">
        <f t="array" ref="G413">'Question_Bank'!G405</f>
        <v>I learn well through color-coded notes.</v>
      </c>
      <c r="H413" s="131" cm="1">
        <f t="array" ref="H413">'Question_Bank'!H405</f>
        <v>0</v>
      </c>
      <c r="I413" s="131" cm="1">
        <f t="array" ref="I413">'Question_Bank'!I405</f>
        <v>0</v>
      </c>
      <c r="J413" s="131" cm="1">
        <f t="array" ref="J413">'Question_Bank'!J405</f>
        <v>0</v>
      </c>
      <c r="K413" s="131" cm="1">
        <f t="array" ref="K413">'Question_Bank'!K405</f>
        <v>0</v>
      </c>
      <c r="L413" s="131" cm="1">
        <f t="array" ref="L413">'Question_Bank'!L405</f>
        <v>0</v>
      </c>
      <c r="M413" s="132"/>
      <c r="N413" t="str" s="97" cm="1">
        <f t="array" ref="N413">IF(M413="","",IF(F413="MCQ",IF(UPPER(M413)=UPPER(L413),1,0),IF(O413="Yes",6-VALUE(M413),VALUE(M413))))</f>
      </c>
      <c r="O413" t="str" s="97" cm="1">
        <f t="array" ref="O413">'Question_Bank'!N405</f>
        <v>No</v>
      </c>
      <c r="P413" s="133" cm="1">
        <f t="array" ref="P413">IF(F413="MCQ",1,5)</f>
        <v>5</v>
      </c>
    </row>
    <row r="414" ht="42" customHeight="1">
      <c r="A414" t="str" s="130" cm="1">
        <f t="array" ref="A414">'Question_Bank'!A406</f>
        <v>NPI0402</v>
      </c>
      <c r="B414" t="str" s="97" cm="1">
        <f t="array" ref="B414">'Question_Bank'!B406</f>
        <v>8-12</v>
      </c>
      <c r="C414" t="str" s="97" cm="1">
        <f t="array" ref="C414">'Question_Bank'!C406</f>
        <v>Learning Style</v>
      </c>
      <c r="D414" t="str" s="97" cm="1">
        <f t="array" ref="D414">'Question_Bank'!D406</f>
        <v>Visual</v>
      </c>
      <c r="E414" t="str" s="97" cm="1">
        <f t="array" ref="E414">'Question_Bank'!E406</f>
        <v>Visual</v>
      </c>
      <c r="F414" t="str" s="97" cm="1">
        <f t="array" ref="F414">'Question_Bank'!F406</f>
        <v>Likert</v>
      </c>
      <c r="G414" t="str" s="97" cm="1">
        <f t="array" ref="G414">'Question_Bank'!G406</f>
        <v>I learn well through flowcharts.</v>
      </c>
      <c r="H414" s="131" cm="1">
        <f t="array" ref="H414">'Question_Bank'!H406</f>
        <v>0</v>
      </c>
      <c r="I414" s="131" cm="1">
        <f t="array" ref="I414">'Question_Bank'!I406</f>
        <v>0</v>
      </c>
      <c r="J414" s="131" cm="1">
        <f t="array" ref="J414">'Question_Bank'!J406</f>
        <v>0</v>
      </c>
      <c r="K414" s="131" cm="1">
        <f t="array" ref="K414">'Question_Bank'!K406</f>
        <v>0</v>
      </c>
      <c r="L414" s="131" cm="1">
        <f t="array" ref="L414">'Question_Bank'!L406</f>
        <v>0</v>
      </c>
      <c r="M414" s="132"/>
      <c r="N414" t="str" s="97" cm="1">
        <f t="array" ref="N414">IF(M414="","",IF(F414="MCQ",IF(UPPER(M414)=UPPER(L414),1,0),IF(O414="Yes",6-VALUE(M414),VALUE(M414))))</f>
      </c>
      <c r="O414" t="str" s="97" cm="1">
        <f t="array" ref="O414">'Question_Bank'!N406</f>
        <v>No</v>
      </c>
      <c r="P414" s="133" cm="1">
        <f t="array" ref="P414">IF(F414="MCQ",1,5)</f>
        <v>5</v>
      </c>
    </row>
    <row r="415" ht="42" customHeight="1">
      <c r="A415" t="str" s="130" cm="1">
        <f t="array" ref="A415">'Question_Bank'!A407</f>
        <v>NPI0403</v>
      </c>
      <c r="B415" t="str" s="97" cm="1">
        <f t="array" ref="B415">'Question_Bank'!B407</f>
        <v>8-12</v>
      </c>
      <c r="C415" t="str" s="97" cm="1">
        <f t="array" ref="C415">'Question_Bank'!C407</f>
        <v>Learning Style</v>
      </c>
      <c r="D415" t="str" s="97" cm="1">
        <f t="array" ref="D415">'Question_Bank'!D407</f>
        <v>Visual</v>
      </c>
      <c r="E415" t="str" s="97" cm="1">
        <f t="array" ref="E415">'Question_Bank'!E407</f>
        <v>Visual</v>
      </c>
      <c r="F415" t="str" s="97" cm="1">
        <f t="array" ref="F415">'Question_Bank'!F407</f>
        <v>Likert</v>
      </c>
      <c r="G415" t="str" s="97" cm="1">
        <f t="array" ref="G415">'Question_Bank'!G407</f>
        <v>I learn well through visual summaries.</v>
      </c>
      <c r="H415" s="131" cm="1">
        <f t="array" ref="H415">'Question_Bank'!H407</f>
        <v>0</v>
      </c>
      <c r="I415" s="131" cm="1">
        <f t="array" ref="I415">'Question_Bank'!I407</f>
        <v>0</v>
      </c>
      <c r="J415" s="131" cm="1">
        <f t="array" ref="J415">'Question_Bank'!J407</f>
        <v>0</v>
      </c>
      <c r="K415" s="131" cm="1">
        <f t="array" ref="K415">'Question_Bank'!K407</f>
        <v>0</v>
      </c>
      <c r="L415" s="131" cm="1">
        <f t="array" ref="L415">'Question_Bank'!L407</f>
        <v>0</v>
      </c>
      <c r="M415" s="132"/>
      <c r="N415" t="str" s="97" cm="1">
        <f t="array" ref="N415">IF(M415="","",IF(F415="MCQ",IF(UPPER(M415)=UPPER(L415),1,0),IF(O415="Yes",6-VALUE(M415),VALUE(M415))))</f>
      </c>
      <c r="O415" t="str" s="97" cm="1">
        <f t="array" ref="O415">'Question_Bank'!N407</f>
        <v>No</v>
      </c>
      <c r="P415" s="133" cm="1">
        <f t="array" ref="P415">IF(F415="MCQ",1,5)</f>
        <v>5</v>
      </c>
    </row>
    <row r="416" ht="42" customHeight="1">
      <c r="A416" t="str" s="130" cm="1">
        <f t="array" ref="A416">'Question_Bank'!A408</f>
        <v>NPI0404</v>
      </c>
      <c r="B416" t="str" s="97" cm="1">
        <f t="array" ref="B416">'Question_Bank'!B408</f>
        <v>8-12</v>
      </c>
      <c r="C416" t="str" s="97" cm="1">
        <f t="array" ref="C416">'Question_Bank'!C408</f>
        <v>Learning Style</v>
      </c>
      <c r="D416" t="str" s="97" cm="1">
        <f t="array" ref="D416">'Question_Bank'!D408</f>
        <v>Visual</v>
      </c>
      <c r="E416" t="str" s="97" cm="1">
        <f t="array" ref="E416">'Question_Bank'!E408</f>
        <v>Visual</v>
      </c>
      <c r="F416" t="str" s="97" cm="1">
        <f t="array" ref="F416">'Question_Bank'!F408</f>
        <v>Likert</v>
      </c>
      <c r="G416" t="str" s="97" cm="1">
        <f t="array" ref="G416">'Question_Bank'!G408</f>
        <v>I learn well through images.</v>
      </c>
      <c r="H416" s="131" cm="1">
        <f t="array" ref="H416">'Question_Bank'!H408</f>
        <v>0</v>
      </c>
      <c r="I416" s="131" cm="1">
        <f t="array" ref="I416">'Question_Bank'!I408</f>
        <v>0</v>
      </c>
      <c r="J416" s="131" cm="1">
        <f t="array" ref="J416">'Question_Bank'!J408</f>
        <v>0</v>
      </c>
      <c r="K416" s="131" cm="1">
        <f t="array" ref="K416">'Question_Bank'!K408</f>
        <v>0</v>
      </c>
      <c r="L416" s="131" cm="1">
        <f t="array" ref="L416">'Question_Bank'!L408</f>
        <v>0</v>
      </c>
      <c r="M416" s="132"/>
      <c r="N416" t="str" s="97" cm="1">
        <f t="array" ref="N416">IF(M416="","",IF(F416="MCQ",IF(UPPER(M416)=UPPER(L416),1,0),IF(O416="Yes",6-VALUE(M416),VALUE(M416))))</f>
      </c>
      <c r="O416" t="str" s="97" cm="1">
        <f t="array" ref="O416">'Question_Bank'!N408</f>
        <v>No</v>
      </c>
      <c r="P416" s="133" cm="1">
        <f t="array" ref="P416">IF(F416="MCQ",1,5)</f>
        <v>5</v>
      </c>
    </row>
    <row r="417" ht="42" customHeight="1">
      <c r="A417" t="str" s="130" cm="1">
        <f t="array" ref="A417">'Question_Bank'!A409</f>
        <v>NPI0405</v>
      </c>
      <c r="B417" t="str" s="97" cm="1">
        <f t="array" ref="B417">'Question_Bank'!B409</f>
        <v>8-12</v>
      </c>
      <c r="C417" t="str" s="97" cm="1">
        <f t="array" ref="C417">'Question_Bank'!C409</f>
        <v>Learning Style</v>
      </c>
      <c r="D417" t="str" s="97" cm="1">
        <f t="array" ref="D417">'Question_Bank'!D409</f>
        <v>Visual</v>
      </c>
      <c r="E417" t="str" s="97" cm="1">
        <f t="array" ref="E417">'Question_Bank'!E409</f>
        <v>Visual</v>
      </c>
      <c r="F417" t="str" s="97" cm="1">
        <f t="array" ref="F417">'Question_Bank'!F409</f>
        <v>Likert</v>
      </c>
      <c r="G417" t="str" s="97" cm="1">
        <f t="array" ref="G417">'Question_Bank'!G409</f>
        <v>I learn well through drawing concepts.</v>
      </c>
      <c r="H417" s="131" cm="1">
        <f t="array" ref="H417">'Question_Bank'!H409</f>
        <v>0</v>
      </c>
      <c r="I417" s="131" cm="1">
        <f t="array" ref="I417">'Question_Bank'!I409</f>
        <v>0</v>
      </c>
      <c r="J417" s="131" cm="1">
        <f t="array" ref="J417">'Question_Bank'!J409</f>
        <v>0</v>
      </c>
      <c r="K417" s="131" cm="1">
        <f t="array" ref="K417">'Question_Bank'!K409</f>
        <v>0</v>
      </c>
      <c r="L417" s="131" cm="1">
        <f t="array" ref="L417">'Question_Bank'!L409</f>
        <v>0</v>
      </c>
      <c r="M417" s="132"/>
      <c r="N417" t="str" s="97" cm="1">
        <f t="array" ref="N417">IF(M417="","",IF(F417="MCQ",IF(UPPER(M417)=UPPER(L417),1,0),IF(O417="Yes",6-VALUE(M417),VALUE(M417))))</f>
      </c>
      <c r="O417" t="str" s="97" cm="1">
        <f t="array" ref="O417">'Question_Bank'!N409</f>
        <v>No</v>
      </c>
      <c r="P417" s="133" cm="1">
        <f t="array" ref="P417">IF(F417="MCQ",1,5)</f>
        <v>5</v>
      </c>
    </row>
    <row r="418" ht="42" customHeight="1">
      <c r="A418" t="str" s="130" cm="1">
        <f t="array" ref="A418">'Question_Bank'!A410</f>
        <v>NPI0406</v>
      </c>
      <c r="B418" t="str" s="97" cm="1">
        <f t="array" ref="B418">'Question_Bank'!B410</f>
        <v>8-12</v>
      </c>
      <c r="C418" t="str" s="97" cm="1">
        <f t="array" ref="C418">'Question_Bank'!C410</f>
        <v>Learning Style</v>
      </c>
      <c r="D418" t="str" s="97" cm="1">
        <f t="array" ref="D418">'Question_Bank'!D410</f>
        <v>Visual</v>
      </c>
      <c r="E418" t="str" s="97" cm="1">
        <f t="array" ref="E418">'Question_Bank'!E410</f>
        <v>Visual</v>
      </c>
      <c r="F418" t="str" s="97" cm="1">
        <f t="array" ref="F418">'Question_Bank'!F410</f>
        <v>Likert</v>
      </c>
      <c r="G418" t="str" s="97" cm="1">
        <f t="array" ref="G418">'Question_Bank'!G410</f>
        <v>I learn well through graphs.</v>
      </c>
      <c r="H418" s="131" cm="1">
        <f t="array" ref="H418">'Question_Bank'!H410</f>
        <v>0</v>
      </c>
      <c r="I418" s="131" cm="1">
        <f t="array" ref="I418">'Question_Bank'!I410</f>
        <v>0</v>
      </c>
      <c r="J418" s="131" cm="1">
        <f t="array" ref="J418">'Question_Bank'!J410</f>
        <v>0</v>
      </c>
      <c r="K418" s="131" cm="1">
        <f t="array" ref="K418">'Question_Bank'!K410</f>
        <v>0</v>
      </c>
      <c r="L418" s="131" cm="1">
        <f t="array" ref="L418">'Question_Bank'!L410</f>
        <v>0</v>
      </c>
      <c r="M418" s="132"/>
      <c r="N418" t="str" s="97" cm="1">
        <f t="array" ref="N418">IF(M418="","",IF(F418="MCQ",IF(UPPER(M418)=UPPER(L418),1,0),IF(O418="Yes",6-VALUE(M418),VALUE(M418))))</f>
      </c>
      <c r="O418" t="str" s="97" cm="1">
        <f t="array" ref="O418">'Question_Bank'!N410</f>
        <v>No</v>
      </c>
      <c r="P418" s="133" cm="1">
        <f t="array" ref="P418">IF(F418="MCQ",1,5)</f>
        <v>5</v>
      </c>
    </row>
    <row r="419" ht="42" customHeight="1">
      <c r="A419" t="str" s="130" cm="1">
        <f t="array" ref="A419">'Question_Bank'!A411</f>
        <v>NPI0407</v>
      </c>
      <c r="B419" t="str" s="97" cm="1">
        <f t="array" ref="B419">'Question_Bank'!B411</f>
        <v>8-12</v>
      </c>
      <c r="C419" t="str" s="97" cm="1">
        <f t="array" ref="C419">'Question_Bank'!C411</f>
        <v>Learning Style</v>
      </c>
      <c r="D419" t="str" s="97" cm="1">
        <f t="array" ref="D419">'Question_Bank'!D411</f>
        <v>Visual</v>
      </c>
      <c r="E419" t="str" s="97" cm="1">
        <f t="array" ref="E419">'Question_Bank'!E411</f>
        <v>Visual</v>
      </c>
      <c r="F419" t="str" s="97" cm="1">
        <f t="array" ref="F419">'Question_Bank'!F411</f>
        <v>Likert</v>
      </c>
      <c r="G419" t="str" s="97" cm="1">
        <f t="array" ref="G419">'Question_Bank'!G411</f>
        <v>I learn well through worked examples.</v>
      </c>
      <c r="H419" s="131" cm="1">
        <f t="array" ref="H419">'Question_Bank'!H411</f>
        <v>0</v>
      </c>
      <c r="I419" s="131" cm="1">
        <f t="array" ref="I419">'Question_Bank'!I411</f>
        <v>0</v>
      </c>
      <c r="J419" s="131" cm="1">
        <f t="array" ref="J419">'Question_Bank'!J411</f>
        <v>0</v>
      </c>
      <c r="K419" s="131" cm="1">
        <f t="array" ref="K419">'Question_Bank'!K411</f>
        <v>0</v>
      </c>
      <c r="L419" s="131" cm="1">
        <f t="array" ref="L419">'Question_Bank'!L411</f>
        <v>0</v>
      </c>
      <c r="M419" s="132"/>
      <c r="N419" t="str" s="97" cm="1">
        <f t="array" ref="N419">IF(M419="","",IF(F419="MCQ",IF(UPPER(M419)=UPPER(L419),1,0),IF(O419="Yes",6-VALUE(M419),VALUE(M419))))</f>
      </c>
      <c r="O419" t="str" s="97" cm="1">
        <f t="array" ref="O419">'Question_Bank'!N411</f>
        <v>No</v>
      </c>
      <c r="P419" s="133" cm="1">
        <f t="array" ref="P419">IF(F419="MCQ",1,5)</f>
        <v>5</v>
      </c>
    </row>
    <row r="420" ht="42" customHeight="1">
      <c r="A420" t="str" s="130" cm="1">
        <f t="array" ref="A420">'Question_Bank'!A412</f>
        <v>NPI0408</v>
      </c>
      <c r="B420" t="str" s="97" cm="1">
        <f t="array" ref="B420">'Question_Bank'!B412</f>
        <v>8-12</v>
      </c>
      <c r="C420" t="str" s="97" cm="1">
        <f t="array" ref="C420">'Question_Bank'!C412</f>
        <v>Learning Style</v>
      </c>
      <c r="D420" t="str" s="97" cm="1">
        <f t="array" ref="D420">'Question_Bank'!D412</f>
        <v>Visual</v>
      </c>
      <c r="E420" t="str" s="97" cm="1">
        <f t="array" ref="E420">'Question_Bank'!E412</f>
        <v>Visual</v>
      </c>
      <c r="F420" t="str" s="97" cm="1">
        <f t="array" ref="F420">'Question_Bank'!F412</f>
        <v>Likert</v>
      </c>
      <c r="G420" t="str" s="97" cm="1">
        <f t="array" ref="G420">'Question_Bank'!G412</f>
        <v>I learn well through symbols or sketches.</v>
      </c>
      <c r="H420" s="131" cm="1">
        <f t="array" ref="H420">'Question_Bank'!H412</f>
        <v>0</v>
      </c>
      <c r="I420" s="131" cm="1">
        <f t="array" ref="I420">'Question_Bank'!I412</f>
        <v>0</v>
      </c>
      <c r="J420" s="131" cm="1">
        <f t="array" ref="J420">'Question_Bank'!J412</f>
        <v>0</v>
      </c>
      <c r="K420" s="131" cm="1">
        <f t="array" ref="K420">'Question_Bank'!K412</f>
        <v>0</v>
      </c>
      <c r="L420" s="131" cm="1">
        <f t="array" ref="L420">'Question_Bank'!L412</f>
        <v>0</v>
      </c>
      <c r="M420" s="132"/>
      <c r="N420" t="str" s="97" cm="1">
        <f t="array" ref="N420">IF(M420="","",IF(F420="MCQ",IF(UPPER(M420)=UPPER(L420),1,0),IF(O420="Yes",6-VALUE(M420),VALUE(M420))))</f>
      </c>
      <c r="O420" t="str" s="97" cm="1">
        <f t="array" ref="O420">'Question_Bank'!N412</f>
        <v>No</v>
      </c>
      <c r="P420" s="133" cm="1">
        <f t="array" ref="P420">IF(F420="MCQ",1,5)</f>
        <v>5</v>
      </c>
    </row>
    <row r="421" ht="42" customHeight="1">
      <c r="A421" t="str" s="130" cm="1">
        <f t="array" ref="A421">'Question_Bank'!A413</f>
        <v>NPI0409</v>
      </c>
      <c r="B421" t="str" s="97" cm="1">
        <f t="array" ref="B421">'Question_Bank'!B413</f>
        <v>8-12</v>
      </c>
      <c r="C421" t="str" s="97" cm="1">
        <f t="array" ref="C421">'Question_Bank'!C413</f>
        <v>Learning Style</v>
      </c>
      <c r="D421" t="str" s="97" cm="1">
        <f t="array" ref="D421">'Question_Bank'!D413</f>
        <v>Visual</v>
      </c>
      <c r="E421" t="str" s="97" cm="1">
        <f t="array" ref="E421">'Question_Bank'!E413</f>
        <v>Visual</v>
      </c>
      <c r="F421" t="str" s="97" cm="1">
        <f t="array" ref="F421">'Question_Bank'!F413</f>
        <v>Likert</v>
      </c>
      <c r="G421" t="str" s="97" cm="1">
        <f t="array" ref="G421">'Question_Bank'!G413</f>
        <v>I learn well through visual demonstrations.</v>
      </c>
      <c r="H421" s="131" cm="1">
        <f t="array" ref="H421">'Question_Bank'!H413</f>
        <v>0</v>
      </c>
      <c r="I421" s="131" cm="1">
        <f t="array" ref="I421">'Question_Bank'!I413</f>
        <v>0</v>
      </c>
      <c r="J421" s="131" cm="1">
        <f t="array" ref="J421">'Question_Bank'!J413</f>
        <v>0</v>
      </c>
      <c r="K421" s="131" cm="1">
        <f t="array" ref="K421">'Question_Bank'!K413</f>
        <v>0</v>
      </c>
      <c r="L421" s="131" cm="1">
        <f t="array" ref="L421">'Question_Bank'!L413</f>
        <v>0</v>
      </c>
      <c r="M421" s="132"/>
      <c r="N421" t="str" s="97" cm="1">
        <f t="array" ref="N421">IF(M421="","",IF(F421="MCQ",IF(UPPER(M421)=UPPER(L421),1,0),IF(O421="Yes",6-VALUE(M421),VALUE(M421))))</f>
      </c>
      <c r="O421" t="str" s="97" cm="1">
        <f t="array" ref="O421">'Question_Bank'!N413</f>
        <v>No</v>
      </c>
      <c r="P421" s="133" cm="1">
        <f t="array" ref="P421">IF(F421="MCQ",1,5)</f>
        <v>5</v>
      </c>
    </row>
    <row r="422" ht="42" customHeight="1">
      <c r="A422" t="str" s="130" cm="1">
        <f t="array" ref="A422">'Question_Bank'!A414</f>
        <v>NPI0410</v>
      </c>
      <c r="B422" t="str" s="97" cm="1">
        <f t="array" ref="B422">'Question_Bank'!B414</f>
        <v>8-12</v>
      </c>
      <c r="C422" t="str" s="97" cm="1">
        <f t="array" ref="C422">'Question_Bank'!C414</f>
        <v>Learning Style</v>
      </c>
      <c r="D422" t="str" s="97" cm="1">
        <f t="array" ref="D422">'Question_Bank'!D414</f>
        <v>Visual</v>
      </c>
      <c r="E422" t="str" s="97" cm="1">
        <f t="array" ref="E422">'Question_Bank'!E414</f>
        <v>Visual</v>
      </c>
      <c r="F422" t="str" s="97" cm="1">
        <f t="array" ref="F422">'Question_Bank'!F414</f>
        <v>Likert</v>
      </c>
      <c r="G422" t="str" s="97" cm="1">
        <f t="array" ref="G422">'Question_Bank'!G414</f>
        <v>I learn well through visual step-by-step explanations.</v>
      </c>
      <c r="H422" s="131" cm="1">
        <f t="array" ref="H422">'Question_Bank'!H414</f>
        <v>0</v>
      </c>
      <c r="I422" s="131" cm="1">
        <f t="array" ref="I422">'Question_Bank'!I414</f>
        <v>0</v>
      </c>
      <c r="J422" s="131" cm="1">
        <f t="array" ref="J422">'Question_Bank'!J414</f>
        <v>0</v>
      </c>
      <c r="K422" s="131" cm="1">
        <f t="array" ref="K422">'Question_Bank'!K414</f>
        <v>0</v>
      </c>
      <c r="L422" s="131" cm="1">
        <f t="array" ref="L422">'Question_Bank'!L414</f>
        <v>0</v>
      </c>
      <c r="M422" s="132"/>
      <c r="N422" t="str" s="97" cm="1">
        <f t="array" ref="N422">IF(M422="","",IF(F422="MCQ",IF(UPPER(M422)=UPPER(L422),1,0),IF(O422="Yes",6-VALUE(M422),VALUE(M422))))</f>
      </c>
      <c r="O422" t="str" s="97" cm="1">
        <f t="array" ref="O422">'Question_Bank'!N414</f>
        <v>No</v>
      </c>
      <c r="P422" s="133" cm="1">
        <f t="array" ref="P422">IF(F422="MCQ",1,5)</f>
        <v>5</v>
      </c>
    </row>
    <row r="423" ht="42" customHeight="1">
      <c r="A423" t="str" s="130" cm="1">
        <f t="array" ref="A423">'Question_Bank'!A415</f>
        <v>NPI0411</v>
      </c>
      <c r="B423" t="str" s="97" cm="1">
        <f t="array" ref="B423">'Question_Bank'!B415</f>
        <v>8-12</v>
      </c>
      <c r="C423" t="str" s="97" cm="1">
        <f t="array" ref="C423">'Question_Bank'!C415</f>
        <v>Learning Style</v>
      </c>
      <c r="D423" t="str" s="97" cm="1">
        <f t="array" ref="D423">'Question_Bank'!D415</f>
        <v>Auditory</v>
      </c>
      <c r="E423" t="str" s="97" cm="1">
        <f t="array" ref="E423">'Question_Bank'!E415</f>
        <v>Auditory</v>
      </c>
      <c r="F423" t="str" s="97" cm="1">
        <f t="array" ref="F423">'Question_Bank'!F415</f>
        <v>Likert</v>
      </c>
      <c r="G423" t="str" s="97" cm="1">
        <f t="array" ref="G423">'Question_Bank'!G415</f>
        <v>I learn well through spoken explanations.</v>
      </c>
      <c r="H423" s="131" cm="1">
        <f t="array" ref="H423">'Question_Bank'!H415</f>
        <v>0</v>
      </c>
      <c r="I423" s="131" cm="1">
        <f t="array" ref="I423">'Question_Bank'!I415</f>
        <v>0</v>
      </c>
      <c r="J423" s="131" cm="1">
        <f t="array" ref="J423">'Question_Bank'!J415</f>
        <v>0</v>
      </c>
      <c r="K423" s="131" cm="1">
        <f t="array" ref="K423">'Question_Bank'!K415</f>
        <v>0</v>
      </c>
      <c r="L423" s="131" cm="1">
        <f t="array" ref="L423">'Question_Bank'!L415</f>
        <v>0</v>
      </c>
      <c r="M423" s="132"/>
      <c r="N423" t="str" s="97" cm="1">
        <f t="array" ref="N423">IF(M423="","",IF(F423="MCQ",IF(UPPER(M423)=UPPER(L423),1,0),IF(O423="Yes",6-VALUE(M423),VALUE(M423))))</f>
      </c>
      <c r="O423" t="str" s="97" cm="1">
        <f t="array" ref="O423">'Question_Bank'!N415</f>
        <v>No</v>
      </c>
      <c r="P423" s="133" cm="1">
        <f t="array" ref="P423">IF(F423="MCQ",1,5)</f>
        <v>5</v>
      </c>
    </row>
    <row r="424" ht="42" customHeight="1">
      <c r="A424" t="str" s="130" cm="1">
        <f t="array" ref="A424">'Question_Bank'!A416</f>
        <v>NPI0412</v>
      </c>
      <c r="B424" t="str" s="97" cm="1">
        <f t="array" ref="B424">'Question_Bank'!B416</f>
        <v>8-12</v>
      </c>
      <c r="C424" t="str" s="97" cm="1">
        <f t="array" ref="C424">'Question_Bank'!C416</f>
        <v>Learning Style</v>
      </c>
      <c r="D424" t="str" s="97" cm="1">
        <f t="array" ref="D424">'Question_Bank'!D416</f>
        <v>Auditory</v>
      </c>
      <c r="E424" t="str" s="97" cm="1">
        <f t="array" ref="E424">'Question_Bank'!E416</f>
        <v>Auditory</v>
      </c>
      <c r="F424" t="str" s="97" cm="1">
        <f t="array" ref="F424">'Question_Bank'!F416</f>
        <v>Likert</v>
      </c>
      <c r="G424" t="str" s="97" cm="1">
        <f t="array" ref="G424">'Question_Bank'!G416</f>
        <v>I learn well through class discussions.</v>
      </c>
      <c r="H424" s="131" cm="1">
        <f t="array" ref="H424">'Question_Bank'!H416</f>
        <v>0</v>
      </c>
      <c r="I424" s="131" cm="1">
        <f t="array" ref="I424">'Question_Bank'!I416</f>
        <v>0</v>
      </c>
      <c r="J424" s="131" cm="1">
        <f t="array" ref="J424">'Question_Bank'!J416</f>
        <v>0</v>
      </c>
      <c r="K424" s="131" cm="1">
        <f t="array" ref="K424">'Question_Bank'!K416</f>
        <v>0</v>
      </c>
      <c r="L424" s="131" cm="1">
        <f t="array" ref="L424">'Question_Bank'!L416</f>
        <v>0</v>
      </c>
      <c r="M424" s="132"/>
      <c r="N424" t="str" s="97" cm="1">
        <f t="array" ref="N424">IF(M424="","",IF(F424="MCQ",IF(UPPER(M424)=UPPER(L424),1,0),IF(O424="Yes",6-VALUE(M424),VALUE(M424))))</f>
      </c>
      <c r="O424" t="str" s="97" cm="1">
        <f t="array" ref="O424">'Question_Bank'!N416</f>
        <v>No</v>
      </c>
      <c r="P424" s="133" cm="1">
        <f t="array" ref="P424">IF(F424="MCQ",1,5)</f>
        <v>5</v>
      </c>
    </row>
    <row r="425" ht="42" customHeight="1">
      <c r="A425" t="str" s="130" cm="1">
        <f t="array" ref="A425">'Question_Bank'!A417</f>
        <v>NPI0413</v>
      </c>
      <c r="B425" t="str" s="97" cm="1">
        <f t="array" ref="B425">'Question_Bank'!B417</f>
        <v>8-12</v>
      </c>
      <c r="C425" t="str" s="97" cm="1">
        <f t="array" ref="C425">'Question_Bank'!C417</f>
        <v>Learning Style</v>
      </c>
      <c r="D425" t="str" s="97" cm="1">
        <f t="array" ref="D425">'Question_Bank'!D417</f>
        <v>Auditory</v>
      </c>
      <c r="E425" t="str" s="97" cm="1">
        <f t="array" ref="E425">'Question_Bank'!E417</f>
        <v>Auditory</v>
      </c>
      <c r="F425" t="str" s="97" cm="1">
        <f t="array" ref="F425">'Question_Bank'!F417</f>
        <v>Likert</v>
      </c>
      <c r="G425" t="str" s="97" cm="1">
        <f t="array" ref="G425">'Question_Bank'!G417</f>
        <v>I learn well through lectures or audio.</v>
      </c>
      <c r="H425" s="131" cm="1">
        <f t="array" ref="H425">'Question_Bank'!H417</f>
        <v>0</v>
      </c>
      <c r="I425" s="131" cm="1">
        <f t="array" ref="I425">'Question_Bank'!I417</f>
        <v>0</v>
      </c>
      <c r="J425" s="131" cm="1">
        <f t="array" ref="J425">'Question_Bank'!J417</f>
        <v>0</v>
      </c>
      <c r="K425" s="131" cm="1">
        <f t="array" ref="K425">'Question_Bank'!K417</f>
        <v>0</v>
      </c>
      <c r="L425" s="131" cm="1">
        <f t="array" ref="L425">'Question_Bank'!L417</f>
        <v>0</v>
      </c>
      <c r="M425" s="132"/>
      <c r="N425" t="str" s="97" cm="1">
        <f t="array" ref="N425">IF(M425="","",IF(F425="MCQ",IF(UPPER(M425)=UPPER(L425),1,0),IF(O425="Yes",6-VALUE(M425),VALUE(M425))))</f>
      </c>
      <c r="O425" t="str" s="97" cm="1">
        <f t="array" ref="O425">'Question_Bank'!N417</f>
        <v>No</v>
      </c>
      <c r="P425" s="133" cm="1">
        <f t="array" ref="P425">IF(F425="MCQ",1,5)</f>
        <v>5</v>
      </c>
    </row>
    <row r="426" ht="42" customHeight="1">
      <c r="A426" t="str" s="130" cm="1">
        <f t="array" ref="A426">'Question_Bank'!A418</f>
        <v>NPI0414</v>
      </c>
      <c r="B426" t="str" s="97" cm="1">
        <f t="array" ref="B426">'Question_Bank'!B418</f>
        <v>8-12</v>
      </c>
      <c r="C426" t="str" s="97" cm="1">
        <f t="array" ref="C426">'Question_Bank'!C418</f>
        <v>Learning Style</v>
      </c>
      <c r="D426" t="str" s="97" cm="1">
        <f t="array" ref="D426">'Question_Bank'!D418</f>
        <v>Auditory</v>
      </c>
      <c r="E426" t="str" s="97" cm="1">
        <f t="array" ref="E426">'Question_Bank'!E418</f>
        <v>Auditory</v>
      </c>
      <c r="F426" t="str" s="97" cm="1">
        <f t="array" ref="F426">'Question_Bank'!F418</f>
        <v>Likert</v>
      </c>
      <c r="G426" t="str" s="97" cm="1">
        <f t="array" ref="G426">'Question_Bank'!G418</f>
        <v>I learn well through reading aloud.</v>
      </c>
      <c r="H426" s="131" cm="1">
        <f t="array" ref="H426">'Question_Bank'!H418</f>
        <v>0</v>
      </c>
      <c r="I426" s="131" cm="1">
        <f t="array" ref="I426">'Question_Bank'!I418</f>
        <v>0</v>
      </c>
      <c r="J426" s="131" cm="1">
        <f t="array" ref="J426">'Question_Bank'!J418</f>
        <v>0</v>
      </c>
      <c r="K426" s="131" cm="1">
        <f t="array" ref="K426">'Question_Bank'!K418</f>
        <v>0</v>
      </c>
      <c r="L426" s="131" cm="1">
        <f t="array" ref="L426">'Question_Bank'!L418</f>
        <v>0</v>
      </c>
      <c r="M426" s="132"/>
      <c r="N426" t="str" s="97" cm="1">
        <f t="array" ref="N426">IF(M426="","",IF(F426="MCQ",IF(UPPER(M426)=UPPER(L426),1,0),IF(O426="Yes",6-VALUE(M426),VALUE(M426))))</f>
      </c>
      <c r="O426" t="str" s="97" cm="1">
        <f t="array" ref="O426">'Question_Bank'!N418</f>
        <v>No</v>
      </c>
      <c r="P426" s="133" cm="1">
        <f t="array" ref="P426">IF(F426="MCQ",1,5)</f>
        <v>5</v>
      </c>
    </row>
    <row r="427" ht="42" customHeight="1">
      <c r="A427" t="str" s="130" cm="1">
        <f t="array" ref="A427">'Question_Bank'!A419</f>
        <v>NPI0415</v>
      </c>
      <c r="B427" t="str" s="97" cm="1">
        <f t="array" ref="B427">'Question_Bank'!B419</f>
        <v>8-12</v>
      </c>
      <c r="C427" t="str" s="97" cm="1">
        <f t="array" ref="C427">'Question_Bank'!C419</f>
        <v>Learning Style</v>
      </c>
      <c r="D427" t="str" s="97" cm="1">
        <f t="array" ref="D427">'Question_Bank'!D419</f>
        <v>Auditory</v>
      </c>
      <c r="E427" t="str" s="97" cm="1">
        <f t="array" ref="E427">'Question_Bank'!E419</f>
        <v>Auditory</v>
      </c>
      <c r="F427" t="str" s="97" cm="1">
        <f t="array" ref="F427">'Question_Bank'!F419</f>
        <v>Likert</v>
      </c>
      <c r="G427" t="str" s="97" cm="1">
        <f t="array" ref="G427">'Question_Bank'!G419</f>
        <v>I learn well through asking and answering questions.</v>
      </c>
      <c r="H427" s="131" cm="1">
        <f t="array" ref="H427">'Question_Bank'!H419</f>
        <v>0</v>
      </c>
      <c r="I427" s="131" cm="1">
        <f t="array" ref="I427">'Question_Bank'!I419</f>
        <v>0</v>
      </c>
      <c r="J427" s="131" cm="1">
        <f t="array" ref="J427">'Question_Bank'!J419</f>
        <v>0</v>
      </c>
      <c r="K427" s="131" cm="1">
        <f t="array" ref="K427">'Question_Bank'!K419</f>
        <v>0</v>
      </c>
      <c r="L427" s="131" cm="1">
        <f t="array" ref="L427">'Question_Bank'!L419</f>
        <v>0</v>
      </c>
      <c r="M427" s="132"/>
      <c r="N427" t="str" s="97" cm="1">
        <f t="array" ref="N427">IF(M427="","",IF(F427="MCQ",IF(UPPER(M427)=UPPER(L427),1,0),IF(O427="Yes",6-VALUE(M427),VALUE(M427))))</f>
      </c>
      <c r="O427" t="str" s="97" cm="1">
        <f t="array" ref="O427">'Question_Bank'!N419</f>
        <v>No</v>
      </c>
      <c r="P427" s="133" cm="1">
        <f t="array" ref="P427">IF(F427="MCQ",1,5)</f>
        <v>5</v>
      </c>
    </row>
    <row r="428" ht="42" customHeight="1">
      <c r="A428" t="str" s="130" cm="1">
        <f t="array" ref="A428">'Question_Bank'!A420</f>
        <v>NPI0416</v>
      </c>
      <c r="B428" t="str" s="97" cm="1">
        <f t="array" ref="B428">'Question_Bank'!B420</f>
        <v>8-12</v>
      </c>
      <c r="C428" t="str" s="97" cm="1">
        <f t="array" ref="C428">'Question_Bank'!C420</f>
        <v>Learning Style</v>
      </c>
      <c r="D428" t="str" s="97" cm="1">
        <f t="array" ref="D428">'Question_Bank'!D420</f>
        <v>Auditory</v>
      </c>
      <c r="E428" t="str" s="97" cm="1">
        <f t="array" ref="E428">'Question_Bank'!E420</f>
        <v>Auditory</v>
      </c>
      <c r="F428" t="str" s="97" cm="1">
        <f t="array" ref="F428">'Question_Bank'!F420</f>
        <v>Likert</v>
      </c>
      <c r="G428" t="str" s="97" cm="1">
        <f t="array" ref="G428">'Question_Bank'!G420</f>
        <v>I learn well through group discussion.</v>
      </c>
      <c r="H428" s="131" cm="1">
        <f t="array" ref="H428">'Question_Bank'!H420</f>
        <v>0</v>
      </c>
      <c r="I428" s="131" cm="1">
        <f t="array" ref="I428">'Question_Bank'!I420</f>
        <v>0</v>
      </c>
      <c r="J428" s="131" cm="1">
        <f t="array" ref="J428">'Question_Bank'!J420</f>
        <v>0</v>
      </c>
      <c r="K428" s="131" cm="1">
        <f t="array" ref="K428">'Question_Bank'!K420</f>
        <v>0</v>
      </c>
      <c r="L428" s="131" cm="1">
        <f t="array" ref="L428">'Question_Bank'!L420</f>
        <v>0</v>
      </c>
      <c r="M428" s="132"/>
      <c r="N428" t="str" s="97" cm="1">
        <f t="array" ref="N428">IF(M428="","",IF(F428="MCQ",IF(UPPER(M428)=UPPER(L428),1,0),IF(O428="Yes",6-VALUE(M428),VALUE(M428))))</f>
      </c>
      <c r="O428" t="str" s="97" cm="1">
        <f t="array" ref="O428">'Question_Bank'!N420</f>
        <v>No</v>
      </c>
      <c r="P428" s="133" cm="1">
        <f t="array" ref="P428">IF(F428="MCQ",1,5)</f>
        <v>5</v>
      </c>
    </row>
    <row r="429" ht="42" customHeight="1">
      <c r="A429" t="str" s="130" cm="1">
        <f t="array" ref="A429">'Question_Bank'!A421</f>
        <v>NPI0417</v>
      </c>
      <c r="B429" t="str" s="97" cm="1">
        <f t="array" ref="B429">'Question_Bank'!B421</f>
        <v>8-12</v>
      </c>
      <c r="C429" t="str" s="97" cm="1">
        <f t="array" ref="C429">'Question_Bank'!C421</f>
        <v>Learning Style</v>
      </c>
      <c r="D429" t="str" s="97" cm="1">
        <f t="array" ref="D429">'Question_Bank'!D421</f>
        <v>Auditory</v>
      </c>
      <c r="E429" t="str" s="97" cm="1">
        <f t="array" ref="E429">'Question_Bank'!E421</f>
        <v>Auditory</v>
      </c>
      <c r="F429" t="str" s="97" cm="1">
        <f t="array" ref="F429">'Question_Bank'!F421</f>
        <v>Likert</v>
      </c>
      <c r="G429" t="str" s="97" cm="1">
        <f t="array" ref="G429">'Question_Bank'!G421</f>
        <v>I learn well through teacher stories.</v>
      </c>
      <c r="H429" s="131" cm="1">
        <f t="array" ref="H429">'Question_Bank'!H421</f>
        <v>0</v>
      </c>
      <c r="I429" s="131" cm="1">
        <f t="array" ref="I429">'Question_Bank'!I421</f>
        <v>0</v>
      </c>
      <c r="J429" s="131" cm="1">
        <f t="array" ref="J429">'Question_Bank'!J421</f>
        <v>0</v>
      </c>
      <c r="K429" s="131" cm="1">
        <f t="array" ref="K429">'Question_Bank'!K421</f>
        <v>0</v>
      </c>
      <c r="L429" s="131" cm="1">
        <f t="array" ref="L429">'Question_Bank'!L421</f>
        <v>0</v>
      </c>
      <c r="M429" s="132"/>
      <c r="N429" t="str" s="97" cm="1">
        <f t="array" ref="N429">IF(M429="","",IF(F429="MCQ",IF(UPPER(M429)=UPPER(L429),1,0),IF(O429="Yes",6-VALUE(M429),VALUE(M429))))</f>
      </c>
      <c r="O429" t="str" s="97" cm="1">
        <f t="array" ref="O429">'Question_Bank'!N421</f>
        <v>No</v>
      </c>
      <c r="P429" s="133" cm="1">
        <f t="array" ref="P429">IF(F429="MCQ",1,5)</f>
        <v>5</v>
      </c>
    </row>
    <row r="430" ht="42" customHeight="1">
      <c r="A430" t="str" s="130" cm="1">
        <f t="array" ref="A430">'Question_Bank'!A422</f>
        <v>NPI0418</v>
      </c>
      <c r="B430" t="str" s="97" cm="1">
        <f t="array" ref="B430">'Question_Bank'!B422</f>
        <v>8-12</v>
      </c>
      <c r="C430" t="str" s="97" cm="1">
        <f t="array" ref="C430">'Question_Bank'!C422</f>
        <v>Learning Style</v>
      </c>
      <c r="D430" t="str" s="97" cm="1">
        <f t="array" ref="D430">'Question_Bank'!D422</f>
        <v>Auditory</v>
      </c>
      <c r="E430" t="str" s="97" cm="1">
        <f t="array" ref="E430">'Question_Bank'!E422</f>
        <v>Auditory</v>
      </c>
      <c r="F430" t="str" s="97" cm="1">
        <f t="array" ref="F430">'Question_Bank'!F422</f>
        <v>Likert</v>
      </c>
      <c r="G430" t="str" s="97" cm="1">
        <f t="array" ref="G430">'Question_Bank'!G422</f>
        <v>I learn well through verbal explanation to others.</v>
      </c>
      <c r="H430" s="131" cm="1">
        <f t="array" ref="H430">'Question_Bank'!H422</f>
        <v>0</v>
      </c>
      <c r="I430" s="131" cm="1">
        <f t="array" ref="I430">'Question_Bank'!I422</f>
        <v>0</v>
      </c>
      <c r="J430" s="131" cm="1">
        <f t="array" ref="J430">'Question_Bank'!J422</f>
        <v>0</v>
      </c>
      <c r="K430" s="131" cm="1">
        <f t="array" ref="K430">'Question_Bank'!K422</f>
        <v>0</v>
      </c>
      <c r="L430" s="131" cm="1">
        <f t="array" ref="L430">'Question_Bank'!L422</f>
        <v>0</v>
      </c>
      <c r="M430" s="132"/>
      <c r="N430" t="str" s="97" cm="1">
        <f t="array" ref="N430">IF(M430="","",IF(F430="MCQ",IF(UPPER(M430)=UPPER(L430),1,0),IF(O430="Yes",6-VALUE(M430),VALUE(M430))))</f>
      </c>
      <c r="O430" t="str" s="97" cm="1">
        <f t="array" ref="O430">'Question_Bank'!N422</f>
        <v>No</v>
      </c>
      <c r="P430" s="133" cm="1">
        <f t="array" ref="P430">IF(F430="MCQ",1,5)</f>
        <v>5</v>
      </c>
    </row>
    <row r="431" ht="42" customHeight="1">
      <c r="A431" t="str" s="130" cm="1">
        <f t="array" ref="A431">'Question_Bank'!A423</f>
        <v>NPI0419</v>
      </c>
      <c r="B431" t="str" s="97" cm="1">
        <f t="array" ref="B431">'Question_Bank'!B423</f>
        <v>8-12</v>
      </c>
      <c r="C431" t="str" s="97" cm="1">
        <f t="array" ref="C431">'Question_Bank'!C423</f>
        <v>Learning Style</v>
      </c>
      <c r="D431" t="str" s="97" cm="1">
        <f t="array" ref="D431">'Question_Bank'!D423</f>
        <v>Auditory</v>
      </c>
      <c r="E431" t="str" s="97" cm="1">
        <f t="array" ref="E431">'Question_Bank'!E423</f>
        <v>Auditory</v>
      </c>
      <c r="F431" t="str" s="97" cm="1">
        <f t="array" ref="F431">'Question_Bank'!F423</f>
        <v>Likert</v>
      </c>
      <c r="G431" t="str" s="97" cm="1">
        <f t="array" ref="G431">'Question_Bank'!G423</f>
        <v>I learn well through recorded lessons.</v>
      </c>
      <c r="H431" s="131" cm="1">
        <f t="array" ref="H431">'Question_Bank'!H423</f>
        <v>0</v>
      </c>
      <c r="I431" s="131" cm="1">
        <f t="array" ref="I431">'Question_Bank'!I423</f>
        <v>0</v>
      </c>
      <c r="J431" s="131" cm="1">
        <f t="array" ref="J431">'Question_Bank'!J423</f>
        <v>0</v>
      </c>
      <c r="K431" s="131" cm="1">
        <f t="array" ref="K431">'Question_Bank'!K423</f>
        <v>0</v>
      </c>
      <c r="L431" s="131" cm="1">
        <f t="array" ref="L431">'Question_Bank'!L423</f>
        <v>0</v>
      </c>
      <c r="M431" s="132"/>
      <c r="N431" t="str" s="97" cm="1">
        <f t="array" ref="N431">IF(M431="","",IF(F431="MCQ",IF(UPPER(M431)=UPPER(L431),1,0),IF(O431="Yes",6-VALUE(M431),VALUE(M431))))</f>
      </c>
      <c r="O431" t="str" s="97" cm="1">
        <f t="array" ref="O431">'Question_Bank'!N423</f>
        <v>No</v>
      </c>
      <c r="P431" s="133" cm="1">
        <f t="array" ref="P431">IF(F431="MCQ",1,5)</f>
        <v>5</v>
      </c>
    </row>
    <row r="432" ht="42" customHeight="1">
      <c r="A432" t="str" s="130" cm="1">
        <f t="array" ref="A432">'Question_Bank'!A424</f>
        <v>NPI0420</v>
      </c>
      <c r="B432" t="str" s="97" cm="1">
        <f t="array" ref="B432">'Question_Bank'!B424</f>
        <v>8-12</v>
      </c>
      <c r="C432" t="str" s="97" cm="1">
        <f t="array" ref="C432">'Question_Bank'!C424</f>
        <v>Learning Style</v>
      </c>
      <c r="D432" t="str" s="97" cm="1">
        <f t="array" ref="D432">'Question_Bank'!D424</f>
        <v>Auditory</v>
      </c>
      <c r="E432" t="str" s="97" cm="1">
        <f t="array" ref="E432">'Question_Bank'!E424</f>
        <v>Auditory</v>
      </c>
      <c r="F432" t="str" s="97" cm="1">
        <f t="array" ref="F432">'Question_Bank'!F424</f>
        <v>Likert</v>
      </c>
      <c r="G432" t="str" s="97" cm="1">
        <f t="array" ref="G432">'Question_Bank'!G424</f>
        <v>I learn well through spoken instructions.</v>
      </c>
      <c r="H432" s="131" cm="1">
        <f t="array" ref="H432">'Question_Bank'!H424</f>
        <v>0</v>
      </c>
      <c r="I432" s="131" cm="1">
        <f t="array" ref="I432">'Question_Bank'!I424</f>
        <v>0</v>
      </c>
      <c r="J432" s="131" cm="1">
        <f t="array" ref="J432">'Question_Bank'!J424</f>
        <v>0</v>
      </c>
      <c r="K432" s="131" cm="1">
        <f t="array" ref="K432">'Question_Bank'!K424</f>
        <v>0</v>
      </c>
      <c r="L432" s="131" cm="1">
        <f t="array" ref="L432">'Question_Bank'!L424</f>
        <v>0</v>
      </c>
      <c r="M432" s="132"/>
      <c r="N432" t="str" s="97" cm="1">
        <f t="array" ref="N432">IF(M432="","",IF(F432="MCQ",IF(UPPER(M432)=UPPER(L432),1,0),IF(O432="Yes",6-VALUE(M432),VALUE(M432))))</f>
      </c>
      <c r="O432" t="str" s="97" cm="1">
        <f t="array" ref="O432">'Question_Bank'!N424</f>
        <v>No</v>
      </c>
      <c r="P432" s="133" cm="1">
        <f t="array" ref="P432">IF(F432="MCQ",1,5)</f>
        <v>5</v>
      </c>
    </row>
    <row r="433" ht="42" customHeight="1">
      <c r="A433" t="str" s="130" cm="1">
        <f t="array" ref="A433">'Question_Bank'!A425</f>
        <v>NPI0421</v>
      </c>
      <c r="B433" t="str" s="97" cm="1">
        <f t="array" ref="B433">'Question_Bank'!B425</f>
        <v>8-12</v>
      </c>
      <c r="C433" t="str" s="97" cm="1">
        <f t="array" ref="C433">'Question_Bank'!C425</f>
        <v>Learning Style</v>
      </c>
      <c r="D433" t="str" s="97" cm="1">
        <f t="array" ref="D433">'Question_Bank'!D425</f>
        <v>Auditory</v>
      </c>
      <c r="E433" t="str" s="97" cm="1">
        <f t="array" ref="E433">'Question_Bank'!E425</f>
        <v>Auditory</v>
      </c>
      <c r="F433" t="str" s="97" cm="1">
        <f t="array" ref="F433">'Question_Bank'!F425</f>
        <v>Likert</v>
      </c>
      <c r="G433" t="str" s="97" cm="1">
        <f t="array" ref="G433">'Question_Bank'!G425</f>
        <v>I learn well through debates.</v>
      </c>
      <c r="H433" s="131" cm="1">
        <f t="array" ref="H433">'Question_Bank'!H425</f>
        <v>0</v>
      </c>
      <c r="I433" s="131" cm="1">
        <f t="array" ref="I433">'Question_Bank'!I425</f>
        <v>0</v>
      </c>
      <c r="J433" s="131" cm="1">
        <f t="array" ref="J433">'Question_Bank'!J425</f>
        <v>0</v>
      </c>
      <c r="K433" s="131" cm="1">
        <f t="array" ref="K433">'Question_Bank'!K425</f>
        <v>0</v>
      </c>
      <c r="L433" s="131" cm="1">
        <f t="array" ref="L433">'Question_Bank'!L425</f>
        <v>0</v>
      </c>
      <c r="M433" s="132"/>
      <c r="N433" t="str" s="97" cm="1">
        <f t="array" ref="N433">IF(M433="","",IF(F433="MCQ",IF(UPPER(M433)=UPPER(L433),1,0),IF(O433="Yes",6-VALUE(M433),VALUE(M433))))</f>
      </c>
      <c r="O433" t="str" s="97" cm="1">
        <f t="array" ref="O433">'Question_Bank'!N425</f>
        <v>No</v>
      </c>
      <c r="P433" s="133" cm="1">
        <f t="array" ref="P433">IF(F433="MCQ",1,5)</f>
        <v>5</v>
      </c>
    </row>
    <row r="434" ht="42" customHeight="1">
      <c r="A434" t="str" s="130" cm="1">
        <f t="array" ref="A434">'Question_Bank'!A426</f>
        <v>NPI0422</v>
      </c>
      <c r="B434" t="str" s="97" cm="1">
        <f t="array" ref="B434">'Question_Bank'!B426</f>
        <v>8-12</v>
      </c>
      <c r="C434" t="str" s="97" cm="1">
        <f t="array" ref="C434">'Question_Bank'!C426</f>
        <v>Learning Style</v>
      </c>
      <c r="D434" t="str" s="97" cm="1">
        <f t="array" ref="D434">'Question_Bank'!D426</f>
        <v>Auditory</v>
      </c>
      <c r="E434" t="str" s="97" cm="1">
        <f t="array" ref="E434">'Question_Bank'!E426</f>
        <v>Auditory</v>
      </c>
      <c r="F434" t="str" s="97" cm="1">
        <f t="array" ref="F434">'Question_Bank'!F426</f>
        <v>Likert</v>
      </c>
      <c r="G434" t="str" s="97" cm="1">
        <f t="array" ref="G434">'Question_Bank'!G426</f>
        <v>I learn well through talking through problems.</v>
      </c>
      <c r="H434" s="131" cm="1">
        <f t="array" ref="H434">'Question_Bank'!H426</f>
        <v>0</v>
      </c>
      <c r="I434" s="131" cm="1">
        <f t="array" ref="I434">'Question_Bank'!I426</f>
        <v>0</v>
      </c>
      <c r="J434" s="131" cm="1">
        <f t="array" ref="J434">'Question_Bank'!J426</f>
        <v>0</v>
      </c>
      <c r="K434" s="131" cm="1">
        <f t="array" ref="K434">'Question_Bank'!K426</f>
        <v>0</v>
      </c>
      <c r="L434" s="131" cm="1">
        <f t="array" ref="L434">'Question_Bank'!L426</f>
        <v>0</v>
      </c>
      <c r="M434" s="132"/>
      <c r="N434" t="str" s="97" cm="1">
        <f t="array" ref="N434">IF(M434="","",IF(F434="MCQ",IF(UPPER(M434)=UPPER(L434),1,0),IF(O434="Yes",6-VALUE(M434),VALUE(M434))))</f>
      </c>
      <c r="O434" t="str" s="97" cm="1">
        <f t="array" ref="O434">'Question_Bank'!N426</f>
        <v>No</v>
      </c>
      <c r="P434" s="133" cm="1">
        <f t="array" ref="P434">IF(F434="MCQ",1,5)</f>
        <v>5</v>
      </c>
    </row>
    <row r="435" ht="42" customHeight="1">
      <c r="A435" t="str" s="130" cm="1">
        <f t="array" ref="A435">'Question_Bank'!A427</f>
        <v>NPI0423</v>
      </c>
      <c r="B435" t="str" s="97" cm="1">
        <f t="array" ref="B435">'Question_Bank'!B427</f>
        <v>8-12</v>
      </c>
      <c r="C435" t="str" s="97" cm="1">
        <f t="array" ref="C435">'Question_Bank'!C427</f>
        <v>Learning Style</v>
      </c>
      <c r="D435" t="str" s="97" cm="1">
        <f t="array" ref="D435">'Question_Bank'!D427</f>
        <v>Auditory</v>
      </c>
      <c r="E435" t="str" s="97" cm="1">
        <f t="array" ref="E435">'Question_Bank'!E427</f>
        <v>Auditory</v>
      </c>
      <c r="F435" t="str" s="97" cm="1">
        <f t="array" ref="F435">'Question_Bank'!F427</f>
        <v>Likert</v>
      </c>
      <c r="G435" t="str" s="97" cm="1">
        <f t="array" ref="G435">'Question_Bank'!G427</f>
        <v>I learn well through rhymes or verbal cues.</v>
      </c>
      <c r="H435" s="131" cm="1">
        <f t="array" ref="H435">'Question_Bank'!H427</f>
        <v>0</v>
      </c>
      <c r="I435" s="131" cm="1">
        <f t="array" ref="I435">'Question_Bank'!I427</f>
        <v>0</v>
      </c>
      <c r="J435" s="131" cm="1">
        <f t="array" ref="J435">'Question_Bank'!J427</f>
        <v>0</v>
      </c>
      <c r="K435" s="131" cm="1">
        <f t="array" ref="K435">'Question_Bank'!K427</f>
        <v>0</v>
      </c>
      <c r="L435" s="131" cm="1">
        <f t="array" ref="L435">'Question_Bank'!L427</f>
        <v>0</v>
      </c>
      <c r="M435" s="132"/>
      <c r="N435" t="str" s="97" cm="1">
        <f t="array" ref="N435">IF(M435="","",IF(F435="MCQ",IF(UPPER(M435)=UPPER(L435),1,0),IF(O435="Yes",6-VALUE(M435),VALUE(M435))))</f>
      </c>
      <c r="O435" t="str" s="97" cm="1">
        <f t="array" ref="O435">'Question_Bank'!N427</f>
        <v>No</v>
      </c>
      <c r="P435" s="133" cm="1">
        <f t="array" ref="P435">IF(F435="MCQ",1,5)</f>
        <v>5</v>
      </c>
    </row>
    <row r="436" ht="42" customHeight="1">
      <c r="A436" t="str" s="130" cm="1">
        <f t="array" ref="A436">'Question_Bank'!A428</f>
        <v>NPI0424</v>
      </c>
      <c r="B436" t="str" s="97" cm="1">
        <f t="array" ref="B436">'Question_Bank'!B428</f>
        <v>8-12</v>
      </c>
      <c r="C436" t="str" s="97" cm="1">
        <f t="array" ref="C436">'Question_Bank'!C428</f>
        <v>Learning Style</v>
      </c>
      <c r="D436" t="str" s="97" cm="1">
        <f t="array" ref="D436">'Question_Bank'!D428</f>
        <v>Auditory</v>
      </c>
      <c r="E436" t="str" s="97" cm="1">
        <f t="array" ref="E436">'Question_Bank'!E428</f>
        <v>Auditory</v>
      </c>
      <c r="F436" t="str" s="97" cm="1">
        <f t="array" ref="F436">'Question_Bank'!F428</f>
        <v>Likert</v>
      </c>
      <c r="G436" t="str" s="97" cm="1">
        <f t="array" ref="G436">'Question_Bank'!G428</f>
        <v>I learn well through oral examples.</v>
      </c>
      <c r="H436" s="131" cm="1">
        <f t="array" ref="H436">'Question_Bank'!H428</f>
        <v>0</v>
      </c>
      <c r="I436" s="131" cm="1">
        <f t="array" ref="I436">'Question_Bank'!I428</f>
        <v>0</v>
      </c>
      <c r="J436" s="131" cm="1">
        <f t="array" ref="J436">'Question_Bank'!J428</f>
        <v>0</v>
      </c>
      <c r="K436" s="131" cm="1">
        <f t="array" ref="K436">'Question_Bank'!K428</f>
        <v>0</v>
      </c>
      <c r="L436" s="131" cm="1">
        <f t="array" ref="L436">'Question_Bank'!L428</f>
        <v>0</v>
      </c>
      <c r="M436" s="132"/>
      <c r="N436" t="str" s="97" cm="1">
        <f t="array" ref="N436">IF(M436="","",IF(F436="MCQ",IF(UPPER(M436)=UPPER(L436),1,0),IF(O436="Yes",6-VALUE(M436),VALUE(M436))))</f>
      </c>
      <c r="O436" t="str" s="97" cm="1">
        <f t="array" ref="O436">'Question_Bank'!N428</f>
        <v>No</v>
      </c>
      <c r="P436" s="133" cm="1">
        <f t="array" ref="P436">IF(F436="MCQ",1,5)</f>
        <v>5</v>
      </c>
    </row>
    <row r="437" ht="42" customHeight="1">
      <c r="A437" t="str" s="130" cm="1">
        <f t="array" ref="A437">'Question_Bank'!A429</f>
        <v>NPI0425</v>
      </c>
      <c r="B437" t="str" s="97" cm="1">
        <f t="array" ref="B437">'Question_Bank'!B429</f>
        <v>8-12</v>
      </c>
      <c r="C437" t="str" s="97" cm="1">
        <f t="array" ref="C437">'Question_Bank'!C429</f>
        <v>Learning Style</v>
      </c>
      <c r="D437" t="str" s="97" cm="1">
        <f t="array" ref="D437">'Question_Bank'!D429</f>
        <v>Auditory</v>
      </c>
      <c r="E437" t="str" s="97" cm="1">
        <f t="array" ref="E437">'Question_Bank'!E429</f>
        <v>Auditory</v>
      </c>
      <c r="F437" t="str" s="97" cm="1">
        <f t="array" ref="F437">'Question_Bank'!F429</f>
        <v>Likert</v>
      </c>
      <c r="G437" t="str" s="97" cm="1">
        <f t="array" ref="G437">'Question_Bank'!G429</f>
        <v>I learn well through oral summaries.</v>
      </c>
      <c r="H437" s="131" cm="1">
        <f t="array" ref="H437">'Question_Bank'!H429</f>
        <v>0</v>
      </c>
      <c r="I437" s="131" cm="1">
        <f t="array" ref="I437">'Question_Bank'!I429</f>
        <v>0</v>
      </c>
      <c r="J437" s="131" cm="1">
        <f t="array" ref="J437">'Question_Bank'!J429</f>
        <v>0</v>
      </c>
      <c r="K437" s="131" cm="1">
        <f t="array" ref="K437">'Question_Bank'!K429</f>
        <v>0</v>
      </c>
      <c r="L437" s="131" cm="1">
        <f t="array" ref="L437">'Question_Bank'!L429</f>
        <v>0</v>
      </c>
      <c r="M437" s="132"/>
      <c r="N437" t="str" s="97" cm="1">
        <f t="array" ref="N437">IF(M437="","",IF(F437="MCQ",IF(UPPER(M437)=UPPER(L437),1,0),IF(O437="Yes",6-VALUE(M437),VALUE(M437))))</f>
      </c>
      <c r="O437" t="str" s="97" cm="1">
        <f t="array" ref="O437">'Question_Bank'!N429</f>
        <v>No</v>
      </c>
      <c r="P437" s="133" cm="1">
        <f t="array" ref="P437">IF(F437="MCQ",1,5)</f>
        <v>5</v>
      </c>
    </row>
    <row r="438" ht="42" customHeight="1">
      <c r="A438" t="str" s="130" cm="1">
        <f t="array" ref="A438">'Question_Bank'!A430</f>
        <v>NPI0426</v>
      </c>
      <c r="B438" t="str" s="97" cm="1">
        <f t="array" ref="B438">'Question_Bank'!B430</f>
        <v>8-12</v>
      </c>
      <c r="C438" t="str" s="97" cm="1">
        <f t="array" ref="C438">'Question_Bank'!C430</f>
        <v>Learning Style</v>
      </c>
      <c r="D438" t="str" s="97" cm="1">
        <f t="array" ref="D438">'Question_Bank'!D430</f>
        <v>Kinesthetic</v>
      </c>
      <c r="E438" t="str" s="97" cm="1">
        <f t="array" ref="E438">'Question_Bank'!E430</f>
        <v>Kinesthetic</v>
      </c>
      <c r="F438" t="str" s="97" cm="1">
        <f t="array" ref="F438">'Question_Bank'!F430</f>
        <v>Likert</v>
      </c>
      <c r="G438" t="str" s="97" cm="1">
        <f t="array" ref="G438">'Question_Bank'!G430</f>
        <v>I learn well through doing activities.</v>
      </c>
      <c r="H438" s="131" cm="1">
        <f t="array" ref="H438">'Question_Bank'!H430</f>
        <v>0</v>
      </c>
      <c r="I438" s="131" cm="1">
        <f t="array" ref="I438">'Question_Bank'!I430</f>
        <v>0</v>
      </c>
      <c r="J438" s="131" cm="1">
        <f t="array" ref="J438">'Question_Bank'!J430</f>
        <v>0</v>
      </c>
      <c r="K438" s="131" cm="1">
        <f t="array" ref="K438">'Question_Bank'!K430</f>
        <v>0</v>
      </c>
      <c r="L438" s="131" cm="1">
        <f t="array" ref="L438">'Question_Bank'!L430</f>
        <v>0</v>
      </c>
      <c r="M438" s="132"/>
      <c r="N438" t="str" s="97" cm="1">
        <f t="array" ref="N438">IF(M438="","",IF(F438="MCQ",IF(UPPER(M438)=UPPER(L438),1,0),IF(O438="Yes",6-VALUE(M438),VALUE(M438))))</f>
      </c>
      <c r="O438" t="str" s="97" cm="1">
        <f t="array" ref="O438">'Question_Bank'!N430</f>
        <v>No</v>
      </c>
      <c r="P438" s="133" cm="1">
        <f t="array" ref="P438">IF(F438="MCQ",1,5)</f>
        <v>5</v>
      </c>
    </row>
    <row r="439" ht="42" customHeight="1">
      <c r="A439" t="str" s="130" cm="1">
        <f t="array" ref="A439">'Question_Bank'!A431</f>
        <v>NPI0427</v>
      </c>
      <c r="B439" t="str" s="97" cm="1">
        <f t="array" ref="B439">'Question_Bank'!B431</f>
        <v>8-12</v>
      </c>
      <c r="C439" t="str" s="97" cm="1">
        <f t="array" ref="C439">'Question_Bank'!C431</f>
        <v>Learning Style</v>
      </c>
      <c r="D439" t="str" s="97" cm="1">
        <f t="array" ref="D439">'Question_Bank'!D431</f>
        <v>Kinesthetic</v>
      </c>
      <c r="E439" t="str" s="97" cm="1">
        <f t="array" ref="E439">'Question_Bank'!E431</f>
        <v>Kinesthetic</v>
      </c>
      <c r="F439" t="str" s="97" cm="1">
        <f t="array" ref="F439">'Question_Bank'!F431</f>
        <v>Likert</v>
      </c>
      <c r="G439" t="str" s="97" cm="1">
        <f t="array" ref="G439">'Question_Bank'!G431</f>
        <v>I learn well through experiments.</v>
      </c>
      <c r="H439" s="131" cm="1">
        <f t="array" ref="H439">'Question_Bank'!H431</f>
        <v>0</v>
      </c>
      <c r="I439" s="131" cm="1">
        <f t="array" ref="I439">'Question_Bank'!I431</f>
        <v>0</v>
      </c>
      <c r="J439" s="131" cm="1">
        <f t="array" ref="J439">'Question_Bank'!J431</f>
        <v>0</v>
      </c>
      <c r="K439" s="131" cm="1">
        <f t="array" ref="K439">'Question_Bank'!K431</f>
        <v>0</v>
      </c>
      <c r="L439" s="131" cm="1">
        <f t="array" ref="L439">'Question_Bank'!L431</f>
        <v>0</v>
      </c>
      <c r="M439" s="132"/>
      <c r="N439" t="str" s="97" cm="1">
        <f t="array" ref="N439">IF(M439="","",IF(F439="MCQ",IF(UPPER(M439)=UPPER(L439),1,0),IF(O439="Yes",6-VALUE(M439),VALUE(M439))))</f>
      </c>
      <c r="O439" t="str" s="97" cm="1">
        <f t="array" ref="O439">'Question_Bank'!N431</f>
        <v>No</v>
      </c>
      <c r="P439" s="133" cm="1">
        <f t="array" ref="P439">IF(F439="MCQ",1,5)</f>
        <v>5</v>
      </c>
    </row>
    <row r="440" ht="42" customHeight="1">
      <c r="A440" t="str" s="130" cm="1">
        <f t="array" ref="A440">'Question_Bank'!A432</f>
        <v>NPI0428</v>
      </c>
      <c r="B440" t="str" s="97" cm="1">
        <f t="array" ref="B440">'Question_Bank'!B432</f>
        <v>8-12</v>
      </c>
      <c r="C440" t="str" s="97" cm="1">
        <f t="array" ref="C440">'Question_Bank'!C432</f>
        <v>Learning Style</v>
      </c>
      <c r="D440" t="str" s="97" cm="1">
        <f t="array" ref="D440">'Question_Bank'!D432</f>
        <v>Kinesthetic</v>
      </c>
      <c r="E440" t="str" s="97" cm="1">
        <f t="array" ref="E440">'Question_Bank'!E432</f>
        <v>Kinesthetic</v>
      </c>
      <c r="F440" t="str" s="97" cm="1">
        <f t="array" ref="F440">'Question_Bank'!F432</f>
        <v>Likert</v>
      </c>
      <c r="G440" t="str" s="97" cm="1">
        <f t="array" ref="G440">'Question_Bank'!G432</f>
        <v>I learn well through physical practice.</v>
      </c>
      <c r="H440" s="131" cm="1">
        <f t="array" ref="H440">'Question_Bank'!H432</f>
        <v>0</v>
      </c>
      <c r="I440" s="131" cm="1">
        <f t="array" ref="I440">'Question_Bank'!I432</f>
        <v>0</v>
      </c>
      <c r="J440" s="131" cm="1">
        <f t="array" ref="J440">'Question_Bank'!J432</f>
        <v>0</v>
      </c>
      <c r="K440" s="131" cm="1">
        <f t="array" ref="K440">'Question_Bank'!K432</f>
        <v>0</v>
      </c>
      <c r="L440" s="131" cm="1">
        <f t="array" ref="L440">'Question_Bank'!L432</f>
        <v>0</v>
      </c>
      <c r="M440" s="132"/>
      <c r="N440" t="str" s="97" cm="1">
        <f t="array" ref="N440">IF(M440="","",IF(F440="MCQ",IF(UPPER(M440)=UPPER(L440),1,0),IF(O440="Yes",6-VALUE(M440),VALUE(M440))))</f>
      </c>
      <c r="O440" t="str" s="97" cm="1">
        <f t="array" ref="O440">'Question_Bank'!N432</f>
        <v>No</v>
      </c>
      <c r="P440" s="133" cm="1">
        <f t="array" ref="P440">IF(F440="MCQ",1,5)</f>
        <v>5</v>
      </c>
    </row>
    <row r="441" ht="42" customHeight="1">
      <c r="A441" t="str" s="130" cm="1">
        <f t="array" ref="A441">'Question_Bank'!A433</f>
        <v>NPI0429</v>
      </c>
      <c r="B441" t="str" s="97" cm="1">
        <f t="array" ref="B441">'Question_Bank'!B433</f>
        <v>8-12</v>
      </c>
      <c r="C441" t="str" s="97" cm="1">
        <f t="array" ref="C441">'Question_Bank'!C433</f>
        <v>Learning Style</v>
      </c>
      <c r="D441" t="str" s="97" cm="1">
        <f t="array" ref="D441">'Question_Bank'!D433</f>
        <v>Kinesthetic</v>
      </c>
      <c r="E441" t="str" s="97" cm="1">
        <f t="array" ref="E441">'Question_Bank'!E433</f>
        <v>Kinesthetic</v>
      </c>
      <c r="F441" t="str" s="97" cm="1">
        <f t="array" ref="F441">'Question_Bank'!F433</f>
        <v>Likert</v>
      </c>
      <c r="G441" t="str" s="97" cm="1">
        <f t="array" ref="G441">'Question_Bank'!G433</f>
        <v>I learn well through models or projects.</v>
      </c>
      <c r="H441" s="131" cm="1">
        <f t="array" ref="H441">'Question_Bank'!H433</f>
        <v>0</v>
      </c>
      <c r="I441" s="131" cm="1">
        <f t="array" ref="I441">'Question_Bank'!I433</f>
        <v>0</v>
      </c>
      <c r="J441" s="131" cm="1">
        <f t="array" ref="J441">'Question_Bank'!J433</f>
        <v>0</v>
      </c>
      <c r="K441" s="131" cm="1">
        <f t="array" ref="K441">'Question_Bank'!K433</f>
        <v>0</v>
      </c>
      <c r="L441" s="131" cm="1">
        <f t="array" ref="L441">'Question_Bank'!L433</f>
        <v>0</v>
      </c>
      <c r="M441" s="132"/>
      <c r="N441" t="str" s="97" cm="1">
        <f t="array" ref="N441">IF(M441="","",IF(F441="MCQ",IF(UPPER(M441)=UPPER(L441),1,0),IF(O441="Yes",6-VALUE(M441),VALUE(M441))))</f>
      </c>
      <c r="O441" t="str" s="97" cm="1">
        <f t="array" ref="O441">'Question_Bank'!N433</f>
        <v>No</v>
      </c>
      <c r="P441" s="133" cm="1">
        <f t="array" ref="P441">IF(F441="MCQ",1,5)</f>
        <v>5</v>
      </c>
    </row>
    <row r="442" ht="42" customHeight="1">
      <c r="A442" t="str" s="130" cm="1">
        <f t="array" ref="A442">'Question_Bank'!A434</f>
        <v>NPI0430</v>
      </c>
      <c r="B442" t="str" s="97" cm="1">
        <f t="array" ref="B442">'Question_Bank'!B434</f>
        <v>8-12</v>
      </c>
      <c r="C442" t="str" s="97" cm="1">
        <f t="array" ref="C442">'Question_Bank'!C434</f>
        <v>Learning Style</v>
      </c>
      <c r="D442" t="str" s="97" cm="1">
        <f t="array" ref="D442">'Question_Bank'!D434</f>
        <v>Kinesthetic</v>
      </c>
      <c r="E442" t="str" s="97" cm="1">
        <f t="array" ref="E442">'Question_Bank'!E434</f>
        <v>Kinesthetic</v>
      </c>
      <c r="F442" t="str" s="97" cm="1">
        <f t="array" ref="F442">'Question_Bank'!F434</f>
        <v>Likert</v>
      </c>
      <c r="G442" t="str" s="97" cm="1">
        <f t="array" ref="G442">'Question_Bank'!G434</f>
        <v>I learn well through trying instead of only reading.</v>
      </c>
      <c r="H442" s="131" cm="1">
        <f t="array" ref="H442">'Question_Bank'!H434</f>
        <v>0</v>
      </c>
      <c r="I442" s="131" cm="1">
        <f t="array" ref="I442">'Question_Bank'!I434</f>
        <v>0</v>
      </c>
      <c r="J442" s="131" cm="1">
        <f t="array" ref="J442">'Question_Bank'!J434</f>
        <v>0</v>
      </c>
      <c r="K442" s="131" cm="1">
        <f t="array" ref="K442">'Question_Bank'!K434</f>
        <v>0</v>
      </c>
      <c r="L442" s="131" cm="1">
        <f t="array" ref="L442">'Question_Bank'!L434</f>
        <v>0</v>
      </c>
      <c r="M442" s="132"/>
      <c r="N442" t="str" s="97" cm="1">
        <f t="array" ref="N442">IF(M442="","",IF(F442="MCQ",IF(UPPER(M442)=UPPER(L442),1,0),IF(O442="Yes",6-VALUE(M442),VALUE(M442))))</f>
      </c>
      <c r="O442" t="str" s="97" cm="1">
        <f t="array" ref="O442">'Question_Bank'!N434</f>
        <v>No</v>
      </c>
      <c r="P442" s="133" cm="1">
        <f t="array" ref="P442">IF(F442="MCQ",1,5)</f>
        <v>5</v>
      </c>
    </row>
    <row r="443" ht="42" customHeight="1">
      <c r="A443" t="str" s="130" cm="1">
        <f t="array" ref="A443">'Question_Bank'!A435</f>
        <v>NPI0431</v>
      </c>
      <c r="B443" t="str" s="97" cm="1">
        <f t="array" ref="B443">'Question_Bank'!B435</f>
        <v>8-12</v>
      </c>
      <c r="C443" t="str" s="97" cm="1">
        <f t="array" ref="C443">'Question_Bank'!C435</f>
        <v>Learning Style</v>
      </c>
      <c r="D443" t="str" s="97" cm="1">
        <f t="array" ref="D443">'Question_Bank'!D435</f>
        <v>Kinesthetic</v>
      </c>
      <c r="E443" t="str" s="97" cm="1">
        <f t="array" ref="E443">'Question_Bank'!E435</f>
        <v>Kinesthetic</v>
      </c>
      <c r="F443" t="str" s="97" cm="1">
        <f t="array" ref="F443">'Question_Bank'!F435</f>
        <v>Likert</v>
      </c>
      <c r="G443" t="str" s="97" cm="1">
        <f t="array" ref="G443">'Question_Bank'!G435</f>
        <v>I learn well through role-play.</v>
      </c>
      <c r="H443" s="131" cm="1">
        <f t="array" ref="H443">'Question_Bank'!H435</f>
        <v>0</v>
      </c>
      <c r="I443" s="131" cm="1">
        <f t="array" ref="I443">'Question_Bank'!I435</f>
        <v>0</v>
      </c>
      <c r="J443" s="131" cm="1">
        <f t="array" ref="J443">'Question_Bank'!J435</f>
        <v>0</v>
      </c>
      <c r="K443" s="131" cm="1">
        <f t="array" ref="K443">'Question_Bank'!K435</f>
        <v>0</v>
      </c>
      <c r="L443" s="131" cm="1">
        <f t="array" ref="L443">'Question_Bank'!L435</f>
        <v>0</v>
      </c>
      <c r="M443" s="132"/>
      <c r="N443" t="str" s="97" cm="1">
        <f t="array" ref="N443">IF(M443="","",IF(F443="MCQ",IF(UPPER(M443)=UPPER(L443),1,0),IF(O443="Yes",6-VALUE(M443),VALUE(M443))))</f>
      </c>
      <c r="O443" t="str" s="97" cm="1">
        <f t="array" ref="O443">'Question_Bank'!N435</f>
        <v>No</v>
      </c>
      <c r="P443" s="133" cm="1">
        <f t="array" ref="P443">IF(F443="MCQ",1,5)</f>
        <v>5</v>
      </c>
    </row>
    <row r="444" ht="42" customHeight="1">
      <c r="A444" t="str" s="130" cm="1">
        <f t="array" ref="A444">'Question_Bank'!A436</f>
        <v>NPI0432</v>
      </c>
      <c r="B444" t="str" s="97" cm="1">
        <f t="array" ref="B444">'Question_Bank'!B436</f>
        <v>8-12</v>
      </c>
      <c r="C444" t="str" s="97" cm="1">
        <f t="array" ref="C444">'Question_Bank'!C436</f>
        <v>Learning Style</v>
      </c>
      <c r="D444" t="str" s="97" cm="1">
        <f t="array" ref="D444">'Question_Bank'!D436</f>
        <v>Kinesthetic</v>
      </c>
      <c r="E444" t="str" s="97" cm="1">
        <f t="array" ref="E444">'Question_Bank'!E436</f>
        <v>Kinesthetic</v>
      </c>
      <c r="F444" t="str" s="97" cm="1">
        <f t="array" ref="F444">'Question_Bank'!F436</f>
        <v>Likert</v>
      </c>
      <c r="G444" t="str" s="97" cm="1">
        <f t="array" ref="G444">'Question_Bank'!G436</f>
        <v>I learn well through practical tasks.</v>
      </c>
      <c r="H444" s="131" cm="1">
        <f t="array" ref="H444">'Question_Bank'!H436</f>
        <v>0</v>
      </c>
      <c r="I444" s="131" cm="1">
        <f t="array" ref="I444">'Question_Bank'!I436</f>
        <v>0</v>
      </c>
      <c r="J444" s="131" cm="1">
        <f t="array" ref="J444">'Question_Bank'!J436</f>
        <v>0</v>
      </c>
      <c r="K444" s="131" cm="1">
        <f t="array" ref="K444">'Question_Bank'!K436</f>
        <v>0</v>
      </c>
      <c r="L444" s="131" cm="1">
        <f t="array" ref="L444">'Question_Bank'!L436</f>
        <v>0</v>
      </c>
      <c r="M444" s="132"/>
      <c r="N444" t="str" s="97" cm="1">
        <f t="array" ref="N444">IF(M444="","",IF(F444="MCQ",IF(UPPER(M444)=UPPER(L444),1,0),IF(O444="Yes",6-VALUE(M444),VALUE(M444))))</f>
      </c>
      <c r="O444" t="str" s="97" cm="1">
        <f t="array" ref="O444">'Question_Bank'!N436</f>
        <v>No</v>
      </c>
      <c r="P444" s="133" cm="1">
        <f t="array" ref="P444">IF(F444="MCQ",1,5)</f>
        <v>5</v>
      </c>
    </row>
    <row r="445" ht="42" customHeight="1">
      <c r="A445" t="str" s="130" cm="1">
        <f t="array" ref="A445">'Question_Bank'!A437</f>
        <v>NPI0433</v>
      </c>
      <c r="B445" t="str" s="97" cm="1">
        <f t="array" ref="B445">'Question_Bank'!B437</f>
        <v>8-12</v>
      </c>
      <c r="C445" t="str" s="97" cm="1">
        <f t="array" ref="C445">'Question_Bank'!C437</f>
        <v>Learning Style</v>
      </c>
      <c r="D445" t="str" s="97" cm="1">
        <f t="array" ref="D445">'Question_Bank'!D437</f>
        <v>Kinesthetic</v>
      </c>
      <c r="E445" t="str" s="97" cm="1">
        <f t="array" ref="E445">'Question_Bank'!E437</f>
        <v>Kinesthetic</v>
      </c>
      <c r="F445" t="str" s="97" cm="1">
        <f t="array" ref="F445">'Question_Bank'!F437</f>
        <v>Likert</v>
      </c>
      <c r="G445" t="str" s="97" cm="1">
        <f t="array" ref="G445">'Question_Bank'!G437</f>
        <v>I learn well through solving many examples.</v>
      </c>
      <c r="H445" s="131" cm="1">
        <f t="array" ref="H445">'Question_Bank'!H437</f>
        <v>0</v>
      </c>
      <c r="I445" s="131" cm="1">
        <f t="array" ref="I445">'Question_Bank'!I437</f>
        <v>0</v>
      </c>
      <c r="J445" s="131" cm="1">
        <f t="array" ref="J445">'Question_Bank'!J437</f>
        <v>0</v>
      </c>
      <c r="K445" s="131" cm="1">
        <f t="array" ref="K445">'Question_Bank'!K437</f>
        <v>0</v>
      </c>
      <c r="L445" s="131" cm="1">
        <f t="array" ref="L445">'Question_Bank'!L437</f>
        <v>0</v>
      </c>
      <c r="M445" s="132"/>
      <c r="N445" t="str" s="97" cm="1">
        <f t="array" ref="N445">IF(M445="","",IF(F445="MCQ",IF(UPPER(M445)=UPPER(L445),1,0),IF(O445="Yes",6-VALUE(M445),VALUE(M445))))</f>
      </c>
      <c r="O445" t="str" s="97" cm="1">
        <f t="array" ref="O445">'Question_Bank'!N437</f>
        <v>No</v>
      </c>
      <c r="P445" s="133" cm="1">
        <f t="array" ref="P445">IF(F445="MCQ",1,5)</f>
        <v>5</v>
      </c>
    </row>
    <row r="446" ht="42" customHeight="1">
      <c r="A446" t="str" s="130" cm="1">
        <f t="array" ref="A446">'Question_Bank'!A438</f>
        <v>NPI0434</v>
      </c>
      <c r="B446" t="str" s="97" cm="1">
        <f t="array" ref="B446">'Question_Bank'!B438</f>
        <v>8-12</v>
      </c>
      <c r="C446" t="str" s="97" cm="1">
        <f t="array" ref="C446">'Question_Bank'!C438</f>
        <v>Learning Style</v>
      </c>
      <c r="D446" t="str" s="97" cm="1">
        <f t="array" ref="D446">'Question_Bank'!D438</f>
        <v>Kinesthetic</v>
      </c>
      <c r="E446" t="str" s="97" cm="1">
        <f t="array" ref="E446">'Question_Bank'!E438</f>
        <v>Kinesthetic</v>
      </c>
      <c r="F446" t="str" s="97" cm="1">
        <f t="array" ref="F446">'Question_Bank'!F438</f>
        <v>Likert</v>
      </c>
      <c r="G446" t="str" s="97" cm="1">
        <f t="array" ref="G446">'Question_Bank'!G438</f>
        <v>I learn well through field visits.</v>
      </c>
      <c r="H446" s="131" cm="1">
        <f t="array" ref="H446">'Question_Bank'!H438</f>
        <v>0</v>
      </c>
      <c r="I446" s="131" cm="1">
        <f t="array" ref="I446">'Question_Bank'!I438</f>
        <v>0</v>
      </c>
      <c r="J446" s="131" cm="1">
        <f t="array" ref="J446">'Question_Bank'!J438</f>
        <v>0</v>
      </c>
      <c r="K446" s="131" cm="1">
        <f t="array" ref="K446">'Question_Bank'!K438</f>
        <v>0</v>
      </c>
      <c r="L446" s="131" cm="1">
        <f t="array" ref="L446">'Question_Bank'!L438</f>
        <v>0</v>
      </c>
      <c r="M446" s="132"/>
      <c r="N446" t="str" s="97" cm="1">
        <f t="array" ref="N446">IF(M446="","",IF(F446="MCQ",IF(UPPER(M446)=UPPER(L446),1,0),IF(O446="Yes",6-VALUE(M446),VALUE(M446))))</f>
      </c>
      <c r="O446" t="str" s="97" cm="1">
        <f t="array" ref="O446">'Question_Bank'!N438</f>
        <v>No</v>
      </c>
      <c r="P446" s="133" cm="1">
        <f t="array" ref="P446">IF(F446="MCQ",1,5)</f>
        <v>5</v>
      </c>
    </row>
    <row r="447" ht="42" customHeight="1">
      <c r="A447" t="str" s="130" cm="1">
        <f t="array" ref="A447">'Question_Bank'!A439</f>
        <v>NPI0435</v>
      </c>
      <c r="B447" t="str" s="97" cm="1">
        <f t="array" ref="B447">'Question_Bank'!B439</f>
        <v>8-12</v>
      </c>
      <c r="C447" t="str" s="97" cm="1">
        <f t="array" ref="C447">'Question_Bank'!C439</f>
        <v>Learning Style</v>
      </c>
      <c r="D447" t="str" s="97" cm="1">
        <f t="array" ref="D447">'Question_Bank'!D439</f>
        <v>Kinesthetic</v>
      </c>
      <c r="E447" t="str" s="97" cm="1">
        <f t="array" ref="E447">'Question_Bank'!E439</f>
        <v>Kinesthetic</v>
      </c>
      <c r="F447" t="str" s="97" cm="1">
        <f t="array" ref="F447">'Question_Bank'!F439</f>
        <v>Likert</v>
      </c>
      <c r="G447" t="str" s="97" cm="1">
        <f t="array" ref="G447">'Question_Bank'!G439</f>
        <v>I learn well through movement breaks.</v>
      </c>
      <c r="H447" s="131" cm="1">
        <f t="array" ref="H447">'Question_Bank'!H439</f>
        <v>0</v>
      </c>
      <c r="I447" s="131" cm="1">
        <f t="array" ref="I447">'Question_Bank'!I439</f>
        <v>0</v>
      </c>
      <c r="J447" s="131" cm="1">
        <f t="array" ref="J447">'Question_Bank'!J439</f>
        <v>0</v>
      </c>
      <c r="K447" s="131" cm="1">
        <f t="array" ref="K447">'Question_Bank'!K439</f>
        <v>0</v>
      </c>
      <c r="L447" s="131" cm="1">
        <f t="array" ref="L447">'Question_Bank'!L439</f>
        <v>0</v>
      </c>
      <c r="M447" s="132"/>
      <c r="N447" t="str" s="97" cm="1">
        <f t="array" ref="N447">IF(M447="","",IF(F447="MCQ",IF(UPPER(M447)=UPPER(L447),1,0),IF(O447="Yes",6-VALUE(M447),VALUE(M447))))</f>
      </c>
      <c r="O447" t="str" s="97" cm="1">
        <f t="array" ref="O447">'Question_Bank'!N439</f>
        <v>No</v>
      </c>
      <c r="P447" s="133" cm="1">
        <f t="array" ref="P447">IF(F447="MCQ",1,5)</f>
        <v>5</v>
      </c>
    </row>
    <row r="448" ht="42" customHeight="1">
      <c r="A448" t="str" s="130" cm="1">
        <f t="array" ref="A448">'Question_Bank'!A440</f>
        <v>NPI0436</v>
      </c>
      <c r="B448" t="str" s="97" cm="1">
        <f t="array" ref="B448">'Question_Bank'!B440</f>
        <v>8-12</v>
      </c>
      <c r="C448" t="str" s="97" cm="1">
        <f t="array" ref="C448">'Question_Bank'!C440</f>
        <v>Learning Style</v>
      </c>
      <c r="D448" t="str" s="97" cm="1">
        <f t="array" ref="D448">'Question_Bank'!D440</f>
        <v>Kinesthetic</v>
      </c>
      <c r="E448" t="str" s="97" cm="1">
        <f t="array" ref="E448">'Question_Bank'!E440</f>
        <v>Kinesthetic</v>
      </c>
      <c r="F448" t="str" s="97" cm="1">
        <f t="array" ref="F448">'Question_Bank'!F440</f>
        <v>Likert</v>
      </c>
      <c r="G448" t="str" s="97" cm="1">
        <f t="array" ref="G448">'Question_Bank'!G440</f>
        <v>I learn well through lab learning.</v>
      </c>
      <c r="H448" s="131" cm="1">
        <f t="array" ref="H448">'Question_Bank'!H440</f>
        <v>0</v>
      </c>
      <c r="I448" s="131" cm="1">
        <f t="array" ref="I448">'Question_Bank'!I440</f>
        <v>0</v>
      </c>
      <c r="J448" s="131" cm="1">
        <f t="array" ref="J448">'Question_Bank'!J440</f>
        <v>0</v>
      </c>
      <c r="K448" s="131" cm="1">
        <f t="array" ref="K448">'Question_Bank'!K440</f>
        <v>0</v>
      </c>
      <c r="L448" s="131" cm="1">
        <f t="array" ref="L448">'Question_Bank'!L440</f>
        <v>0</v>
      </c>
      <c r="M448" s="132"/>
      <c r="N448" t="str" s="97" cm="1">
        <f t="array" ref="N448">IF(M448="","",IF(F448="MCQ",IF(UPPER(M448)=UPPER(L448),1,0),IF(O448="Yes",6-VALUE(M448),VALUE(M448))))</f>
      </c>
      <c r="O448" t="str" s="97" cm="1">
        <f t="array" ref="O448">'Question_Bank'!N440</f>
        <v>No</v>
      </c>
      <c r="P448" s="133" cm="1">
        <f t="array" ref="P448">IF(F448="MCQ",1,5)</f>
        <v>5</v>
      </c>
    </row>
    <row r="449" ht="42" customHeight="1">
      <c r="A449" t="str" s="130" cm="1">
        <f t="array" ref="A449">'Question_Bank'!A441</f>
        <v>NPI0437</v>
      </c>
      <c r="B449" t="str" s="97" cm="1">
        <f t="array" ref="B449">'Question_Bank'!B441</f>
        <v>8-12</v>
      </c>
      <c r="C449" t="str" s="97" cm="1">
        <f t="array" ref="C449">'Question_Bank'!C441</f>
        <v>Learning Style</v>
      </c>
      <c r="D449" t="str" s="97" cm="1">
        <f t="array" ref="D449">'Question_Bank'!D441</f>
        <v>Kinesthetic</v>
      </c>
      <c r="E449" t="str" s="97" cm="1">
        <f t="array" ref="E449">'Question_Bank'!E441</f>
        <v>Kinesthetic</v>
      </c>
      <c r="F449" t="str" s="97" cm="1">
        <f t="array" ref="F449">'Question_Bank'!F441</f>
        <v>Likert</v>
      </c>
      <c r="G449" t="str" s="97" cm="1">
        <f t="array" ref="G449">'Question_Bank'!G441</f>
        <v>I learn well through using technology hands-on.</v>
      </c>
      <c r="H449" s="131" cm="1">
        <f t="array" ref="H449">'Question_Bank'!H441</f>
        <v>0</v>
      </c>
      <c r="I449" s="131" cm="1">
        <f t="array" ref="I449">'Question_Bank'!I441</f>
        <v>0</v>
      </c>
      <c r="J449" s="131" cm="1">
        <f t="array" ref="J449">'Question_Bank'!J441</f>
        <v>0</v>
      </c>
      <c r="K449" s="131" cm="1">
        <f t="array" ref="K449">'Question_Bank'!K441</f>
        <v>0</v>
      </c>
      <c r="L449" s="131" cm="1">
        <f t="array" ref="L449">'Question_Bank'!L441</f>
        <v>0</v>
      </c>
      <c r="M449" s="132"/>
      <c r="N449" t="str" s="97" cm="1">
        <f t="array" ref="N449">IF(M449="","",IF(F449="MCQ",IF(UPPER(M449)=UPPER(L449),1,0),IF(O449="Yes",6-VALUE(M449),VALUE(M449))))</f>
      </c>
      <c r="O449" t="str" s="97" cm="1">
        <f t="array" ref="O449">'Question_Bank'!N441</f>
        <v>No</v>
      </c>
      <c r="P449" s="133" cm="1">
        <f t="array" ref="P449">IF(F449="MCQ",1,5)</f>
        <v>5</v>
      </c>
    </row>
    <row r="450" ht="42" customHeight="1">
      <c r="A450" t="str" s="130" cm="1">
        <f t="array" ref="A450">'Question_Bank'!A442</f>
        <v>NPI0438</v>
      </c>
      <c r="B450" t="str" s="97" cm="1">
        <f t="array" ref="B450">'Question_Bank'!B442</f>
        <v>8-12</v>
      </c>
      <c r="C450" t="str" s="97" cm="1">
        <f t="array" ref="C450">'Question_Bank'!C442</f>
        <v>Learning Style</v>
      </c>
      <c r="D450" t="str" s="97" cm="1">
        <f t="array" ref="D450">'Question_Bank'!D442</f>
        <v>Kinesthetic</v>
      </c>
      <c r="E450" t="str" s="97" cm="1">
        <f t="array" ref="E450">'Question_Bank'!E442</f>
        <v>Kinesthetic</v>
      </c>
      <c r="F450" t="str" s="97" cm="1">
        <f t="array" ref="F450">'Question_Bank'!F442</f>
        <v>Likert</v>
      </c>
      <c r="G450" t="str" s="97" cm="1">
        <f t="array" ref="G450">'Question_Bank'!G442</f>
        <v>I learn well through repetition and practice.</v>
      </c>
      <c r="H450" s="131" cm="1">
        <f t="array" ref="H450">'Question_Bank'!H442</f>
        <v>0</v>
      </c>
      <c r="I450" s="131" cm="1">
        <f t="array" ref="I450">'Question_Bank'!I442</f>
        <v>0</v>
      </c>
      <c r="J450" s="131" cm="1">
        <f t="array" ref="J450">'Question_Bank'!J442</f>
        <v>0</v>
      </c>
      <c r="K450" s="131" cm="1">
        <f t="array" ref="K450">'Question_Bank'!K442</f>
        <v>0</v>
      </c>
      <c r="L450" s="131" cm="1">
        <f t="array" ref="L450">'Question_Bank'!L442</f>
        <v>0</v>
      </c>
      <c r="M450" s="132"/>
      <c r="N450" t="str" s="97" cm="1">
        <f t="array" ref="N450">IF(M450="","",IF(F450="MCQ",IF(UPPER(M450)=UPPER(L450),1,0),IF(O450="Yes",6-VALUE(M450),VALUE(M450))))</f>
      </c>
      <c r="O450" t="str" s="97" cm="1">
        <f t="array" ref="O450">'Question_Bank'!N442</f>
        <v>No</v>
      </c>
      <c r="P450" s="133" cm="1">
        <f t="array" ref="P450">IF(F450="MCQ",1,5)</f>
        <v>5</v>
      </c>
    </row>
    <row r="451" ht="42" customHeight="1">
      <c r="A451" t="str" s="130" cm="1">
        <f t="array" ref="A451">'Question_Bank'!A443</f>
        <v>NPI0439</v>
      </c>
      <c r="B451" t="str" s="97" cm="1">
        <f t="array" ref="B451">'Question_Bank'!B443</f>
        <v>8-12</v>
      </c>
      <c r="C451" t="str" s="97" cm="1">
        <f t="array" ref="C451">'Question_Bank'!C443</f>
        <v>Learning Style</v>
      </c>
      <c r="D451" t="str" s="97" cm="1">
        <f t="array" ref="D451">'Question_Bank'!D443</f>
        <v>Kinesthetic</v>
      </c>
      <c r="E451" t="str" s="97" cm="1">
        <f t="array" ref="E451">'Question_Bank'!E443</f>
        <v>Kinesthetic</v>
      </c>
      <c r="F451" t="str" s="97" cm="1">
        <f t="array" ref="F451">'Question_Bank'!F443</f>
        <v>Likert</v>
      </c>
      <c r="G451" t="str" s="97" cm="1">
        <f t="array" ref="G451">'Question_Bank'!G443</f>
        <v>I learn well through hands-on tasks.</v>
      </c>
      <c r="H451" s="131" cm="1">
        <f t="array" ref="H451">'Question_Bank'!H443</f>
        <v>0</v>
      </c>
      <c r="I451" s="131" cm="1">
        <f t="array" ref="I451">'Question_Bank'!I443</f>
        <v>0</v>
      </c>
      <c r="J451" s="131" cm="1">
        <f t="array" ref="J451">'Question_Bank'!J443</f>
        <v>0</v>
      </c>
      <c r="K451" s="131" cm="1">
        <f t="array" ref="K451">'Question_Bank'!K443</f>
        <v>0</v>
      </c>
      <c r="L451" s="131" cm="1">
        <f t="array" ref="L451">'Question_Bank'!L443</f>
        <v>0</v>
      </c>
      <c r="M451" s="132"/>
      <c r="N451" t="str" s="97" cm="1">
        <f t="array" ref="N451">IF(M451="","",IF(F451="MCQ",IF(UPPER(M451)=UPPER(L451),1,0),IF(O451="Yes",6-VALUE(M451),VALUE(M451))))</f>
      </c>
      <c r="O451" t="str" s="97" cm="1">
        <f t="array" ref="O451">'Question_Bank'!N443</f>
        <v>No</v>
      </c>
      <c r="P451" s="133" cm="1">
        <f t="array" ref="P451">IF(F451="MCQ",1,5)</f>
        <v>5</v>
      </c>
    </row>
    <row r="452" ht="42" customHeight="1">
      <c r="A452" t="str" s="130" cm="1">
        <f t="array" ref="A452">'Question_Bank'!A444</f>
        <v>NPI0440</v>
      </c>
      <c r="B452" t="str" s="97" cm="1">
        <f t="array" ref="B452">'Question_Bank'!B444</f>
        <v>8-12</v>
      </c>
      <c r="C452" t="str" s="97" cm="1">
        <f t="array" ref="C452">'Question_Bank'!C444</f>
        <v>Learning Style</v>
      </c>
      <c r="D452" t="str" s="97" cm="1">
        <f t="array" ref="D452">'Question_Bank'!D444</f>
        <v>Kinesthetic</v>
      </c>
      <c r="E452" t="str" s="97" cm="1">
        <f t="array" ref="E452">'Question_Bank'!E444</f>
        <v>Kinesthetic</v>
      </c>
      <c r="F452" t="str" s="97" cm="1">
        <f t="array" ref="F452">'Question_Bank'!F444</f>
        <v>Likert</v>
      </c>
      <c r="G452" t="str" s="97" cm="1">
        <f t="array" ref="G452">'Question_Bank'!G444</f>
        <v>I learn well through immediate application.</v>
      </c>
      <c r="H452" s="131" cm="1">
        <f t="array" ref="H452">'Question_Bank'!H444</f>
        <v>0</v>
      </c>
      <c r="I452" s="131" cm="1">
        <f t="array" ref="I452">'Question_Bank'!I444</f>
        <v>0</v>
      </c>
      <c r="J452" s="131" cm="1">
        <f t="array" ref="J452">'Question_Bank'!J444</f>
        <v>0</v>
      </c>
      <c r="K452" s="131" cm="1">
        <f t="array" ref="K452">'Question_Bank'!K444</f>
        <v>0</v>
      </c>
      <c r="L452" s="131" cm="1">
        <f t="array" ref="L452">'Question_Bank'!L444</f>
        <v>0</v>
      </c>
      <c r="M452" s="132"/>
      <c r="N452" t="str" s="97" cm="1">
        <f t="array" ref="N452">IF(M452="","",IF(F452="MCQ",IF(UPPER(M452)=UPPER(L452),1,0),IF(O452="Yes",6-VALUE(M452),VALUE(M452))))</f>
      </c>
      <c r="O452" t="str" s="97" cm="1">
        <f t="array" ref="O452">'Question_Bank'!N444</f>
        <v>No</v>
      </c>
      <c r="P452" s="133" cm="1">
        <f t="array" ref="P452">IF(F452="MCQ",1,5)</f>
        <v>5</v>
      </c>
    </row>
    <row r="453" ht="42" customHeight="1">
      <c r="A453" t="str" s="130" cm="1">
        <f t="array" ref="A453">'Question_Bank'!A445</f>
        <v>NPI0441</v>
      </c>
      <c r="B453" t="str" s="97" cm="1">
        <f t="array" ref="B453">'Question_Bank'!B445</f>
        <v>8-12</v>
      </c>
      <c r="C453" t="str" s="97" cm="1">
        <f t="array" ref="C453">'Question_Bank'!C445</f>
        <v>Learning Style</v>
      </c>
      <c r="D453" t="str" s="97" cm="1">
        <f t="array" ref="D453">'Question_Bank'!D445</f>
        <v>ReadingWriting</v>
      </c>
      <c r="E453" t="str" s="97" cm="1">
        <f t="array" ref="E453">'Question_Bank'!E445</f>
        <v>ReadingWriting</v>
      </c>
      <c r="F453" t="str" s="97" cm="1">
        <f t="array" ref="F453">'Question_Bank'!F445</f>
        <v>Likert</v>
      </c>
      <c r="G453" t="str" s="97" cm="1">
        <f t="array" ref="G453">'Question_Bank'!G445</f>
        <v>I learn well through textbooks and notes.</v>
      </c>
      <c r="H453" s="131" cm="1">
        <f t="array" ref="H453">'Question_Bank'!H445</f>
        <v>0</v>
      </c>
      <c r="I453" s="131" cm="1">
        <f t="array" ref="I453">'Question_Bank'!I445</f>
        <v>0</v>
      </c>
      <c r="J453" s="131" cm="1">
        <f t="array" ref="J453">'Question_Bank'!J445</f>
        <v>0</v>
      </c>
      <c r="K453" s="131" cm="1">
        <f t="array" ref="K453">'Question_Bank'!K445</f>
        <v>0</v>
      </c>
      <c r="L453" s="131" cm="1">
        <f t="array" ref="L453">'Question_Bank'!L445</f>
        <v>0</v>
      </c>
      <c r="M453" s="132"/>
      <c r="N453" t="str" s="97" cm="1">
        <f t="array" ref="N453">IF(M453="","",IF(F453="MCQ",IF(UPPER(M453)=UPPER(L453),1,0),IF(O453="Yes",6-VALUE(M453),VALUE(M453))))</f>
      </c>
      <c r="O453" t="str" s="97" cm="1">
        <f t="array" ref="O453">'Question_Bank'!N445</f>
        <v>No</v>
      </c>
      <c r="P453" s="133" cm="1">
        <f t="array" ref="P453">IF(F453="MCQ",1,5)</f>
        <v>5</v>
      </c>
    </row>
    <row r="454" ht="42" customHeight="1">
      <c r="A454" t="str" s="130" cm="1">
        <f t="array" ref="A454">'Question_Bank'!A446</f>
        <v>NPI0442</v>
      </c>
      <c r="B454" t="str" s="97" cm="1">
        <f t="array" ref="B454">'Question_Bank'!B446</f>
        <v>8-12</v>
      </c>
      <c r="C454" t="str" s="97" cm="1">
        <f t="array" ref="C454">'Question_Bank'!C446</f>
        <v>Learning Style</v>
      </c>
      <c r="D454" t="str" s="97" cm="1">
        <f t="array" ref="D454">'Question_Bank'!D446</f>
        <v>ReadingWriting</v>
      </c>
      <c r="E454" t="str" s="97" cm="1">
        <f t="array" ref="E454">'Question_Bank'!E446</f>
        <v>ReadingWriting</v>
      </c>
      <c r="F454" t="str" s="97" cm="1">
        <f t="array" ref="F454">'Question_Bank'!F446</f>
        <v>Likert</v>
      </c>
      <c r="G454" t="str" s="97" cm="1">
        <f t="array" ref="G454">'Question_Bank'!G446</f>
        <v>I learn well through writing summaries.</v>
      </c>
      <c r="H454" s="131" cm="1">
        <f t="array" ref="H454">'Question_Bank'!H446</f>
        <v>0</v>
      </c>
      <c r="I454" s="131" cm="1">
        <f t="array" ref="I454">'Question_Bank'!I446</f>
        <v>0</v>
      </c>
      <c r="J454" s="131" cm="1">
        <f t="array" ref="J454">'Question_Bank'!J446</f>
        <v>0</v>
      </c>
      <c r="K454" s="131" cm="1">
        <f t="array" ref="K454">'Question_Bank'!K446</f>
        <v>0</v>
      </c>
      <c r="L454" s="131" cm="1">
        <f t="array" ref="L454">'Question_Bank'!L446</f>
        <v>0</v>
      </c>
      <c r="M454" s="132"/>
      <c r="N454" t="str" s="97" cm="1">
        <f t="array" ref="N454">IF(M454="","",IF(F454="MCQ",IF(UPPER(M454)=UPPER(L454),1,0),IF(O454="Yes",6-VALUE(M454),VALUE(M454))))</f>
      </c>
      <c r="O454" t="str" s="97" cm="1">
        <f t="array" ref="O454">'Question_Bank'!N446</f>
        <v>No</v>
      </c>
      <c r="P454" s="133" cm="1">
        <f t="array" ref="P454">IF(F454="MCQ",1,5)</f>
        <v>5</v>
      </c>
    </row>
    <row r="455" ht="42" customHeight="1">
      <c r="A455" t="str" s="130" cm="1">
        <f t="array" ref="A455">'Question_Bank'!A447</f>
        <v>NPI0443</v>
      </c>
      <c r="B455" t="str" s="97" cm="1">
        <f t="array" ref="B455">'Question_Bank'!B447</f>
        <v>8-12</v>
      </c>
      <c r="C455" t="str" s="97" cm="1">
        <f t="array" ref="C455">'Question_Bank'!C447</f>
        <v>Learning Style</v>
      </c>
      <c r="D455" t="str" s="97" cm="1">
        <f t="array" ref="D455">'Question_Bank'!D447</f>
        <v>ReadingWriting</v>
      </c>
      <c r="E455" t="str" s="97" cm="1">
        <f t="array" ref="E455">'Question_Bank'!E447</f>
        <v>ReadingWriting</v>
      </c>
      <c r="F455" t="str" s="97" cm="1">
        <f t="array" ref="F455">'Question_Bank'!F447</f>
        <v>Likert</v>
      </c>
      <c r="G455" t="str" s="97" cm="1">
        <f t="array" ref="G455">'Question_Bank'!G447</f>
        <v>I learn well through reading instructions.</v>
      </c>
      <c r="H455" s="131" cm="1">
        <f t="array" ref="H455">'Question_Bank'!H447</f>
        <v>0</v>
      </c>
      <c r="I455" s="131" cm="1">
        <f t="array" ref="I455">'Question_Bank'!I447</f>
        <v>0</v>
      </c>
      <c r="J455" s="131" cm="1">
        <f t="array" ref="J455">'Question_Bank'!J447</f>
        <v>0</v>
      </c>
      <c r="K455" s="131" cm="1">
        <f t="array" ref="K455">'Question_Bank'!K447</f>
        <v>0</v>
      </c>
      <c r="L455" s="131" cm="1">
        <f t="array" ref="L455">'Question_Bank'!L447</f>
        <v>0</v>
      </c>
      <c r="M455" s="132"/>
      <c r="N455" t="str" s="97" cm="1">
        <f t="array" ref="N455">IF(M455="","",IF(F455="MCQ",IF(UPPER(M455)=UPPER(L455),1,0),IF(O455="Yes",6-VALUE(M455),VALUE(M455))))</f>
      </c>
      <c r="O455" t="str" s="97" cm="1">
        <f t="array" ref="O455">'Question_Bank'!N447</f>
        <v>No</v>
      </c>
      <c r="P455" s="133" cm="1">
        <f t="array" ref="P455">IF(F455="MCQ",1,5)</f>
        <v>5</v>
      </c>
    </row>
    <row r="456" ht="42" customHeight="1">
      <c r="A456" t="str" s="130" cm="1">
        <f t="array" ref="A456">'Question_Bank'!A448</f>
        <v>NPI0444</v>
      </c>
      <c r="B456" t="str" s="97" cm="1">
        <f t="array" ref="B456">'Question_Bank'!B448</f>
        <v>8-12</v>
      </c>
      <c r="C456" t="str" s="97" cm="1">
        <f t="array" ref="C456">'Question_Bank'!C448</f>
        <v>Learning Style</v>
      </c>
      <c r="D456" t="str" s="97" cm="1">
        <f t="array" ref="D456">'Question_Bank'!D448</f>
        <v>ReadingWriting</v>
      </c>
      <c r="E456" t="str" s="97" cm="1">
        <f t="array" ref="E456">'Question_Bank'!E448</f>
        <v>ReadingWriting</v>
      </c>
      <c r="F456" t="str" s="97" cm="1">
        <f t="array" ref="F456">'Question_Bank'!F448</f>
        <v>Likert</v>
      </c>
      <c r="G456" t="str" s="97" cm="1">
        <f t="array" ref="G456">'Question_Bank'!G448</f>
        <v>I learn well through lists and bullet points.</v>
      </c>
      <c r="H456" s="131" cm="1">
        <f t="array" ref="H456">'Question_Bank'!H448</f>
        <v>0</v>
      </c>
      <c r="I456" s="131" cm="1">
        <f t="array" ref="I456">'Question_Bank'!I448</f>
        <v>0</v>
      </c>
      <c r="J456" s="131" cm="1">
        <f t="array" ref="J456">'Question_Bank'!J448</f>
        <v>0</v>
      </c>
      <c r="K456" s="131" cm="1">
        <f t="array" ref="K456">'Question_Bank'!K448</f>
        <v>0</v>
      </c>
      <c r="L456" s="131" cm="1">
        <f t="array" ref="L456">'Question_Bank'!L448</f>
        <v>0</v>
      </c>
      <c r="M456" s="132"/>
      <c r="N456" t="str" s="97" cm="1">
        <f t="array" ref="N456">IF(M456="","",IF(F456="MCQ",IF(UPPER(M456)=UPPER(L456),1,0),IF(O456="Yes",6-VALUE(M456),VALUE(M456))))</f>
      </c>
      <c r="O456" t="str" s="97" cm="1">
        <f t="array" ref="O456">'Question_Bank'!N448</f>
        <v>No</v>
      </c>
      <c r="P456" s="133" cm="1">
        <f t="array" ref="P456">IF(F456="MCQ",1,5)</f>
        <v>5</v>
      </c>
    </row>
    <row r="457" ht="42" customHeight="1">
      <c r="A457" t="str" s="130" cm="1">
        <f t="array" ref="A457">'Question_Bank'!A449</f>
        <v>NPI0445</v>
      </c>
      <c r="B457" t="str" s="97" cm="1">
        <f t="array" ref="B457">'Question_Bank'!B449</f>
        <v>8-12</v>
      </c>
      <c r="C457" t="str" s="97" cm="1">
        <f t="array" ref="C457">'Question_Bank'!C449</f>
        <v>Learning Style</v>
      </c>
      <c r="D457" t="str" s="97" cm="1">
        <f t="array" ref="D457">'Question_Bank'!D449</f>
        <v>ReadingWriting</v>
      </c>
      <c r="E457" t="str" s="97" cm="1">
        <f t="array" ref="E457">'Question_Bank'!E449</f>
        <v>ReadingWriting</v>
      </c>
      <c r="F457" t="str" s="97" cm="1">
        <f t="array" ref="F457">'Question_Bank'!F449</f>
        <v>Likert</v>
      </c>
      <c r="G457" t="str" s="97" cm="1">
        <f t="array" ref="G457">'Question_Bank'!G449</f>
        <v>I learn well through detailed notes.</v>
      </c>
      <c r="H457" s="131" cm="1">
        <f t="array" ref="H457">'Question_Bank'!H449</f>
        <v>0</v>
      </c>
      <c r="I457" s="131" cm="1">
        <f t="array" ref="I457">'Question_Bank'!I449</f>
        <v>0</v>
      </c>
      <c r="J457" s="131" cm="1">
        <f t="array" ref="J457">'Question_Bank'!J449</f>
        <v>0</v>
      </c>
      <c r="K457" s="131" cm="1">
        <f t="array" ref="K457">'Question_Bank'!K449</f>
        <v>0</v>
      </c>
      <c r="L457" s="131" cm="1">
        <f t="array" ref="L457">'Question_Bank'!L449</f>
        <v>0</v>
      </c>
      <c r="M457" s="132"/>
      <c r="N457" t="str" s="97" cm="1">
        <f t="array" ref="N457">IF(M457="","",IF(F457="MCQ",IF(UPPER(M457)=UPPER(L457),1,0),IF(O457="Yes",6-VALUE(M457),VALUE(M457))))</f>
      </c>
      <c r="O457" t="str" s="97" cm="1">
        <f t="array" ref="O457">'Question_Bank'!N449</f>
        <v>No</v>
      </c>
      <c r="P457" s="133" cm="1">
        <f t="array" ref="P457">IF(F457="MCQ",1,5)</f>
        <v>5</v>
      </c>
    </row>
    <row r="458" ht="42" customHeight="1">
      <c r="A458" t="str" s="130" cm="1">
        <f t="array" ref="A458">'Question_Bank'!A450</f>
        <v>NPI0446</v>
      </c>
      <c r="B458" t="str" s="97" cm="1">
        <f t="array" ref="B458">'Question_Bank'!B450</f>
        <v>8-12</v>
      </c>
      <c r="C458" t="str" s="97" cm="1">
        <f t="array" ref="C458">'Question_Bank'!C450</f>
        <v>Learning Style</v>
      </c>
      <c r="D458" t="str" s="97" cm="1">
        <f t="array" ref="D458">'Question_Bank'!D450</f>
        <v>ReadingWriting</v>
      </c>
      <c r="E458" t="str" s="97" cm="1">
        <f t="array" ref="E458">'Question_Bank'!E450</f>
        <v>ReadingWriting</v>
      </c>
      <c r="F458" t="str" s="97" cm="1">
        <f t="array" ref="F458">'Question_Bank'!F450</f>
        <v>Likert</v>
      </c>
      <c r="G458" t="str" s="97" cm="1">
        <f t="array" ref="G458">'Question_Bank'!G450</f>
        <v>I learn well through writing definitions.</v>
      </c>
      <c r="H458" s="131" cm="1">
        <f t="array" ref="H458">'Question_Bank'!H450</f>
        <v>0</v>
      </c>
      <c r="I458" s="131" cm="1">
        <f t="array" ref="I458">'Question_Bank'!I450</f>
        <v>0</v>
      </c>
      <c r="J458" s="131" cm="1">
        <f t="array" ref="J458">'Question_Bank'!J450</f>
        <v>0</v>
      </c>
      <c r="K458" s="131" cm="1">
        <f t="array" ref="K458">'Question_Bank'!K450</f>
        <v>0</v>
      </c>
      <c r="L458" s="131" cm="1">
        <f t="array" ref="L458">'Question_Bank'!L450</f>
        <v>0</v>
      </c>
      <c r="M458" s="132"/>
      <c r="N458" t="str" s="97" cm="1">
        <f t="array" ref="N458">IF(M458="","",IF(F458="MCQ",IF(UPPER(M458)=UPPER(L458),1,0),IF(O458="Yes",6-VALUE(M458),VALUE(M458))))</f>
      </c>
      <c r="O458" t="str" s="97" cm="1">
        <f t="array" ref="O458">'Question_Bank'!N450</f>
        <v>No</v>
      </c>
      <c r="P458" s="133" cm="1">
        <f t="array" ref="P458">IF(F458="MCQ",1,5)</f>
        <v>5</v>
      </c>
    </row>
    <row r="459" ht="42" customHeight="1">
      <c r="A459" t="str" s="130" cm="1">
        <f t="array" ref="A459">'Question_Bank'!A451</f>
        <v>NPI0447</v>
      </c>
      <c r="B459" t="str" s="97" cm="1">
        <f t="array" ref="B459">'Question_Bank'!B451</f>
        <v>8-12</v>
      </c>
      <c r="C459" t="str" s="97" cm="1">
        <f t="array" ref="C459">'Question_Bank'!C451</f>
        <v>Learning Style</v>
      </c>
      <c r="D459" t="str" s="97" cm="1">
        <f t="array" ref="D459">'Question_Bank'!D451</f>
        <v>ReadingWriting</v>
      </c>
      <c r="E459" t="str" s="97" cm="1">
        <f t="array" ref="E459">'Question_Bank'!E451</f>
        <v>ReadingWriting</v>
      </c>
      <c r="F459" t="str" s="97" cm="1">
        <f t="array" ref="F459">'Question_Bank'!F451</f>
        <v>Likert</v>
      </c>
      <c r="G459" t="str" s="97" cm="1">
        <f t="array" ref="G459">'Question_Bank'!G451</f>
        <v>I learn well through reading explanations.</v>
      </c>
      <c r="H459" s="131" cm="1">
        <f t="array" ref="H459">'Question_Bank'!H451</f>
        <v>0</v>
      </c>
      <c r="I459" s="131" cm="1">
        <f t="array" ref="I459">'Question_Bank'!I451</f>
        <v>0</v>
      </c>
      <c r="J459" s="131" cm="1">
        <f t="array" ref="J459">'Question_Bank'!J451</f>
        <v>0</v>
      </c>
      <c r="K459" s="131" cm="1">
        <f t="array" ref="K459">'Question_Bank'!K451</f>
        <v>0</v>
      </c>
      <c r="L459" s="131" cm="1">
        <f t="array" ref="L459">'Question_Bank'!L451</f>
        <v>0</v>
      </c>
      <c r="M459" s="132"/>
      <c r="N459" t="str" s="97" cm="1">
        <f t="array" ref="N459">IF(M459="","",IF(F459="MCQ",IF(UPPER(M459)=UPPER(L459),1,0),IF(O459="Yes",6-VALUE(M459),VALUE(M459))))</f>
      </c>
      <c r="O459" t="str" s="97" cm="1">
        <f t="array" ref="O459">'Question_Bank'!N451</f>
        <v>No</v>
      </c>
      <c r="P459" s="133" cm="1">
        <f t="array" ref="P459">IF(F459="MCQ",1,5)</f>
        <v>5</v>
      </c>
    </row>
    <row r="460" ht="42" customHeight="1">
      <c r="A460" t="str" s="130" cm="1">
        <f t="array" ref="A460">'Question_Bank'!A452</f>
        <v>NPI0448</v>
      </c>
      <c r="B460" t="str" s="97" cm="1">
        <f t="array" ref="B460">'Question_Bank'!B452</f>
        <v>8-12</v>
      </c>
      <c r="C460" t="str" s="97" cm="1">
        <f t="array" ref="C460">'Question_Bank'!C452</f>
        <v>Learning Style</v>
      </c>
      <c r="D460" t="str" s="97" cm="1">
        <f t="array" ref="D460">'Question_Bank'!D452</f>
        <v>ReadingWriting</v>
      </c>
      <c r="E460" t="str" s="97" cm="1">
        <f t="array" ref="E460">'Question_Bank'!E452</f>
        <v>ReadingWriting</v>
      </c>
      <c r="F460" t="str" s="97" cm="1">
        <f t="array" ref="F460">'Question_Bank'!F452</f>
        <v>Likert</v>
      </c>
      <c r="G460" t="str" s="97" cm="1">
        <f t="array" ref="G460">'Question_Bank'!G452</f>
        <v>I learn well through rewriting key points.</v>
      </c>
      <c r="H460" s="131" cm="1">
        <f t="array" ref="H460">'Question_Bank'!H452</f>
        <v>0</v>
      </c>
      <c r="I460" s="131" cm="1">
        <f t="array" ref="I460">'Question_Bank'!I452</f>
        <v>0</v>
      </c>
      <c r="J460" s="131" cm="1">
        <f t="array" ref="J460">'Question_Bank'!J452</f>
        <v>0</v>
      </c>
      <c r="K460" s="131" cm="1">
        <f t="array" ref="K460">'Question_Bank'!K452</f>
        <v>0</v>
      </c>
      <c r="L460" s="131" cm="1">
        <f t="array" ref="L460">'Question_Bank'!L452</f>
        <v>0</v>
      </c>
      <c r="M460" s="132"/>
      <c r="N460" t="str" s="97" cm="1">
        <f t="array" ref="N460">IF(M460="","",IF(F460="MCQ",IF(UPPER(M460)=UPPER(L460),1,0),IF(O460="Yes",6-VALUE(M460),VALUE(M460))))</f>
      </c>
      <c r="O460" t="str" s="97" cm="1">
        <f t="array" ref="O460">'Question_Bank'!N452</f>
        <v>No</v>
      </c>
      <c r="P460" s="133" cm="1">
        <f t="array" ref="P460">IF(F460="MCQ",1,5)</f>
        <v>5</v>
      </c>
    </row>
    <row r="461" ht="42" customHeight="1">
      <c r="A461" t="str" s="130" cm="1">
        <f t="array" ref="A461">'Question_Bank'!A453</f>
        <v>NPI0449</v>
      </c>
      <c r="B461" t="str" s="97" cm="1">
        <f t="array" ref="B461">'Question_Bank'!B453</f>
        <v>8-12</v>
      </c>
      <c r="C461" t="str" s="97" cm="1">
        <f t="array" ref="C461">'Question_Bank'!C453</f>
        <v>Learning Style</v>
      </c>
      <c r="D461" t="str" s="97" cm="1">
        <f t="array" ref="D461">'Question_Bank'!D453</f>
        <v>ReadingWriting</v>
      </c>
      <c r="E461" t="str" s="97" cm="1">
        <f t="array" ref="E461">'Question_Bank'!E453</f>
        <v>ReadingWriting</v>
      </c>
      <c r="F461" t="str" s="97" cm="1">
        <f t="array" ref="F461">'Question_Bank'!F453</f>
        <v>Likert</v>
      </c>
      <c r="G461" t="str" s="97" cm="1">
        <f t="array" ref="G461">'Question_Bank'!G453</f>
        <v>I learn well through written assignments.</v>
      </c>
      <c r="H461" s="131" cm="1">
        <f t="array" ref="H461">'Question_Bank'!H453</f>
        <v>0</v>
      </c>
      <c r="I461" s="131" cm="1">
        <f t="array" ref="I461">'Question_Bank'!I453</f>
        <v>0</v>
      </c>
      <c r="J461" s="131" cm="1">
        <f t="array" ref="J461">'Question_Bank'!J453</f>
        <v>0</v>
      </c>
      <c r="K461" s="131" cm="1">
        <f t="array" ref="K461">'Question_Bank'!K453</f>
        <v>0</v>
      </c>
      <c r="L461" s="131" cm="1">
        <f t="array" ref="L461">'Question_Bank'!L453</f>
        <v>0</v>
      </c>
      <c r="M461" s="132"/>
      <c r="N461" t="str" s="97" cm="1">
        <f t="array" ref="N461">IF(M461="","",IF(F461="MCQ",IF(UPPER(M461)=UPPER(L461),1,0),IF(O461="Yes",6-VALUE(M461),VALUE(M461))))</f>
      </c>
      <c r="O461" t="str" s="97" cm="1">
        <f t="array" ref="O461">'Question_Bank'!N453</f>
        <v>No</v>
      </c>
      <c r="P461" s="133" cm="1">
        <f t="array" ref="P461">IF(F461="MCQ",1,5)</f>
        <v>5</v>
      </c>
    </row>
    <row r="462" ht="42" customHeight="1">
      <c r="A462" t="str" s="130" cm="1">
        <f t="array" ref="A462">'Question_Bank'!A454</f>
        <v>NPI0450</v>
      </c>
      <c r="B462" t="str" s="97" cm="1">
        <f t="array" ref="B462">'Question_Bank'!B454</f>
        <v>8-12</v>
      </c>
      <c r="C462" t="str" s="97" cm="1">
        <f t="array" ref="C462">'Question_Bank'!C454</f>
        <v>Learning Style</v>
      </c>
      <c r="D462" t="str" s="97" cm="1">
        <f t="array" ref="D462">'Question_Bank'!D454</f>
        <v>ReadingWriting</v>
      </c>
      <c r="E462" t="str" s="97" cm="1">
        <f t="array" ref="E462">'Question_Bank'!E454</f>
        <v>ReadingWriting</v>
      </c>
      <c r="F462" t="str" s="97" cm="1">
        <f t="array" ref="F462">'Question_Bank'!F454</f>
        <v>Likert</v>
      </c>
      <c r="G462" t="str" s="97" cm="1">
        <f t="array" ref="G462">'Question_Bank'!G454</f>
        <v>I learn well through worksheets.</v>
      </c>
      <c r="H462" s="131" cm="1">
        <f t="array" ref="H462">'Question_Bank'!H454</f>
        <v>0</v>
      </c>
      <c r="I462" s="131" cm="1">
        <f t="array" ref="I462">'Question_Bank'!I454</f>
        <v>0</v>
      </c>
      <c r="J462" s="131" cm="1">
        <f t="array" ref="J462">'Question_Bank'!J454</f>
        <v>0</v>
      </c>
      <c r="K462" s="131" cm="1">
        <f t="array" ref="K462">'Question_Bank'!K454</f>
        <v>0</v>
      </c>
      <c r="L462" s="131" cm="1">
        <f t="array" ref="L462">'Question_Bank'!L454</f>
        <v>0</v>
      </c>
      <c r="M462" s="132"/>
      <c r="N462" t="str" s="97" cm="1">
        <f t="array" ref="N462">IF(M462="","",IF(F462="MCQ",IF(UPPER(M462)=UPPER(L462),1,0),IF(O462="Yes",6-VALUE(M462),VALUE(M462))))</f>
      </c>
      <c r="O462" t="str" s="97" cm="1">
        <f t="array" ref="O462">'Question_Bank'!N454</f>
        <v>No</v>
      </c>
      <c r="P462" s="133" cm="1">
        <f t="array" ref="P462">IF(F462="MCQ",1,5)</f>
        <v>5</v>
      </c>
    </row>
    <row r="463" ht="42" customHeight="1">
      <c r="A463" t="str" s="130" cm="1">
        <f t="array" ref="A463">'Question_Bank'!A455</f>
        <v>NPI0451</v>
      </c>
      <c r="B463" t="str" s="97" cm="1">
        <f t="array" ref="B463">'Question_Bank'!B455</f>
        <v>8-12</v>
      </c>
      <c r="C463" t="str" s="97" cm="1">
        <f t="array" ref="C463">'Question_Bank'!C455</f>
        <v>Learning Style</v>
      </c>
      <c r="D463" t="str" s="97" cm="1">
        <f t="array" ref="D463">'Question_Bank'!D455</f>
        <v>ReadingWriting</v>
      </c>
      <c r="E463" t="str" s="97" cm="1">
        <f t="array" ref="E463">'Question_Bank'!E455</f>
        <v>ReadingWriting</v>
      </c>
      <c r="F463" t="str" s="97" cm="1">
        <f t="array" ref="F463">'Question_Bank'!F455</f>
        <v>Likert</v>
      </c>
      <c r="G463" t="str" s="97" cm="1">
        <f t="array" ref="G463">'Question_Bank'!G455</f>
        <v>I learn well through quiet reading.</v>
      </c>
      <c r="H463" s="131" cm="1">
        <f t="array" ref="H463">'Question_Bank'!H455</f>
        <v>0</v>
      </c>
      <c r="I463" s="131" cm="1">
        <f t="array" ref="I463">'Question_Bank'!I455</f>
        <v>0</v>
      </c>
      <c r="J463" s="131" cm="1">
        <f t="array" ref="J463">'Question_Bank'!J455</f>
        <v>0</v>
      </c>
      <c r="K463" s="131" cm="1">
        <f t="array" ref="K463">'Question_Bank'!K455</f>
        <v>0</v>
      </c>
      <c r="L463" s="131" cm="1">
        <f t="array" ref="L463">'Question_Bank'!L455</f>
        <v>0</v>
      </c>
      <c r="M463" s="132"/>
      <c r="N463" t="str" s="97" cm="1">
        <f t="array" ref="N463">IF(M463="","",IF(F463="MCQ",IF(UPPER(M463)=UPPER(L463),1,0),IF(O463="Yes",6-VALUE(M463),VALUE(M463))))</f>
      </c>
      <c r="O463" t="str" s="97" cm="1">
        <f t="array" ref="O463">'Question_Bank'!N455</f>
        <v>No</v>
      </c>
      <c r="P463" s="133" cm="1">
        <f t="array" ref="P463">IF(F463="MCQ",1,5)</f>
        <v>5</v>
      </c>
    </row>
    <row r="464" ht="42" customHeight="1">
      <c r="A464" t="str" s="130" cm="1">
        <f t="array" ref="A464">'Question_Bank'!A456</f>
        <v>NPI0452</v>
      </c>
      <c r="B464" t="str" s="97" cm="1">
        <f t="array" ref="B464">'Question_Bank'!B456</f>
        <v>8-12</v>
      </c>
      <c r="C464" t="str" s="97" cm="1">
        <f t="array" ref="C464">'Question_Bank'!C456</f>
        <v>Learning Style</v>
      </c>
      <c r="D464" t="str" s="97" cm="1">
        <f t="array" ref="D464">'Question_Bank'!D456</f>
        <v>ReadingWriting</v>
      </c>
      <c r="E464" t="str" s="97" cm="1">
        <f t="array" ref="E464">'Question_Bank'!E456</f>
        <v>ReadingWriting</v>
      </c>
      <c r="F464" t="str" s="97" cm="1">
        <f t="array" ref="F464">'Question_Bank'!F456</f>
        <v>Likert</v>
      </c>
      <c r="G464" t="str" s="97" cm="1">
        <f t="array" ref="G464">'Question_Bank'!G456</f>
        <v>I learn well through written checklists.</v>
      </c>
      <c r="H464" s="131" cm="1">
        <f t="array" ref="H464">'Question_Bank'!H456</f>
        <v>0</v>
      </c>
      <c r="I464" s="131" cm="1">
        <f t="array" ref="I464">'Question_Bank'!I456</f>
        <v>0</v>
      </c>
      <c r="J464" s="131" cm="1">
        <f t="array" ref="J464">'Question_Bank'!J456</f>
        <v>0</v>
      </c>
      <c r="K464" s="131" cm="1">
        <f t="array" ref="K464">'Question_Bank'!K456</f>
        <v>0</v>
      </c>
      <c r="L464" s="131" cm="1">
        <f t="array" ref="L464">'Question_Bank'!L456</f>
        <v>0</v>
      </c>
      <c r="M464" s="132"/>
      <c r="N464" t="str" s="97" cm="1">
        <f t="array" ref="N464">IF(M464="","",IF(F464="MCQ",IF(UPPER(M464)=UPPER(L464),1,0),IF(O464="Yes",6-VALUE(M464),VALUE(M464))))</f>
      </c>
      <c r="O464" t="str" s="97" cm="1">
        <f t="array" ref="O464">'Question_Bank'!N456</f>
        <v>No</v>
      </c>
      <c r="P464" s="133" cm="1">
        <f t="array" ref="P464">IF(F464="MCQ",1,5)</f>
        <v>5</v>
      </c>
    </row>
    <row r="465" ht="42" customHeight="1">
      <c r="A465" t="str" s="130" cm="1">
        <f t="array" ref="A465">'Question_Bank'!A457</f>
        <v>NPI0453</v>
      </c>
      <c r="B465" t="str" s="97" cm="1">
        <f t="array" ref="B465">'Question_Bank'!B457</f>
        <v>8-12</v>
      </c>
      <c r="C465" t="str" s="97" cm="1">
        <f t="array" ref="C465">'Question_Bank'!C457</f>
        <v>Learning Style</v>
      </c>
      <c r="D465" t="str" s="97" cm="1">
        <f t="array" ref="D465">'Question_Bank'!D457</f>
        <v>ReadingWriting</v>
      </c>
      <c r="E465" t="str" s="97" cm="1">
        <f t="array" ref="E465">'Question_Bank'!E457</f>
        <v>ReadingWriting</v>
      </c>
      <c r="F465" t="str" s="97" cm="1">
        <f t="array" ref="F465">'Question_Bank'!F457</f>
        <v>Likert</v>
      </c>
      <c r="G465" t="str" s="97" cm="1">
        <f t="array" ref="G465">'Question_Bank'!G457</f>
        <v>I learn well through flashcards.</v>
      </c>
      <c r="H465" s="131" cm="1">
        <f t="array" ref="H465">'Question_Bank'!H457</f>
        <v>0</v>
      </c>
      <c r="I465" s="131" cm="1">
        <f t="array" ref="I465">'Question_Bank'!I457</f>
        <v>0</v>
      </c>
      <c r="J465" s="131" cm="1">
        <f t="array" ref="J465">'Question_Bank'!J457</f>
        <v>0</v>
      </c>
      <c r="K465" s="131" cm="1">
        <f t="array" ref="K465">'Question_Bank'!K457</f>
        <v>0</v>
      </c>
      <c r="L465" s="131" cm="1">
        <f t="array" ref="L465">'Question_Bank'!L457</f>
        <v>0</v>
      </c>
      <c r="M465" s="132"/>
      <c r="N465" t="str" s="97" cm="1">
        <f t="array" ref="N465">IF(M465="","",IF(F465="MCQ",IF(UPPER(M465)=UPPER(L465),1,0),IF(O465="Yes",6-VALUE(M465),VALUE(M465))))</f>
      </c>
      <c r="O465" t="str" s="97" cm="1">
        <f t="array" ref="O465">'Question_Bank'!N457</f>
        <v>No</v>
      </c>
      <c r="P465" s="133" cm="1">
        <f t="array" ref="P465">IF(F465="MCQ",1,5)</f>
        <v>5</v>
      </c>
    </row>
    <row r="466" ht="42" customHeight="1">
      <c r="A466" t="str" s="130" cm="1">
        <f t="array" ref="A466">'Question_Bank'!A458</f>
        <v>NPI0454</v>
      </c>
      <c r="B466" t="str" s="97" cm="1">
        <f t="array" ref="B466">'Question_Bank'!B458</f>
        <v>8-12</v>
      </c>
      <c r="C466" t="str" s="97" cm="1">
        <f t="array" ref="C466">'Question_Bank'!C458</f>
        <v>Learning Style</v>
      </c>
      <c r="D466" t="str" s="97" cm="1">
        <f t="array" ref="D466">'Question_Bank'!D458</f>
        <v>ReadingWriting</v>
      </c>
      <c r="E466" t="str" s="97" cm="1">
        <f t="array" ref="E466">'Question_Bank'!E458</f>
        <v>ReadingWriting</v>
      </c>
      <c r="F466" t="str" s="97" cm="1">
        <f t="array" ref="F466">'Question_Bank'!F458</f>
        <v>Likert</v>
      </c>
      <c r="G466" t="str" s="97" cm="1">
        <f t="array" ref="G466">'Question_Bank'!G458</f>
        <v>I learn well through annotating text.</v>
      </c>
      <c r="H466" s="131" cm="1">
        <f t="array" ref="H466">'Question_Bank'!H458</f>
        <v>0</v>
      </c>
      <c r="I466" s="131" cm="1">
        <f t="array" ref="I466">'Question_Bank'!I458</f>
        <v>0</v>
      </c>
      <c r="J466" s="131" cm="1">
        <f t="array" ref="J466">'Question_Bank'!J458</f>
        <v>0</v>
      </c>
      <c r="K466" s="131" cm="1">
        <f t="array" ref="K466">'Question_Bank'!K458</f>
        <v>0</v>
      </c>
      <c r="L466" s="131" cm="1">
        <f t="array" ref="L466">'Question_Bank'!L458</f>
        <v>0</v>
      </c>
      <c r="M466" s="132"/>
      <c r="N466" t="str" s="97" cm="1">
        <f t="array" ref="N466">IF(M466="","",IF(F466="MCQ",IF(UPPER(M466)=UPPER(L466),1,0),IF(O466="Yes",6-VALUE(M466),VALUE(M466))))</f>
      </c>
      <c r="O466" t="str" s="97" cm="1">
        <f t="array" ref="O466">'Question_Bank'!N458</f>
        <v>No</v>
      </c>
      <c r="P466" s="133" cm="1">
        <f t="array" ref="P466">IF(F466="MCQ",1,5)</f>
        <v>5</v>
      </c>
    </row>
    <row r="467" ht="42" customHeight="1">
      <c r="A467" t="str" s="130" cm="1">
        <f t="array" ref="A467">'Question_Bank'!A459</f>
        <v>NPI0455</v>
      </c>
      <c r="B467" t="str" s="97" cm="1">
        <f t="array" ref="B467">'Question_Bank'!B459</f>
        <v>8-12</v>
      </c>
      <c r="C467" t="str" s="97" cm="1">
        <f t="array" ref="C467">'Question_Bank'!C459</f>
        <v>Learning Style</v>
      </c>
      <c r="D467" t="str" s="97" cm="1">
        <f t="array" ref="D467">'Question_Bank'!D459</f>
        <v>ReadingWriting</v>
      </c>
      <c r="E467" t="str" s="97" cm="1">
        <f t="array" ref="E467">'Question_Bank'!E459</f>
        <v>ReadingWriting</v>
      </c>
      <c r="F467" t="str" s="97" cm="1">
        <f t="array" ref="F467">'Question_Bank'!F459</f>
        <v>Likert</v>
      </c>
      <c r="G467" t="str" s="97" cm="1">
        <f t="array" ref="G467">'Question_Bank'!G459</f>
        <v>I learn well through written examples.</v>
      </c>
      <c r="H467" s="131" cm="1">
        <f t="array" ref="H467">'Question_Bank'!H459</f>
        <v>0</v>
      </c>
      <c r="I467" s="131" cm="1">
        <f t="array" ref="I467">'Question_Bank'!I459</f>
        <v>0</v>
      </c>
      <c r="J467" s="131" cm="1">
        <f t="array" ref="J467">'Question_Bank'!J459</f>
        <v>0</v>
      </c>
      <c r="K467" s="131" cm="1">
        <f t="array" ref="K467">'Question_Bank'!K459</f>
        <v>0</v>
      </c>
      <c r="L467" s="131" cm="1">
        <f t="array" ref="L467">'Question_Bank'!L459</f>
        <v>0</v>
      </c>
      <c r="M467" s="132"/>
      <c r="N467" t="str" s="97" cm="1">
        <f t="array" ref="N467">IF(M467="","",IF(F467="MCQ",IF(UPPER(M467)=UPPER(L467),1,0),IF(O467="Yes",6-VALUE(M467),VALUE(M467))))</f>
      </c>
      <c r="O467" t="str" s="97" cm="1">
        <f t="array" ref="O467">'Question_Bank'!N459</f>
        <v>No</v>
      </c>
      <c r="P467" s="133" cm="1">
        <f t="array" ref="P467">IF(F467="MCQ",1,5)</f>
        <v>5</v>
      </c>
    </row>
    <row r="468" ht="42" customHeight="1">
      <c r="A468" t="str" s="130" cm="1">
        <f t="array" ref="A468">'Question_Bank'!A460</f>
        <v>NPI0456</v>
      </c>
      <c r="B468" t="str" s="97" cm="1">
        <f t="array" ref="B468">'Question_Bank'!B460</f>
        <v>8-12</v>
      </c>
      <c r="C468" t="str" s="97" cm="1">
        <f t="array" ref="C468">'Question_Bank'!C460</f>
        <v>Additional NeuroPi Indicators</v>
      </c>
      <c r="D468" t="str" s="97" cm="1">
        <f t="array" ref="D468">'Question_Bank'!D460</f>
        <v>Motivation</v>
      </c>
      <c r="E468" t="str" s="97" cm="1">
        <f t="array" ref="E468">'Question_Bank'!E460</f>
        <v>Motivation</v>
      </c>
      <c r="F468" t="str" s="97" cm="1">
        <f t="array" ref="F468">'Question_Bank'!F460</f>
        <v>Likert</v>
      </c>
      <c r="G468" t="str" s="97" cm="1">
        <f t="array" ref="G468">'Question_Bank'!G460</f>
        <v>I know why studies matter.</v>
      </c>
      <c r="H468" s="131" cm="1">
        <f t="array" ref="H468">'Question_Bank'!H460</f>
        <v>0</v>
      </c>
      <c r="I468" s="131" cm="1">
        <f t="array" ref="I468">'Question_Bank'!I460</f>
        <v>0</v>
      </c>
      <c r="J468" s="131" cm="1">
        <f t="array" ref="J468">'Question_Bank'!J460</f>
        <v>0</v>
      </c>
      <c r="K468" s="131" cm="1">
        <f t="array" ref="K468">'Question_Bank'!K460</f>
        <v>0</v>
      </c>
      <c r="L468" s="131" cm="1">
        <f t="array" ref="L468">'Question_Bank'!L460</f>
        <v>0</v>
      </c>
      <c r="M468" s="132"/>
      <c r="N468" t="str" s="97" cm="1">
        <f t="array" ref="N468">IF(M468="","",IF(F468="MCQ",IF(UPPER(M468)=UPPER(L468),1,0),IF(O468="Yes",6-VALUE(M468),VALUE(M468))))</f>
      </c>
      <c r="O468" t="str" s="97" cm="1">
        <f t="array" ref="O468">'Question_Bank'!N460</f>
        <v>No</v>
      </c>
      <c r="P468" s="133" cm="1">
        <f t="array" ref="P468">IF(F468="MCQ",1,5)</f>
        <v>5</v>
      </c>
    </row>
    <row r="469" ht="42" customHeight="1">
      <c r="A469" t="str" s="130" cm="1">
        <f t="array" ref="A469">'Question_Bank'!A461</f>
        <v>NPI0457</v>
      </c>
      <c r="B469" t="str" s="97" cm="1">
        <f t="array" ref="B469">'Question_Bank'!B461</f>
        <v>8-12</v>
      </c>
      <c r="C469" t="str" s="97" cm="1">
        <f t="array" ref="C469">'Question_Bank'!C461</f>
        <v>Additional NeuroPi Indicators</v>
      </c>
      <c r="D469" t="str" s="97" cm="1">
        <f t="array" ref="D469">'Question_Bank'!D461</f>
        <v>Motivation</v>
      </c>
      <c r="E469" t="str" s="97" cm="1">
        <f t="array" ref="E469">'Question_Bank'!E461</f>
        <v>Motivation</v>
      </c>
      <c r="F469" t="str" s="97" cm="1">
        <f t="array" ref="F469">'Question_Bank'!F461</f>
        <v>Likert</v>
      </c>
      <c r="G469" t="str" s="97" cm="1">
        <f t="array" ref="G469">'Question_Bank'!G461</f>
        <v>I feel motivated by progress.</v>
      </c>
      <c r="H469" s="131" cm="1">
        <f t="array" ref="H469">'Question_Bank'!H461</f>
        <v>0</v>
      </c>
      <c r="I469" s="131" cm="1">
        <f t="array" ref="I469">'Question_Bank'!I461</f>
        <v>0</v>
      </c>
      <c r="J469" s="131" cm="1">
        <f t="array" ref="J469">'Question_Bank'!J461</f>
        <v>0</v>
      </c>
      <c r="K469" s="131" cm="1">
        <f t="array" ref="K469">'Question_Bank'!K461</f>
        <v>0</v>
      </c>
      <c r="L469" s="131" cm="1">
        <f t="array" ref="L469">'Question_Bank'!L461</f>
        <v>0</v>
      </c>
      <c r="M469" s="132"/>
      <c r="N469" t="str" s="97" cm="1">
        <f t="array" ref="N469">IF(M469="","",IF(F469="MCQ",IF(UPPER(M469)=UPPER(L469),1,0),IF(O469="Yes",6-VALUE(M469),VALUE(M469))))</f>
      </c>
      <c r="O469" t="str" s="97" cm="1">
        <f t="array" ref="O469">'Question_Bank'!N461</f>
        <v>No</v>
      </c>
      <c r="P469" s="133" cm="1">
        <f t="array" ref="P469">IF(F469="MCQ",1,5)</f>
        <v>5</v>
      </c>
    </row>
    <row r="470" ht="42" customHeight="1">
      <c r="A470" t="str" s="130" cm="1">
        <f t="array" ref="A470">'Question_Bank'!A462</f>
        <v>NPI0458</v>
      </c>
      <c r="B470" t="str" s="97" cm="1">
        <f t="array" ref="B470">'Question_Bank'!B462</f>
        <v>8-12</v>
      </c>
      <c r="C470" t="str" s="97" cm="1">
        <f t="array" ref="C470">'Question_Bank'!C462</f>
        <v>Additional NeuroPi Indicators</v>
      </c>
      <c r="D470" t="str" s="97" cm="1">
        <f t="array" ref="D470">'Question_Bank'!D462</f>
        <v>Motivation</v>
      </c>
      <c r="E470" t="str" s="97" cm="1">
        <f t="array" ref="E470">'Question_Bank'!E462</f>
        <v>Motivation</v>
      </c>
      <c r="F470" t="str" s="97" cm="1">
        <f t="array" ref="F470">'Question_Bank'!F462</f>
        <v>Likert</v>
      </c>
      <c r="G470" t="str" s="97" cm="1">
        <f t="array" ref="G470">'Question_Bank'!G462</f>
        <v>I set goals.</v>
      </c>
      <c r="H470" s="131" cm="1">
        <f t="array" ref="H470">'Question_Bank'!H462</f>
        <v>0</v>
      </c>
      <c r="I470" s="131" cm="1">
        <f t="array" ref="I470">'Question_Bank'!I462</f>
        <v>0</v>
      </c>
      <c r="J470" s="131" cm="1">
        <f t="array" ref="J470">'Question_Bank'!J462</f>
        <v>0</v>
      </c>
      <c r="K470" s="131" cm="1">
        <f t="array" ref="K470">'Question_Bank'!K462</f>
        <v>0</v>
      </c>
      <c r="L470" s="131" cm="1">
        <f t="array" ref="L470">'Question_Bank'!L462</f>
        <v>0</v>
      </c>
      <c r="M470" s="132"/>
      <c r="N470" t="str" s="97" cm="1">
        <f t="array" ref="N470">IF(M470="","",IF(F470="MCQ",IF(UPPER(M470)=UPPER(L470),1,0),IF(O470="Yes",6-VALUE(M470),VALUE(M470))))</f>
      </c>
      <c r="O470" t="str" s="97" cm="1">
        <f t="array" ref="O470">'Question_Bank'!N462</f>
        <v>No</v>
      </c>
      <c r="P470" s="133" cm="1">
        <f t="array" ref="P470">IF(F470="MCQ",1,5)</f>
        <v>5</v>
      </c>
    </row>
    <row r="471" ht="42" customHeight="1">
      <c r="A471" t="str" s="130" cm="1">
        <f t="array" ref="A471">'Question_Bank'!A463</f>
        <v>NPI0459</v>
      </c>
      <c r="B471" t="str" s="97" cm="1">
        <f t="array" ref="B471">'Question_Bank'!B463</f>
        <v>8-12</v>
      </c>
      <c r="C471" t="str" s="97" cm="1">
        <f t="array" ref="C471">'Question_Bank'!C463</f>
        <v>Additional NeuroPi Indicators</v>
      </c>
      <c r="D471" t="str" s="97" cm="1">
        <f t="array" ref="D471">'Question_Bank'!D463</f>
        <v>Motivation</v>
      </c>
      <c r="E471" t="str" s="97" cm="1">
        <f t="array" ref="E471">'Question_Bank'!E463</f>
        <v>Motivation</v>
      </c>
      <c r="F471" t="str" s="97" cm="1">
        <f t="array" ref="F471">'Question_Bank'!F463</f>
        <v>Likert</v>
      </c>
      <c r="G471" t="str" s="97" cm="1">
        <f t="array" ref="G471">'Question_Bank'!G463</f>
        <v>I like growth challenges.</v>
      </c>
      <c r="H471" s="131" cm="1">
        <f t="array" ref="H471">'Question_Bank'!H463</f>
        <v>0</v>
      </c>
      <c r="I471" s="131" cm="1">
        <f t="array" ref="I471">'Question_Bank'!I463</f>
        <v>0</v>
      </c>
      <c r="J471" s="131" cm="1">
        <f t="array" ref="J471">'Question_Bank'!J463</f>
        <v>0</v>
      </c>
      <c r="K471" s="131" cm="1">
        <f t="array" ref="K471">'Question_Bank'!K463</f>
        <v>0</v>
      </c>
      <c r="L471" s="131" cm="1">
        <f t="array" ref="L471">'Question_Bank'!L463</f>
        <v>0</v>
      </c>
      <c r="M471" s="132"/>
      <c r="N471" t="str" s="97" cm="1">
        <f t="array" ref="N471">IF(M471="","",IF(F471="MCQ",IF(UPPER(M471)=UPPER(L471),1,0),IF(O471="Yes",6-VALUE(M471),VALUE(M471))))</f>
      </c>
      <c r="O471" t="str" s="97" cm="1">
        <f t="array" ref="O471">'Question_Bank'!N463</f>
        <v>No</v>
      </c>
      <c r="P471" s="133" cm="1">
        <f t="array" ref="P471">IF(F471="MCQ",1,5)</f>
        <v>5</v>
      </c>
    </row>
    <row r="472" ht="42" customHeight="1">
      <c r="A472" t="str" s="130" cm="1">
        <f t="array" ref="A472">'Question_Bank'!A464</f>
        <v>NPI0460</v>
      </c>
      <c r="B472" t="str" s="97" cm="1">
        <f t="array" ref="B472">'Question_Bank'!B464</f>
        <v>8-12</v>
      </c>
      <c r="C472" t="str" s="97" cm="1">
        <f t="array" ref="C472">'Question_Bank'!C464</f>
        <v>Additional NeuroPi Indicators</v>
      </c>
      <c r="D472" t="str" s="97" cm="1">
        <f t="array" ref="D472">'Question_Bank'!D464</f>
        <v>Motivation</v>
      </c>
      <c r="E472" t="str" s="97" cm="1">
        <f t="array" ref="E472">'Question_Bank'!E464</f>
        <v>Motivation</v>
      </c>
      <c r="F472" t="str" s="97" cm="1">
        <f t="array" ref="F472">'Question_Bank'!F464</f>
        <v>Likert</v>
      </c>
      <c r="G472" t="str" s="97" cm="1">
        <f t="array" ref="G472">'Question_Bank'!G464</f>
        <v>I feel inspired by role models.</v>
      </c>
      <c r="H472" s="131" cm="1">
        <f t="array" ref="H472">'Question_Bank'!H464</f>
        <v>0</v>
      </c>
      <c r="I472" s="131" cm="1">
        <f t="array" ref="I472">'Question_Bank'!I464</f>
        <v>0</v>
      </c>
      <c r="J472" s="131" cm="1">
        <f t="array" ref="J472">'Question_Bank'!J464</f>
        <v>0</v>
      </c>
      <c r="K472" s="131" cm="1">
        <f t="array" ref="K472">'Question_Bank'!K464</f>
        <v>0</v>
      </c>
      <c r="L472" s="131" cm="1">
        <f t="array" ref="L472">'Question_Bank'!L464</f>
        <v>0</v>
      </c>
      <c r="M472" s="132"/>
      <c r="N472" t="str" s="97" cm="1">
        <f t="array" ref="N472">IF(M472="","",IF(F472="MCQ",IF(UPPER(M472)=UPPER(L472),1,0),IF(O472="Yes",6-VALUE(M472),VALUE(M472))))</f>
      </c>
      <c r="O472" t="str" s="97" cm="1">
        <f t="array" ref="O472">'Question_Bank'!N464</f>
        <v>No</v>
      </c>
      <c r="P472" s="133" cm="1">
        <f t="array" ref="P472">IF(F472="MCQ",1,5)</f>
        <v>5</v>
      </c>
    </row>
    <row r="473" ht="42" customHeight="1">
      <c r="A473" t="str" s="130" cm="1">
        <f t="array" ref="A473">'Question_Bank'!A465</f>
        <v>NPI0461</v>
      </c>
      <c r="B473" t="str" s="97" cm="1">
        <f t="array" ref="B473">'Question_Bank'!B465</f>
        <v>8-12</v>
      </c>
      <c r="C473" t="str" s="97" cm="1">
        <f t="array" ref="C473">'Question_Bank'!C465</f>
        <v>Additional NeuroPi Indicators</v>
      </c>
      <c r="D473" t="str" s="97" cm="1">
        <f t="array" ref="D473">'Question_Bank'!D465</f>
        <v>Motivation</v>
      </c>
      <c r="E473" t="str" s="97" cm="1">
        <f t="array" ref="E473">'Question_Bank'!E465</f>
        <v>Motivation</v>
      </c>
      <c r="F473" t="str" s="97" cm="1">
        <f t="array" ref="F473">'Question_Bank'!F465</f>
        <v>Likert</v>
      </c>
      <c r="G473" t="str" s="97" cm="1">
        <f t="array" ref="G473">'Question_Bank'!G465</f>
        <v>I enjoy improving skills.</v>
      </c>
      <c r="H473" s="131" cm="1">
        <f t="array" ref="H473">'Question_Bank'!H465</f>
        <v>0</v>
      </c>
      <c r="I473" s="131" cm="1">
        <f t="array" ref="I473">'Question_Bank'!I465</f>
        <v>0</v>
      </c>
      <c r="J473" s="131" cm="1">
        <f t="array" ref="J473">'Question_Bank'!J465</f>
        <v>0</v>
      </c>
      <c r="K473" s="131" cm="1">
        <f t="array" ref="K473">'Question_Bank'!K465</f>
        <v>0</v>
      </c>
      <c r="L473" s="131" cm="1">
        <f t="array" ref="L473">'Question_Bank'!L465</f>
        <v>0</v>
      </c>
      <c r="M473" s="132"/>
      <c r="N473" t="str" s="97" cm="1">
        <f t="array" ref="N473">IF(M473="","",IF(F473="MCQ",IF(UPPER(M473)=UPPER(L473),1,0),IF(O473="Yes",6-VALUE(M473),VALUE(M473))))</f>
      </c>
      <c r="O473" t="str" s="97" cm="1">
        <f t="array" ref="O473">'Question_Bank'!N465</f>
        <v>No</v>
      </c>
      <c r="P473" s="133" cm="1">
        <f t="array" ref="P473">IF(F473="MCQ",1,5)</f>
        <v>5</v>
      </c>
    </row>
    <row r="474" ht="42" customHeight="1">
      <c r="A474" t="str" s="130" cm="1">
        <f t="array" ref="A474">'Question_Bank'!A466</f>
        <v>NPI0462</v>
      </c>
      <c r="B474" t="str" s="97" cm="1">
        <f t="array" ref="B474">'Question_Bank'!B466</f>
        <v>8-12</v>
      </c>
      <c r="C474" t="str" s="97" cm="1">
        <f t="array" ref="C474">'Question_Bank'!C466</f>
        <v>Additional NeuroPi Indicators</v>
      </c>
      <c r="D474" t="str" s="97" cm="1">
        <f t="array" ref="D474">'Question_Bank'!D466</f>
        <v>Motivation</v>
      </c>
      <c r="E474" t="str" s="97" cm="1">
        <f t="array" ref="E474">'Question_Bank'!E466</f>
        <v>Motivation</v>
      </c>
      <c r="F474" t="str" s="97" cm="1">
        <f t="array" ref="F474">'Question_Bank'!F466</f>
        <v>Likert</v>
      </c>
      <c r="G474" t="str" s="97" cm="1">
        <f t="array" ref="G474">'Question_Bank'!G466</f>
        <v>I feel energized by meaningful goals.</v>
      </c>
      <c r="H474" s="131" cm="1">
        <f t="array" ref="H474">'Question_Bank'!H466</f>
        <v>0</v>
      </c>
      <c r="I474" s="131" cm="1">
        <f t="array" ref="I474">'Question_Bank'!I466</f>
        <v>0</v>
      </c>
      <c r="J474" s="131" cm="1">
        <f t="array" ref="J474">'Question_Bank'!J466</f>
        <v>0</v>
      </c>
      <c r="K474" s="131" cm="1">
        <f t="array" ref="K474">'Question_Bank'!K466</f>
        <v>0</v>
      </c>
      <c r="L474" s="131" cm="1">
        <f t="array" ref="L474">'Question_Bank'!L466</f>
        <v>0</v>
      </c>
      <c r="M474" s="132"/>
      <c r="N474" t="str" s="97" cm="1">
        <f t="array" ref="N474">IF(M474="","",IF(F474="MCQ",IF(UPPER(M474)=UPPER(L474),1,0),IF(O474="Yes",6-VALUE(M474),VALUE(M474))))</f>
      </c>
      <c r="O474" t="str" s="97" cm="1">
        <f t="array" ref="O474">'Question_Bank'!N466</f>
        <v>No</v>
      </c>
      <c r="P474" s="133" cm="1">
        <f t="array" ref="P474">IF(F474="MCQ",1,5)</f>
        <v>5</v>
      </c>
    </row>
    <row r="475" ht="42" customHeight="1">
      <c r="A475" t="str" s="130" cm="1">
        <f t="array" ref="A475">'Question_Bank'!A467</f>
        <v>NPI0463</v>
      </c>
      <c r="B475" t="str" s="97" cm="1">
        <f t="array" ref="B475">'Question_Bank'!B467</f>
        <v>8-12</v>
      </c>
      <c r="C475" t="str" s="97" cm="1">
        <f t="array" ref="C475">'Question_Bank'!C467</f>
        <v>Additional NeuroPi Indicators</v>
      </c>
      <c r="D475" t="str" s="97" cm="1">
        <f t="array" ref="D475">'Question_Bank'!D467</f>
        <v>Motivation</v>
      </c>
      <c r="E475" t="str" s="97" cm="1">
        <f t="array" ref="E475">'Question_Bank'!E467</f>
        <v>Motivation</v>
      </c>
      <c r="F475" t="str" s="97" cm="1">
        <f t="array" ref="F475">'Question_Bank'!F467</f>
        <v>Likert</v>
      </c>
      <c r="G475" t="str" s="97" cm="1">
        <f t="array" ref="G475">'Question_Bank'!G467</f>
        <v>I connect subjects to life goals.</v>
      </c>
      <c r="H475" s="131" cm="1">
        <f t="array" ref="H475">'Question_Bank'!H467</f>
        <v>0</v>
      </c>
      <c r="I475" s="131" cm="1">
        <f t="array" ref="I475">'Question_Bank'!I467</f>
        <v>0</v>
      </c>
      <c r="J475" s="131" cm="1">
        <f t="array" ref="J475">'Question_Bank'!J467</f>
        <v>0</v>
      </c>
      <c r="K475" s="131" cm="1">
        <f t="array" ref="K475">'Question_Bank'!K467</f>
        <v>0</v>
      </c>
      <c r="L475" s="131" cm="1">
        <f t="array" ref="L475">'Question_Bank'!L467</f>
        <v>0</v>
      </c>
      <c r="M475" s="132"/>
      <c r="N475" t="str" s="97" cm="1">
        <f t="array" ref="N475">IF(M475="","",IF(F475="MCQ",IF(UPPER(M475)=UPPER(L475),1,0),IF(O475="Yes",6-VALUE(M475),VALUE(M475))))</f>
      </c>
      <c r="O475" t="str" s="97" cm="1">
        <f t="array" ref="O475">'Question_Bank'!N467</f>
        <v>No</v>
      </c>
      <c r="P475" s="133" cm="1">
        <f t="array" ref="P475">IF(F475="MCQ",1,5)</f>
        <v>5</v>
      </c>
    </row>
    <row r="476" ht="42" customHeight="1">
      <c r="A476" t="str" s="130" cm="1">
        <f t="array" ref="A476">'Question_Bank'!A468</f>
        <v>NPI0464</v>
      </c>
      <c r="B476" t="str" s="97" cm="1">
        <f t="array" ref="B476">'Question_Bank'!B468</f>
        <v>8-12</v>
      </c>
      <c r="C476" t="str" s="97" cm="1">
        <f t="array" ref="C476">'Question_Bank'!C468</f>
        <v>Additional NeuroPi Indicators</v>
      </c>
      <c r="D476" t="str" s="97" cm="1">
        <f t="array" ref="D476">'Question_Bank'!D468</f>
        <v>Motivation</v>
      </c>
      <c r="E476" t="str" s="97" cm="1">
        <f t="array" ref="E476">'Question_Bank'!E468</f>
        <v>Motivation</v>
      </c>
      <c r="F476" t="str" s="97" cm="1">
        <f t="array" ref="F476">'Question_Bank'!F468</f>
        <v>Likert</v>
      </c>
      <c r="G476" t="str" s="97" cm="1">
        <f t="array" ref="G476">'Question_Bank'!G468</f>
        <v>I track my progress.</v>
      </c>
      <c r="H476" s="131" cm="1">
        <f t="array" ref="H476">'Question_Bank'!H468</f>
        <v>0</v>
      </c>
      <c r="I476" s="131" cm="1">
        <f t="array" ref="I476">'Question_Bank'!I468</f>
        <v>0</v>
      </c>
      <c r="J476" s="131" cm="1">
        <f t="array" ref="J476">'Question_Bank'!J468</f>
        <v>0</v>
      </c>
      <c r="K476" s="131" cm="1">
        <f t="array" ref="K476">'Question_Bank'!K468</f>
        <v>0</v>
      </c>
      <c r="L476" s="131" cm="1">
        <f t="array" ref="L476">'Question_Bank'!L468</f>
        <v>0</v>
      </c>
      <c r="M476" s="132"/>
      <c r="N476" t="str" s="97" cm="1">
        <f t="array" ref="N476">IF(M476="","",IF(F476="MCQ",IF(UPPER(M476)=UPPER(L476),1,0),IF(O476="Yes",6-VALUE(M476),VALUE(M476))))</f>
      </c>
      <c r="O476" t="str" s="97" cm="1">
        <f t="array" ref="O476">'Question_Bank'!N468</f>
        <v>No</v>
      </c>
      <c r="P476" s="133" cm="1">
        <f t="array" ref="P476">IF(F476="MCQ",1,5)</f>
        <v>5</v>
      </c>
    </row>
    <row r="477" ht="42" customHeight="1">
      <c r="A477" t="str" s="130" cm="1">
        <f t="array" ref="A477">'Question_Bank'!A469</f>
        <v>NPI0465</v>
      </c>
      <c r="B477" t="str" s="97" cm="1">
        <f t="array" ref="B477">'Question_Bank'!B469</f>
        <v>8-12</v>
      </c>
      <c r="C477" t="str" s="97" cm="1">
        <f t="array" ref="C477">'Question_Bank'!C469</f>
        <v>Additional NeuroPi Indicators</v>
      </c>
      <c r="D477" t="str" s="97" cm="1">
        <f t="array" ref="D477">'Question_Bank'!D469</f>
        <v>Motivation</v>
      </c>
      <c r="E477" t="str" s="97" cm="1">
        <f t="array" ref="E477">'Question_Bank'!E469</f>
        <v>Motivation</v>
      </c>
      <c r="F477" t="str" s="97" cm="1">
        <f t="array" ref="F477">'Question_Bank'!F469</f>
        <v>Likert</v>
      </c>
      <c r="G477" t="str" s="97" cm="1">
        <f t="array" ref="G477">'Question_Bank'!G469</f>
        <v>I continue when work is not exciting.</v>
      </c>
      <c r="H477" s="131" cm="1">
        <f t="array" ref="H477">'Question_Bank'!H469</f>
        <v>0</v>
      </c>
      <c r="I477" s="131" cm="1">
        <f t="array" ref="I477">'Question_Bank'!I469</f>
        <v>0</v>
      </c>
      <c r="J477" s="131" cm="1">
        <f t="array" ref="J477">'Question_Bank'!J469</f>
        <v>0</v>
      </c>
      <c r="K477" s="131" cm="1">
        <f t="array" ref="K477">'Question_Bank'!K469</f>
        <v>0</v>
      </c>
      <c r="L477" s="131" cm="1">
        <f t="array" ref="L477">'Question_Bank'!L469</f>
        <v>0</v>
      </c>
      <c r="M477" s="132"/>
      <c r="N477" t="str" s="97" cm="1">
        <f t="array" ref="N477">IF(M477="","",IF(F477="MCQ",IF(UPPER(M477)=UPPER(L477),1,0),IF(O477="Yes",6-VALUE(M477),VALUE(M477))))</f>
      </c>
      <c r="O477" t="str" s="97" cm="1">
        <f t="array" ref="O477">'Question_Bank'!N469</f>
        <v>No</v>
      </c>
      <c r="P477" s="133" cm="1">
        <f t="array" ref="P477">IF(F477="MCQ",1,5)</f>
        <v>5</v>
      </c>
    </row>
    <row r="478" ht="42" customHeight="1">
      <c r="A478" t="str" s="130" cm="1">
        <f t="array" ref="A478">'Question_Bank'!A470</f>
        <v>NPI0466</v>
      </c>
      <c r="B478" t="str" s="97" cm="1">
        <f t="array" ref="B478">'Question_Bank'!B470</f>
        <v>8-12</v>
      </c>
      <c r="C478" t="str" s="97" cm="1">
        <f t="array" ref="C478">'Question_Bank'!C470</f>
        <v>Additional NeuroPi Indicators</v>
      </c>
      <c r="D478" t="str" s="97" cm="1">
        <f t="array" ref="D478">'Question_Bank'!D470</f>
        <v>Motivation</v>
      </c>
      <c r="E478" t="str" s="97" cm="1">
        <f t="array" ref="E478">'Question_Bank'!E470</f>
        <v>Motivation</v>
      </c>
      <c r="F478" t="str" s="97" cm="1">
        <f t="array" ref="F478">'Question_Bank'!F470</f>
        <v>Likert</v>
      </c>
      <c r="G478" t="str" s="97" cm="1">
        <f t="array" ref="G478">'Question_Bank'!G470</f>
        <v>I feel proud completing goals.</v>
      </c>
      <c r="H478" s="131" cm="1">
        <f t="array" ref="H478">'Question_Bank'!H470</f>
        <v>0</v>
      </c>
      <c r="I478" s="131" cm="1">
        <f t="array" ref="I478">'Question_Bank'!I470</f>
        <v>0</v>
      </c>
      <c r="J478" s="131" cm="1">
        <f t="array" ref="J478">'Question_Bank'!J470</f>
        <v>0</v>
      </c>
      <c r="K478" s="131" cm="1">
        <f t="array" ref="K478">'Question_Bank'!K470</f>
        <v>0</v>
      </c>
      <c r="L478" s="131" cm="1">
        <f t="array" ref="L478">'Question_Bank'!L470</f>
        <v>0</v>
      </c>
      <c r="M478" s="132"/>
      <c r="N478" t="str" s="97" cm="1">
        <f t="array" ref="N478">IF(M478="","",IF(F478="MCQ",IF(UPPER(M478)=UPPER(L478),1,0),IF(O478="Yes",6-VALUE(M478),VALUE(M478))))</f>
      </c>
      <c r="O478" t="str" s="97" cm="1">
        <f t="array" ref="O478">'Question_Bank'!N470</f>
        <v>No</v>
      </c>
      <c r="P478" s="133" cm="1">
        <f t="array" ref="P478">IF(F478="MCQ",1,5)</f>
        <v>5</v>
      </c>
    </row>
    <row r="479" ht="42" customHeight="1">
      <c r="A479" t="str" s="130" cm="1">
        <f t="array" ref="A479">'Question_Bank'!A471</f>
        <v>NPI0467</v>
      </c>
      <c r="B479" t="str" s="97" cm="1">
        <f t="array" ref="B479">'Question_Bank'!B471</f>
        <v>8-12</v>
      </c>
      <c r="C479" t="str" s="97" cm="1">
        <f t="array" ref="C479">'Question_Bank'!C471</f>
        <v>Additional NeuroPi Indicators</v>
      </c>
      <c r="D479" t="str" s="97" cm="1">
        <f t="array" ref="D479">'Question_Bank'!D471</f>
        <v>Motivation</v>
      </c>
      <c r="E479" t="str" s="97" cm="1">
        <f t="array" ref="E479">'Question_Bank'!E471</f>
        <v>Motivation</v>
      </c>
      <c r="F479" t="str" s="97" cm="1">
        <f t="array" ref="F479">'Question_Bank'!F471</f>
        <v>Likert</v>
      </c>
      <c r="G479" t="str" s="97" cm="1">
        <f t="array" ref="G479">'Question_Bank'!G471</f>
        <v>I work harder when I understand the reason.</v>
      </c>
      <c r="H479" s="131" cm="1">
        <f t="array" ref="H479">'Question_Bank'!H471</f>
        <v>0</v>
      </c>
      <c r="I479" s="131" cm="1">
        <f t="array" ref="I479">'Question_Bank'!I471</f>
        <v>0</v>
      </c>
      <c r="J479" s="131" cm="1">
        <f t="array" ref="J479">'Question_Bank'!J471</f>
        <v>0</v>
      </c>
      <c r="K479" s="131" cm="1">
        <f t="array" ref="K479">'Question_Bank'!K471</f>
        <v>0</v>
      </c>
      <c r="L479" s="131" cm="1">
        <f t="array" ref="L479">'Question_Bank'!L471</f>
        <v>0</v>
      </c>
      <c r="M479" s="132"/>
      <c r="N479" t="str" s="97" cm="1">
        <f t="array" ref="N479">IF(M479="","",IF(F479="MCQ",IF(UPPER(M479)=UPPER(L479),1,0),IF(O479="Yes",6-VALUE(M479),VALUE(M479))))</f>
      </c>
      <c r="O479" t="str" s="97" cm="1">
        <f t="array" ref="O479">'Question_Bank'!N471</f>
        <v>No</v>
      </c>
      <c r="P479" s="133" cm="1">
        <f t="array" ref="P479">IF(F479="MCQ",1,5)</f>
        <v>5</v>
      </c>
    </row>
    <row r="480" ht="42" customHeight="1">
      <c r="A480" t="str" s="130" cm="1">
        <f t="array" ref="A480">'Question_Bank'!A472</f>
        <v>NPI0468</v>
      </c>
      <c r="B480" t="str" s="97" cm="1">
        <f t="array" ref="B480">'Question_Bank'!B472</f>
        <v>8-12</v>
      </c>
      <c r="C480" t="str" s="97" cm="1">
        <f t="array" ref="C480">'Question_Bank'!C472</f>
        <v>Additional NeuroPi Indicators</v>
      </c>
      <c r="D480" t="str" s="97" cm="1">
        <f t="array" ref="D480">'Question_Bank'!D472</f>
        <v>Motivation</v>
      </c>
      <c r="E480" t="str" s="97" cm="1">
        <f t="array" ref="E480">'Question_Bank'!E472</f>
        <v>Motivation</v>
      </c>
      <c r="F480" t="str" s="97" cm="1">
        <f t="array" ref="F480">'Question_Bank'!F472</f>
        <v>Likert</v>
      </c>
      <c r="G480" t="str" s="97" cm="1">
        <f t="array" ref="G480">'Question_Bank'!G472</f>
        <v>I like constructive feedback.</v>
      </c>
      <c r="H480" s="131" cm="1">
        <f t="array" ref="H480">'Question_Bank'!H472</f>
        <v>0</v>
      </c>
      <c r="I480" s="131" cm="1">
        <f t="array" ref="I480">'Question_Bank'!I472</f>
        <v>0</v>
      </c>
      <c r="J480" s="131" cm="1">
        <f t="array" ref="J480">'Question_Bank'!J472</f>
        <v>0</v>
      </c>
      <c r="K480" s="131" cm="1">
        <f t="array" ref="K480">'Question_Bank'!K472</f>
        <v>0</v>
      </c>
      <c r="L480" s="131" cm="1">
        <f t="array" ref="L480">'Question_Bank'!L472</f>
        <v>0</v>
      </c>
      <c r="M480" s="132"/>
      <c r="N480" t="str" s="97" cm="1">
        <f t="array" ref="N480">IF(M480="","",IF(F480="MCQ",IF(UPPER(M480)=UPPER(L480),1,0),IF(O480="Yes",6-VALUE(M480),VALUE(M480))))</f>
      </c>
      <c r="O480" t="str" s="97" cm="1">
        <f t="array" ref="O480">'Question_Bank'!N472</f>
        <v>No</v>
      </c>
      <c r="P480" s="133" cm="1">
        <f t="array" ref="P480">IF(F480="MCQ",1,5)</f>
        <v>5</v>
      </c>
    </row>
    <row r="481" ht="42" customHeight="1">
      <c r="A481" t="str" s="130" cm="1">
        <f t="array" ref="A481">'Question_Bank'!A473</f>
        <v>NPI0469</v>
      </c>
      <c r="B481" t="str" s="97" cm="1">
        <f t="array" ref="B481">'Question_Bank'!B473</f>
        <v>8-12</v>
      </c>
      <c r="C481" t="str" s="97" cm="1">
        <f t="array" ref="C481">'Question_Bank'!C473</f>
        <v>Additional NeuroPi Indicators</v>
      </c>
      <c r="D481" t="str" s="97" cm="1">
        <f t="array" ref="D481">'Question_Bank'!D473</f>
        <v>Motivation</v>
      </c>
      <c r="E481" t="str" s="97" cm="1">
        <f t="array" ref="E481">'Question_Bank'!E473</f>
        <v>Motivation</v>
      </c>
      <c r="F481" t="str" s="97" cm="1">
        <f t="array" ref="F481">'Question_Bank'!F473</f>
        <v>Likert</v>
      </c>
      <c r="G481" t="str" s="97" cm="1">
        <f t="array" ref="G481">'Question_Bank'!G473</f>
        <v>I feel future is within my influence.</v>
      </c>
      <c r="H481" s="131" cm="1">
        <f t="array" ref="H481">'Question_Bank'!H473</f>
        <v>0</v>
      </c>
      <c r="I481" s="131" cm="1">
        <f t="array" ref="I481">'Question_Bank'!I473</f>
        <v>0</v>
      </c>
      <c r="J481" s="131" cm="1">
        <f t="array" ref="J481">'Question_Bank'!J473</f>
        <v>0</v>
      </c>
      <c r="K481" s="131" cm="1">
        <f t="array" ref="K481">'Question_Bank'!K473</f>
        <v>0</v>
      </c>
      <c r="L481" s="131" cm="1">
        <f t="array" ref="L481">'Question_Bank'!L473</f>
        <v>0</v>
      </c>
      <c r="M481" s="132"/>
      <c r="N481" t="str" s="97" cm="1">
        <f t="array" ref="N481">IF(M481="","",IF(F481="MCQ",IF(UPPER(M481)=UPPER(L481),1,0),IF(O481="Yes",6-VALUE(M481),VALUE(M481))))</f>
      </c>
      <c r="O481" t="str" s="97" cm="1">
        <f t="array" ref="O481">'Question_Bank'!N473</f>
        <v>No</v>
      </c>
      <c r="P481" s="133" cm="1">
        <f t="array" ref="P481">IF(F481="MCQ",1,5)</f>
        <v>5</v>
      </c>
    </row>
    <row r="482" ht="42" customHeight="1">
      <c r="A482" t="str" s="130" cm="1">
        <f t="array" ref="A482">'Question_Bank'!A474</f>
        <v>NPI0470</v>
      </c>
      <c r="B482" t="str" s="97" cm="1">
        <f t="array" ref="B482">'Question_Bank'!B474</f>
        <v>8-12</v>
      </c>
      <c r="C482" t="str" s="97" cm="1">
        <f t="array" ref="C482">'Question_Bank'!C474</f>
        <v>Additional NeuroPi Indicators</v>
      </c>
      <c r="D482" t="str" s="97" cm="1">
        <f t="array" ref="D482">'Question_Bank'!D474</f>
        <v>Motivation</v>
      </c>
      <c r="E482" t="str" s="97" cm="1">
        <f t="array" ref="E482">'Question_Bank'!E474</f>
        <v>Motivation</v>
      </c>
      <c r="F482" t="str" s="97" cm="1">
        <f t="array" ref="F482">'Question_Bank'!F474</f>
        <v>Likert</v>
      </c>
      <c r="G482" t="str" s="97" cm="1">
        <f t="array" ref="G482">'Question_Bank'!G474</f>
        <v>I enjoy purposeful learning.</v>
      </c>
      <c r="H482" s="131" cm="1">
        <f t="array" ref="H482">'Question_Bank'!H474</f>
        <v>0</v>
      </c>
      <c r="I482" s="131" cm="1">
        <f t="array" ref="I482">'Question_Bank'!I474</f>
        <v>0</v>
      </c>
      <c r="J482" s="131" cm="1">
        <f t="array" ref="J482">'Question_Bank'!J474</f>
        <v>0</v>
      </c>
      <c r="K482" s="131" cm="1">
        <f t="array" ref="K482">'Question_Bank'!K474</f>
        <v>0</v>
      </c>
      <c r="L482" s="131" cm="1">
        <f t="array" ref="L482">'Question_Bank'!L474</f>
        <v>0</v>
      </c>
      <c r="M482" s="132"/>
      <c r="N482" t="str" s="97" cm="1">
        <f t="array" ref="N482">IF(M482="","",IF(F482="MCQ",IF(UPPER(M482)=UPPER(L482),1,0),IF(O482="Yes",6-VALUE(M482),VALUE(M482))))</f>
      </c>
      <c r="O482" t="str" s="97" cm="1">
        <f t="array" ref="O482">'Question_Bank'!N474</f>
        <v>No</v>
      </c>
      <c r="P482" s="133" cm="1">
        <f t="array" ref="P482">IF(F482="MCQ",1,5)</f>
        <v>5</v>
      </c>
    </row>
    <row r="483" ht="42" customHeight="1">
      <c r="A483" t="str" s="130" cm="1">
        <f t="array" ref="A483">'Question_Bank'!A475</f>
        <v>NPI0471</v>
      </c>
      <c r="B483" t="str" s="97" cm="1">
        <f t="array" ref="B483">'Question_Bank'!B475</f>
        <v>8-12</v>
      </c>
      <c r="C483" t="str" s="97" cm="1">
        <f t="array" ref="C483">'Question_Bank'!C475</f>
        <v>Additional NeuroPi Indicators</v>
      </c>
      <c r="D483" t="str" s="97" cm="1">
        <f t="array" ref="D483">'Question_Bank'!D475</f>
        <v>Motivation</v>
      </c>
      <c r="E483" t="str" s="97" cm="1">
        <f t="array" ref="E483">'Question_Bank'!E475</f>
        <v>Motivation</v>
      </c>
      <c r="F483" t="str" s="97" cm="1">
        <f t="array" ref="F483">'Question_Bank'!F475</f>
        <v>Likert</v>
      </c>
      <c r="G483" t="str" s="97" cm="1">
        <f t="array" ref="G483">'Question_Bank'!G475</f>
        <v>I feel motivated by clear plans.</v>
      </c>
      <c r="H483" s="131" cm="1">
        <f t="array" ref="H483">'Question_Bank'!H475</f>
        <v>0</v>
      </c>
      <c r="I483" s="131" cm="1">
        <f t="array" ref="I483">'Question_Bank'!I475</f>
        <v>0</v>
      </c>
      <c r="J483" s="131" cm="1">
        <f t="array" ref="J483">'Question_Bank'!J475</f>
        <v>0</v>
      </c>
      <c r="K483" s="131" cm="1">
        <f t="array" ref="K483">'Question_Bank'!K475</f>
        <v>0</v>
      </c>
      <c r="L483" s="131" cm="1">
        <f t="array" ref="L483">'Question_Bank'!L475</f>
        <v>0</v>
      </c>
      <c r="M483" s="132"/>
      <c r="N483" t="str" s="97" cm="1">
        <f t="array" ref="N483">IF(M483="","",IF(F483="MCQ",IF(UPPER(M483)=UPPER(L483),1,0),IF(O483="Yes",6-VALUE(M483),VALUE(M483))))</f>
      </c>
      <c r="O483" t="str" s="97" cm="1">
        <f t="array" ref="O483">'Question_Bank'!N475</f>
        <v>No</v>
      </c>
      <c r="P483" s="133" cm="1">
        <f t="array" ref="P483">IF(F483="MCQ",1,5)</f>
        <v>5</v>
      </c>
    </row>
    <row r="484" ht="42" customHeight="1">
      <c r="A484" t="str" s="130" cm="1">
        <f t="array" ref="A484">'Question_Bank'!A476</f>
        <v>NPI0472</v>
      </c>
      <c r="B484" t="str" s="97" cm="1">
        <f t="array" ref="B484">'Question_Bank'!B476</f>
        <v>8-12</v>
      </c>
      <c r="C484" t="str" s="97" cm="1">
        <f t="array" ref="C484">'Question_Bank'!C476</f>
        <v>Additional NeuroPi Indicators</v>
      </c>
      <c r="D484" t="str" s="97" cm="1">
        <f t="array" ref="D484">'Question_Bank'!D476</f>
        <v>Motivation</v>
      </c>
      <c r="E484" t="str" s="97" cm="1">
        <f t="array" ref="E484">'Question_Bank'!E476</f>
        <v>Motivation</v>
      </c>
      <c r="F484" t="str" s="97" cm="1">
        <f t="array" ref="F484">'Question_Bank'!F476</f>
        <v>Likert</v>
      </c>
      <c r="G484" t="str" s="97" cm="1">
        <f t="array" ref="G484">'Question_Bank'!G476</f>
        <v>I like seeing improvement.</v>
      </c>
      <c r="H484" s="131" cm="1">
        <f t="array" ref="H484">'Question_Bank'!H476</f>
        <v>0</v>
      </c>
      <c r="I484" s="131" cm="1">
        <f t="array" ref="I484">'Question_Bank'!I476</f>
        <v>0</v>
      </c>
      <c r="J484" s="131" cm="1">
        <f t="array" ref="J484">'Question_Bank'!J476</f>
        <v>0</v>
      </c>
      <c r="K484" s="131" cm="1">
        <f t="array" ref="K484">'Question_Bank'!K476</f>
        <v>0</v>
      </c>
      <c r="L484" s="131" cm="1">
        <f t="array" ref="L484">'Question_Bank'!L476</f>
        <v>0</v>
      </c>
      <c r="M484" s="132"/>
      <c r="N484" t="str" s="97" cm="1">
        <f t="array" ref="N484">IF(M484="","",IF(F484="MCQ",IF(UPPER(M484)=UPPER(L484),1,0),IF(O484="Yes",6-VALUE(M484),VALUE(M484))))</f>
      </c>
      <c r="O484" t="str" s="97" cm="1">
        <f t="array" ref="O484">'Question_Bank'!N476</f>
        <v>No</v>
      </c>
      <c r="P484" s="133" cm="1">
        <f t="array" ref="P484">IF(F484="MCQ",1,5)</f>
        <v>5</v>
      </c>
    </row>
    <row r="485" ht="42" customHeight="1">
      <c r="A485" t="str" s="130" cm="1">
        <f t="array" ref="A485">'Question_Bank'!A477</f>
        <v>NPI0473</v>
      </c>
      <c r="B485" t="str" s="97" cm="1">
        <f t="array" ref="B485">'Question_Bank'!B477</f>
        <v>8-12</v>
      </c>
      <c r="C485" t="str" s="97" cm="1">
        <f t="array" ref="C485">'Question_Bank'!C477</f>
        <v>Additional NeuroPi Indicators</v>
      </c>
      <c r="D485" t="str" s="97" cm="1">
        <f t="array" ref="D485">'Question_Bank'!D477</f>
        <v>Motivation</v>
      </c>
      <c r="E485" t="str" s="97" cm="1">
        <f t="array" ref="E485">'Question_Bank'!E477</f>
        <v>Motivation</v>
      </c>
      <c r="F485" t="str" s="97" cm="1">
        <f t="array" ref="F485">'Question_Bank'!F477</f>
        <v>Likert</v>
      </c>
      <c r="G485" t="str" s="97" cm="1">
        <f t="array" ref="G485">'Question_Bank'!G477</f>
        <v>I value effort.</v>
      </c>
      <c r="H485" s="131" cm="1">
        <f t="array" ref="H485">'Question_Bank'!H477</f>
        <v>0</v>
      </c>
      <c r="I485" s="131" cm="1">
        <f t="array" ref="I485">'Question_Bank'!I477</f>
        <v>0</v>
      </c>
      <c r="J485" s="131" cm="1">
        <f t="array" ref="J485">'Question_Bank'!J477</f>
        <v>0</v>
      </c>
      <c r="K485" s="131" cm="1">
        <f t="array" ref="K485">'Question_Bank'!K477</f>
        <v>0</v>
      </c>
      <c r="L485" s="131" cm="1">
        <f t="array" ref="L485">'Question_Bank'!L477</f>
        <v>0</v>
      </c>
      <c r="M485" s="132"/>
      <c r="N485" t="str" s="97" cm="1">
        <f t="array" ref="N485">IF(M485="","",IF(F485="MCQ",IF(UPPER(M485)=UPPER(L485),1,0),IF(O485="Yes",6-VALUE(M485),VALUE(M485))))</f>
      </c>
      <c r="O485" t="str" s="97" cm="1">
        <f t="array" ref="O485">'Question_Bank'!N477</f>
        <v>No</v>
      </c>
      <c r="P485" s="133" cm="1">
        <f t="array" ref="P485">IF(F485="MCQ",1,5)</f>
        <v>5</v>
      </c>
    </row>
    <row r="486" ht="42" customHeight="1">
      <c r="A486" t="str" s="130" cm="1">
        <f t="array" ref="A486">'Question_Bank'!A478</f>
        <v>NPI0474</v>
      </c>
      <c r="B486" t="str" s="97" cm="1">
        <f t="array" ref="B486">'Question_Bank'!B478</f>
        <v>8-12</v>
      </c>
      <c r="C486" t="str" s="97" cm="1">
        <f t="array" ref="C486">'Question_Bank'!C478</f>
        <v>Additional NeuroPi Indicators</v>
      </c>
      <c r="D486" t="str" s="97" cm="1">
        <f t="array" ref="D486">'Question_Bank'!D478</f>
        <v>Motivation</v>
      </c>
      <c r="E486" t="str" s="97" cm="1">
        <f t="array" ref="E486">'Question_Bank'!E478</f>
        <v>Motivation</v>
      </c>
      <c r="F486" t="str" s="97" cm="1">
        <f t="array" ref="F486">'Question_Bank'!F478</f>
        <v>Likert</v>
      </c>
      <c r="G486" t="str" s="97" cm="1">
        <f t="array" ref="G486">'Question_Bank'!G478</f>
        <v>I can work toward long-term goals.</v>
      </c>
      <c r="H486" s="131" cm="1">
        <f t="array" ref="H486">'Question_Bank'!H478</f>
        <v>0</v>
      </c>
      <c r="I486" s="131" cm="1">
        <f t="array" ref="I486">'Question_Bank'!I478</f>
        <v>0</v>
      </c>
      <c r="J486" s="131" cm="1">
        <f t="array" ref="J486">'Question_Bank'!J478</f>
        <v>0</v>
      </c>
      <c r="K486" s="131" cm="1">
        <f t="array" ref="K486">'Question_Bank'!K478</f>
        <v>0</v>
      </c>
      <c r="L486" s="131" cm="1">
        <f t="array" ref="L486">'Question_Bank'!L478</f>
        <v>0</v>
      </c>
      <c r="M486" s="132"/>
      <c r="N486" t="str" s="97" cm="1">
        <f t="array" ref="N486">IF(M486="","",IF(F486="MCQ",IF(UPPER(M486)=UPPER(L486),1,0),IF(O486="Yes",6-VALUE(M486),VALUE(M486))))</f>
      </c>
      <c r="O486" t="str" s="97" cm="1">
        <f t="array" ref="O486">'Question_Bank'!N478</f>
        <v>No</v>
      </c>
      <c r="P486" s="133" cm="1">
        <f t="array" ref="P486">IF(F486="MCQ",1,5)</f>
        <v>5</v>
      </c>
    </row>
    <row r="487" ht="42" customHeight="1">
      <c r="A487" t="str" s="130" cm="1">
        <f t="array" ref="A487">'Question_Bank'!A479</f>
        <v>NPI0475</v>
      </c>
      <c r="B487" t="str" s="97" cm="1">
        <f t="array" ref="B487">'Question_Bank'!B479</f>
        <v>8-12</v>
      </c>
      <c r="C487" t="str" s="97" cm="1">
        <f t="array" ref="C487">'Question_Bank'!C479</f>
        <v>Additional NeuroPi Indicators</v>
      </c>
      <c r="D487" t="str" s="97" cm="1">
        <f t="array" ref="D487">'Question_Bank'!D479</f>
        <v>Motivation</v>
      </c>
      <c r="E487" t="str" s="97" cm="1">
        <f t="array" ref="E487">'Question_Bank'!E479</f>
        <v>Motivation</v>
      </c>
      <c r="F487" t="str" s="97" cm="1">
        <f t="array" ref="F487">'Question_Bank'!F479</f>
        <v>Likert</v>
      </c>
      <c r="G487" t="str" s="97" cm="1">
        <f t="array" ref="G487">'Question_Bank'!G479</f>
        <v>I feel learning can change my future.</v>
      </c>
      <c r="H487" s="131" cm="1">
        <f t="array" ref="H487">'Question_Bank'!H479</f>
        <v>0</v>
      </c>
      <c r="I487" s="131" cm="1">
        <f t="array" ref="I487">'Question_Bank'!I479</f>
        <v>0</v>
      </c>
      <c r="J487" s="131" cm="1">
        <f t="array" ref="J487">'Question_Bank'!J479</f>
        <v>0</v>
      </c>
      <c r="K487" s="131" cm="1">
        <f t="array" ref="K487">'Question_Bank'!K479</f>
        <v>0</v>
      </c>
      <c r="L487" s="131" cm="1">
        <f t="array" ref="L487">'Question_Bank'!L479</f>
        <v>0</v>
      </c>
      <c r="M487" s="132"/>
      <c r="N487" t="str" s="97" cm="1">
        <f t="array" ref="N487">IF(M487="","",IF(F487="MCQ",IF(UPPER(M487)=UPPER(L487),1,0),IF(O487="Yes",6-VALUE(M487),VALUE(M487))))</f>
      </c>
      <c r="O487" t="str" s="97" cm="1">
        <f t="array" ref="O487">'Question_Bank'!N479</f>
        <v>No</v>
      </c>
      <c r="P487" s="133" cm="1">
        <f t="array" ref="P487">IF(F487="MCQ",1,5)</f>
        <v>5</v>
      </c>
    </row>
    <row r="488" ht="42" customHeight="1">
      <c r="A488" t="str" s="130" cm="1">
        <f t="array" ref="A488">'Question_Bank'!A480</f>
        <v>NPI0476</v>
      </c>
      <c r="B488" t="str" s="97" cm="1">
        <f t="array" ref="B488">'Question_Bank'!B480</f>
        <v>8-12</v>
      </c>
      <c r="C488" t="str" s="97" cm="1">
        <f t="array" ref="C488">'Question_Bank'!C480</f>
        <v>Additional NeuroPi Indicators</v>
      </c>
      <c r="D488" t="str" s="97" cm="1">
        <f t="array" ref="D488">'Question_Bank'!D480</f>
        <v>StudyHabits</v>
      </c>
      <c r="E488" t="str" s="97" cm="1">
        <f t="array" ref="E488">'Question_Bank'!E480</f>
        <v>StudyHabits</v>
      </c>
      <c r="F488" t="str" s="97" cm="1">
        <f t="array" ref="F488">'Question_Bank'!F480</f>
        <v>Likert</v>
      </c>
      <c r="G488" t="str" s="97" cm="1">
        <f t="array" ref="G488">'Question_Bank'!G480</f>
        <v>I study regularly.</v>
      </c>
      <c r="H488" s="131" cm="1">
        <f t="array" ref="H488">'Question_Bank'!H480</f>
        <v>0</v>
      </c>
      <c r="I488" s="131" cm="1">
        <f t="array" ref="I488">'Question_Bank'!I480</f>
        <v>0</v>
      </c>
      <c r="J488" s="131" cm="1">
        <f t="array" ref="J488">'Question_Bank'!J480</f>
        <v>0</v>
      </c>
      <c r="K488" s="131" cm="1">
        <f t="array" ref="K488">'Question_Bank'!K480</f>
        <v>0</v>
      </c>
      <c r="L488" s="131" cm="1">
        <f t="array" ref="L488">'Question_Bank'!L480</f>
        <v>0</v>
      </c>
      <c r="M488" s="132"/>
      <c r="N488" t="str" s="97" cm="1">
        <f t="array" ref="N488">IF(M488="","",IF(F488="MCQ",IF(UPPER(M488)=UPPER(L488),1,0),IF(O488="Yes",6-VALUE(M488),VALUE(M488))))</f>
      </c>
      <c r="O488" t="str" s="97" cm="1">
        <f t="array" ref="O488">'Question_Bank'!N480</f>
        <v>No</v>
      </c>
      <c r="P488" s="133" cm="1">
        <f t="array" ref="P488">IF(F488="MCQ",1,5)</f>
        <v>5</v>
      </c>
    </row>
    <row r="489" ht="42" customHeight="1">
      <c r="A489" t="str" s="130" cm="1">
        <f t="array" ref="A489">'Question_Bank'!A481</f>
        <v>NPI0477</v>
      </c>
      <c r="B489" t="str" s="97" cm="1">
        <f t="array" ref="B489">'Question_Bank'!B481</f>
        <v>8-12</v>
      </c>
      <c r="C489" t="str" s="97" cm="1">
        <f t="array" ref="C489">'Question_Bank'!C481</f>
        <v>Additional NeuroPi Indicators</v>
      </c>
      <c r="D489" t="str" s="97" cm="1">
        <f t="array" ref="D489">'Question_Bank'!D481</f>
        <v>StudyHabits</v>
      </c>
      <c r="E489" t="str" s="97" cm="1">
        <f t="array" ref="E489">'Question_Bank'!E481</f>
        <v>StudyHabits</v>
      </c>
      <c r="F489" t="str" s="97" cm="1">
        <f t="array" ref="F489">'Question_Bank'!F481</f>
        <v>Likert</v>
      </c>
      <c r="G489" t="str" s="97" cm="1">
        <f t="array" ref="G489">'Question_Bank'!G481</f>
        <v>I revise after class.</v>
      </c>
      <c r="H489" s="131" cm="1">
        <f t="array" ref="H489">'Question_Bank'!H481</f>
        <v>0</v>
      </c>
      <c r="I489" s="131" cm="1">
        <f t="array" ref="I489">'Question_Bank'!I481</f>
        <v>0</v>
      </c>
      <c r="J489" s="131" cm="1">
        <f t="array" ref="J489">'Question_Bank'!J481</f>
        <v>0</v>
      </c>
      <c r="K489" s="131" cm="1">
        <f t="array" ref="K489">'Question_Bank'!K481</f>
        <v>0</v>
      </c>
      <c r="L489" s="131" cm="1">
        <f t="array" ref="L489">'Question_Bank'!L481</f>
        <v>0</v>
      </c>
      <c r="M489" s="132"/>
      <c r="N489" t="str" s="97" cm="1">
        <f t="array" ref="N489">IF(M489="","",IF(F489="MCQ",IF(UPPER(M489)=UPPER(L489),1,0),IF(O489="Yes",6-VALUE(M489),VALUE(M489))))</f>
      </c>
      <c r="O489" t="str" s="97" cm="1">
        <f t="array" ref="O489">'Question_Bank'!N481</f>
        <v>No</v>
      </c>
      <c r="P489" s="133" cm="1">
        <f t="array" ref="P489">IF(F489="MCQ",1,5)</f>
        <v>5</v>
      </c>
    </row>
    <row r="490" ht="42" customHeight="1">
      <c r="A490" t="str" s="130" cm="1">
        <f t="array" ref="A490">'Question_Bank'!A482</f>
        <v>NPI0478</v>
      </c>
      <c r="B490" t="str" s="97" cm="1">
        <f t="array" ref="B490">'Question_Bank'!B482</f>
        <v>8-12</v>
      </c>
      <c r="C490" t="str" s="97" cm="1">
        <f t="array" ref="C490">'Question_Bank'!C482</f>
        <v>Additional NeuroPi Indicators</v>
      </c>
      <c r="D490" t="str" s="97" cm="1">
        <f t="array" ref="D490">'Question_Bank'!D482</f>
        <v>StudyHabits</v>
      </c>
      <c r="E490" t="str" s="97" cm="1">
        <f t="array" ref="E490">'Question_Bank'!E482</f>
        <v>StudyHabits</v>
      </c>
      <c r="F490" t="str" s="97" cm="1">
        <f t="array" ref="F490">'Question_Bank'!F482</f>
        <v>Likert</v>
      </c>
      <c r="G490" t="str" s="97" cm="1">
        <f t="array" ref="G490">'Question_Bank'!G482</f>
        <v>I keep a weekly plan.</v>
      </c>
      <c r="H490" s="131" cm="1">
        <f t="array" ref="H490">'Question_Bank'!H482</f>
        <v>0</v>
      </c>
      <c r="I490" s="131" cm="1">
        <f t="array" ref="I490">'Question_Bank'!I482</f>
        <v>0</v>
      </c>
      <c r="J490" s="131" cm="1">
        <f t="array" ref="J490">'Question_Bank'!J482</f>
        <v>0</v>
      </c>
      <c r="K490" s="131" cm="1">
        <f t="array" ref="K490">'Question_Bank'!K482</f>
        <v>0</v>
      </c>
      <c r="L490" s="131" cm="1">
        <f t="array" ref="L490">'Question_Bank'!L482</f>
        <v>0</v>
      </c>
      <c r="M490" s="132"/>
      <c r="N490" t="str" s="97" cm="1">
        <f t="array" ref="N490">IF(M490="","",IF(F490="MCQ",IF(UPPER(M490)=UPPER(L490),1,0),IF(O490="Yes",6-VALUE(M490),VALUE(M490))))</f>
      </c>
      <c r="O490" t="str" s="97" cm="1">
        <f t="array" ref="O490">'Question_Bank'!N482</f>
        <v>No</v>
      </c>
      <c r="P490" s="133" cm="1">
        <f t="array" ref="P490">IF(F490="MCQ",1,5)</f>
        <v>5</v>
      </c>
    </row>
    <row r="491" ht="42" customHeight="1">
      <c r="A491" t="str" s="130" cm="1">
        <f t="array" ref="A491">'Question_Bank'!A483</f>
        <v>NPI0479</v>
      </c>
      <c r="B491" t="str" s="97" cm="1">
        <f t="array" ref="B491">'Question_Bank'!B483</f>
        <v>8-12</v>
      </c>
      <c r="C491" t="str" s="97" cm="1">
        <f t="array" ref="C491">'Question_Bank'!C483</f>
        <v>Additional NeuroPi Indicators</v>
      </c>
      <c r="D491" t="str" s="97" cm="1">
        <f t="array" ref="D491">'Question_Bank'!D483</f>
        <v>StudyHabits</v>
      </c>
      <c r="E491" t="str" s="97" cm="1">
        <f t="array" ref="E491">'Question_Bank'!E483</f>
        <v>StudyHabits</v>
      </c>
      <c r="F491" t="str" s="97" cm="1">
        <f t="array" ref="F491">'Question_Bank'!F483</f>
        <v>Likert</v>
      </c>
      <c r="G491" t="str" s="97" cm="1">
        <f t="array" ref="G491">'Question_Bank'!G483</f>
        <v>I remove distractions.</v>
      </c>
      <c r="H491" s="131" cm="1">
        <f t="array" ref="H491">'Question_Bank'!H483</f>
        <v>0</v>
      </c>
      <c r="I491" s="131" cm="1">
        <f t="array" ref="I491">'Question_Bank'!I483</f>
        <v>0</v>
      </c>
      <c r="J491" s="131" cm="1">
        <f t="array" ref="J491">'Question_Bank'!J483</f>
        <v>0</v>
      </c>
      <c r="K491" s="131" cm="1">
        <f t="array" ref="K491">'Question_Bank'!K483</f>
        <v>0</v>
      </c>
      <c r="L491" s="131" cm="1">
        <f t="array" ref="L491">'Question_Bank'!L483</f>
        <v>0</v>
      </c>
      <c r="M491" s="132"/>
      <c r="N491" t="str" s="97" cm="1">
        <f t="array" ref="N491">IF(M491="","",IF(F491="MCQ",IF(UPPER(M491)=UPPER(L491),1,0),IF(O491="Yes",6-VALUE(M491),VALUE(M491))))</f>
      </c>
      <c r="O491" t="str" s="97" cm="1">
        <f t="array" ref="O491">'Question_Bank'!N483</f>
        <v>No</v>
      </c>
      <c r="P491" s="133" cm="1">
        <f t="array" ref="P491">IF(F491="MCQ",1,5)</f>
        <v>5</v>
      </c>
    </row>
    <row r="492" ht="42" customHeight="1">
      <c r="A492" t="str" s="130" cm="1">
        <f t="array" ref="A492">'Question_Bank'!A484</f>
        <v>NPI0480</v>
      </c>
      <c r="B492" t="str" s="97" cm="1">
        <f t="array" ref="B492">'Question_Bank'!B484</f>
        <v>8-12</v>
      </c>
      <c r="C492" t="str" s="97" cm="1">
        <f t="array" ref="C492">'Question_Bank'!C484</f>
        <v>Additional NeuroPi Indicators</v>
      </c>
      <c r="D492" t="str" s="97" cm="1">
        <f t="array" ref="D492">'Question_Bank'!D484</f>
        <v>StudyHabits</v>
      </c>
      <c r="E492" t="str" s="97" cm="1">
        <f t="array" ref="E492">'Question_Bank'!E484</f>
        <v>StudyHabits</v>
      </c>
      <c r="F492" t="str" s="97" cm="1">
        <f t="array" ref="F492">'Question_Bank'!F484</f>
        <v>Likert</v>
      </c>
      <c r="G492" t="str" s="97" cm="1">
        <f t="array" ref="G492">'Question_Bank'!G484</f>
        <v>I test myself.</v>
      </c>
      <c r="H492" s="131" cm="1">
        <f t="array" ref="H492">'Question_Bank'!H484</f>
        <v>0</v>
      </c>
      <c r="I492" s="131" cm="1">
        <f t="array" ref="I492">'Question_Bank'!I484</f>
        <v>0</v>
      </c>
      <c r="J492" s="131" cm="1">
        <f t="array" ref="J492">'Question_Bank'!J484</f>
        <v>0</v>
      </c>
      <c r="K492" s="131" cm="1">
        <f t="array" ref="K492">'Question_Bank'!K484</f>
        <v>0</v>
      </c>
      <c r="L492" s="131" cm="1">
        <f t="array" ref="L492">'Question_Bank'!L484</f>
        <v>0</v>
      </c>
      <c r="M492" s="132"/>
      <c r="N492" t="str" s="97" cm="1">
        <f t="array" ref="N492">IF(M492="","",IF(F492="MCQ",IF(UPPER(M492)=UPPER(L492),1,0),IF(O492="Yes",6-VALUE(M492),VALUE(M492))))</f>
      </c>
      <c r="O492" t="str" s="97" cm="1">
        <f t="array" ref="O492">'Question_Bank'!N484</f>
        <v>No</v>
      </c>
      <c r="P492" s="133" cm="1">
        <f t="array" ref="P492">IF(F492="MCQ",1,5)</f>
        <v>5</v>
      </c>
    </row>
    <row r="493" ht="42" customHeight="1">
      <c r="A493" t="str" s="130" cm="1">
        <f t="array" ref="A493">'Question_Bank'!A485</f>
        <v>NPI0481</v>
      </c>
      <c r="B493" t="str" s="97" cm="1">
        <f t="array" ref="B493">'Question_Bank'!B485</f>
        <v>8-12</v>
      </c>
      <c r="C493" t="str" s="97" cm="1">
        <f t="array" ref="C493">'Question_Bank'!C485</f>
        <v>Additional NeuroPi Indicators</v>
      </c>
      <c r="D493" t="str" s="97" cm="1">
        <f t="array" ref="D493">'Question_Bank'!D485</f>
        <v>StudyHabits</v>
      </c>
      <c r="E493" t="str" s="97" cm="1">
        <f t="array" ref="E493">'Question_Bank'!E485</f>
        <v>StudyHabits</v>
      </c>
      <c r="F493" t="str" s="97" cm="1">
        <f t="array" ref="F493">'Question_Bank'!F485</f>
        <v>Likert</v>
      </c>
      <c r="G493" t="str" s="97" cm="1">
        <f t="array" ref="G493">'Question_Bank'!G485</f>
        <v>I solve practice questions.</v>
      </c>
      <c r="H493" s="131" cm="1">
        <f t="array" ref="H493">'Question_Bank'!H485</f>
        <v>0</v>
      </c>
      <c r="I493" s="131" cm="1">
        <f t="array" ref="I493">'Question_Bank'!I485</f>
        <v>0</v>
      </c>
      <c r="J493" s="131" cm="1">
        <f t="array" ref="J493">'Question_Bank'!J485</f>
        <v>0</v>
      </c>
      <c r="K493" s="131" cm="1">
        <f t="array" ref="K493">'Question_Bank'!K485</f>
        <v>0</v>
      </c>
      <c r="L493" s="131" cm="1">
        <f t="array" ref="L493">'Question_Bank'!L485</f>
        <v>0</v>
      </c>
      <c r="M493" s="132"/>
      <c r="N493" t="str" s="97" cm="1">
        <f t="array" ref="N493">IF(M493="","",IF(F493="MCQ",IF(UPPER(M493)=UPPER(L493),1,0),IF(O493="Yes",6-VALUE(M493),VALUE(M493))))</f>
      </c>
      <c r="O493" t="str" s="97" cm="1">
        <f t="array" ref="O493">'Question_Bank'!N485</f>
        <v>No</v>
      </c>
      <c r="P493" s="133" cm="1">
        <f t="array" ref="P493">IF(F493="MCQ",1,5)</f>
        <v>5</v>
      </c>
    </row>
    <row r="494" ht="42" customHeight="1">
      <c r="A494" t="str" s="130" cm="1">
        <f t="array" ref="A494">'Question_Bank'!A486</f>
        <v>NPI0482</v>
      </c>
      <c r="B494" t="str" s="97" cm="1">
        <f t="array" ref="B494">'Question_Bank'!B486</f>
        <v>8-12</v>
      </c>
      <c r="C494" t="str" s="97" cm="1">
        <f t="array" ref="C494">'Question_Bank'!C486</f>
        <v>Additional NeuroPi Indicators</v>
      </c>
      <c r="D494" t="str" s="97" cm="1">
        <f t="array" ref="D494">'Question_Bank'!D486</f>
        <v>StudyHabits</v>
      </c>
      <c r="E494" t="str" s="97" cm="1">
        <f t="array" ref="E494">'Question_Bank'!E486</f>
        <v>StudyHabits</v>
      </c>
      <c r="F494" t="str" s="97" cm="1">
        <f t="array" ref="F494">'Question_Bank'!F486</f>
        <v>Likert</v>
      </c>
      <c r="G494" t="str" s="97" cm="1">
        <f t="array" ref="G494">'Question_Bank'!G486</f>
        <v>I organize my study space.</v>
      </c>
      <c r="H494" s="131" cm="1">
        <f t="array" ref="H494">'Question_Bank'!H486</f>
        <v>0</v>
      </c>
      <c r="I494" s="131" cm="1">
        <f t="array" ref="I494">'Question_Bank'!I486</f>
        <v>0</v>
      </c>
      <c r="J494" s="131" cm="1">
        <f t="array" ref="J494">'Question_Bank'!J486</f>
        <v>0</v>
      </c>
      <c r="K494" s="131" cm="1">
        <f t="array" ref="K494">'Question_Bank'!K486</f>
        <v>0</v>
      </c>
      <c r="L494" s="131" cm="1">
        <f t="array" ref="L494">'Question_Bank'!L486</f>
        <v>0</v>
      </c>
      <c r="M494" s="132"/>
      <c r="N494" t="str" s="97" cm="1">
        <f t="array" ref="N494">IF(M494="","",IF(F494="MCQ",IF(UPPER(M494)=UPPER(L494),1,0),IF(O494="Yes",6-VALUE(M494),VALUE(M494))))</f>
      </c>
      <c r="O494" t="str" s="97" cm="1">
        <f t="array" ref="O494">'Question_Bank'!N486</f>
        <v>No</v>
      </c>
      <c r="P494" s="133" cm="1">
        <f t="array" ref="P494">IF(F494="MCQ",1,5)</f>
        <v>5</v>
      </c>
    </row>
    <row r="495" ht="42" customHeight="1">
      <c r="A495" t="str" s="130" cm="1">
        <f t="array" ref="A495">'Question_Bank'!A487</f>
        <v>NPI0483</v>
      </c>
      <c r="B495" t="str" s="97" cm="1">
        <f t="array" ref="B495">'Question_Bank'!B487</f>
        <v>8-12</v>
      </c>
      <c r="C495" t="str" s="97" cm="1">
        <f t="array" ref="C495">'Question_Bank'!C487</f>
        <v>Additional NeuroPi Indicators</v>
      </c>
      <c r="D495" t="str" s="97" cm="1">
        <f t="array" ref="D495">'Question_Bank'!D487</f>
        <v>StudyHabits</v>
      </c>
      <c r="E495" t="str" s="97" cm="1">
        <f t="array" ref="E495">'Question_Bank'!E487</f>
        <v>StudyHabits</v>
      </c>
      <c r="F495" t="str" s="97" cm="1">
        <f t="array" ref="F495">'Question_Bank'!F487</f>
        <v>Likert</v>
      </c>
      <c r="G495" t="str" s="97" cm="1">
        <f t="array" ref="G495">'Question_Bank'!G487</f>
        <v>I take short breaks.</v>
      </c>
      <c r="H495" s="131" cm="1">
        <f t="array" ref="H495">'Question_Bank'!H487</f>
        <v>0</v>
      </c>
      <c r="I495" s="131" cm="1">
        <f t="array" ref="I495">'Question_Bank'!I487</f>
        <v>0</v>
      </c>
      <c r="J495" s="131" cm="1">
        <f t="array" ref="J495">'Question_Bank'!J487</f>
        <v>0</v>
      </c>
      <c r="K495" s="131" cm="1">
        <f t="array" ref="K495">'Question_Bank'!K487</f>
        <v>0</v>
      </c>
      <c r="L495" s="131" cm="1">
        <f t="array" ref="L495">'Question_Bank'!L487</f>
        <v>0</v>
      </c>
      <c r="M495" s="132"/>
      <c r="N495" t="str" s="97" cm="1">
        <f t="array" ref="N495">IF(M495="","",IF(F495="MCQ",IF(UPPER(M495)=UPPER(L495),1,0),IF(O495="Yes",6-VALUE(M495),VALUE(M495))))</f>
      </c>
      <c r="O495" t="str" s="97" cm="1">
        <f t="array" ref="O495">'Question_Bank'!N487</f>
        <v>No</v>
      </c>
      <c r="P495" s="133" cm="1">
        <f t="array" ref="P495">IF(F495="MCQ",1,5)</f>
        <v>5</v>
      </c>
    </row>
    <row r="496" ht="42" customHeight="1">
      <c r="A496" t="str" s="130" cm="1">
        <f t="array" ref="A496">'Question_Bank'!A488</f>
        <v>NPI0484</v>
      </c>
      <c r="B496" t="str" s="97" cm="1">
        <f t="array" ref="B496">'Question_Bank'!B488</f>
        <v>8-12</v>
      </c>
      <c r="C496" t="str" s="97" cm="1">
        <f t="array" ref="C496">'Question_Bank'!C488</f>
        <v>Additional NeuroPi Indicators</v>
      </c>
      <c r="D496" t="str" s="97" cm="1">
        <f t="array" ref="D496">'Question_Bank'!D488</f>
        <v>StudyHabits</v>
      </c>
      <c r="E496" t="str" s="97" cm="1">
        <f t="array" ref="E496">'Question_Bank'!E488</f>
        <v>StudyHabits</v>
      </c>
      <c r="F496" t="str" s="97" cm="1">
        <f t="array" ref="F496">'Question_Bank'!F488</f>
        <v>Likert</v>
      </c>
      <c r="G496" t="str" s="97" cm="1">
        <f t="array" ref="G496">'Question_Bank'!G488</f>
        <v>I clarify doubts quickly.</v>
      </c>
      <c r="H496" s="131" cm="1">
        <f t="array" ref="H496">'Question_Bank'!H488</f>
        <v>0</v>
      </c>
      <c r="I496" s="131" cm="1">
        <f t="array" ref="I496">'Question_Bank'!I488</f>
        <v>0</v>
      </c>
      <c r="J496" s="131" cm="1">
        <f t="array" ref="J496">'Question_Bank'!J488</f>
        <v>0</v>
      </c>
      <c r="K496" s="131" cm="1">
        <f t="array" ref="K496">'Question_Bank'!K488</f>
        <v>0</v>
      </c>
      <c r="L496" s="131" cm="1">
        <f t="array" ref="L496">'Question_Bank'!L488</f>
        <v>0</v>
      </c>
      <c r="M496" s="132"/>
      <c r="N496" t="str" s="97" cm="1">
        <f t="array" ref="N496">IF(M496="","",IF(F496="MCQ",IF(UPPER(M496)=UPPER(L496),1,0),IF(O496="Yes",6-VALUE(M496),VALUE(M496))))</f>
      </c>
      <c r="O496" t="str" s="97" cm="1">
        <f t="array" ref="O496">'Question_Bank'!N488</f>
        <v>No</v>
      </c>
      <c r="P496" s="133" cm="1">
        <f t="array" ref="P496">IF(F496="MCQ",1,5)</f>
        <v>5</v>
      </c>
    </row>
    <row r="497" ht="42" customHeight="1">
      <c r="A497" t="str" s="130" cm="1">
        <f t="array" ref="A497">'Question_Bank'!A489</f>
        <v>NPI0485</v>
      </c>
      <c r="B497" t="str" s="97" cm="1">
        <f t="array" ref="B497">'Question_Bank'!B489</f>
        <v>8-12</v>
      </c>
      <c r="C497" t="str" s="97" cm="1">
        <f t="array" ref="C497">'Question_Bank'!C489</f>
        <v>Additional NeuroPi Indicators</v>
      </c>
      <c r="D497" t="str" s="97" cm="1">
        <f t="array" ref="D497">'Question_Bank'!D489</f>
        <v>StudyHabits</v>
      </c>
      <c r="E497" t="str" s="97" cm="1">
        <f t="array" ref="E497">'Question_Bank'!E489</f>
        <v>StudyHabits</v>
      </c>
      <c r="F497" t="str" s="97" cm="1">
        <f t="array" ref="F497">'Question_Bank'!F489</f>
        <v>Likert</v>
      </c>
      <c r="G497" t="str" s="97" cm="1">
        <f t="array" ref="G497">'Question_Bank'!G489</f>
        <v>I review mistakes.</v>
      </c>
      <c r="H497" s="131" cm="1">
        <f t="array" ref="H497">'Question_Bank'!H489</f>
        <v>0</v>
      </c>
      <c r="I497" s="131" cm="1">
        <f t="array" ref="I497">'Question_Bank'!I489</f>
        <v>0</v>
      </c>
      <c r="J497" s="131" cm="1">
        <f t="array" ref="J497">'Question_Bank'!J489</f>
        <v>0</v>
      </c>
      <c r="K497" s="131" cm="1">
        <f t="array" ref="K497">'Question_Bank'!K489</f>
        <v>0</v>
      </c>
      <c r="L497" s="131" cm="1">
        <f t="array" ref="L497">'Question_Bank'!L489</f>
        <v>0</v>
      </c>
      <c r="M497" s="132"/>
      <c r="N497" t="str" s="97" cm="1">
        <f t="array" ref="N497">IF(M497="","",IF(F497="MCQ",IF(UPPER(M497)=UPPER(L497),1,0),IF(O497="Yes",6-VALUE(M497),VALUE(M497))))</f>
      </c>
      <c r="O497" t="str" s="97" cm="1">
        <f t="array" ref="O497">'Question_Bank'!N489</f>
        <v>No</v>
      </c>
      <c r="P497" s="133" cm="1">
        <f t="array" ref="P497">IF(F497="MCQ",1,5)</f>
        <v>5</v>
      </c>
    </row>
    <row r="498" ht="42" customHeight="1">
      <c r="A498" t="str" s="130" cm="1">
        <f t="array" ref="A498">'Question_Bank'!A490</f>
        <v>NPI0486</v>
      </c>
      <c r="B498" t="str" s="97" cm="1">
        <f t="array" ref="B498">'Question_Bank'!B490</f>
        <v>8-12</v>
      </c>
      <c r="C498" t="str" s="97" cm="1">
        <f t="array" ref="C498">'Question_Bank'!C490</f>
        <v>Additional NeuroPi Indicators</v>
      </c>
      <c r="D498" t="str" s="97" cm="1">
        <f t="array" ref="D498">'Question_Bank'!D490</f>
        <v>StudyHabits</v>
      </c>
      <c r="E498" t="str" s="97" cm="1">
        <f t="array" ref="E498">'Question_Bank'!E490</f>
        <v>StudyHabits</v>
      </c>
      <c r="F498" t="str" s="97" cm="1">
        <f t="array" ref="F498">'Question_Bank'!F490</f>
        <v>Likert</v>
      </c>
      <c r="G498" t="str" s="97" cm="1">
        <f t="array" ref="G498">'Question_Bank'!G490</f>
        <v>I make notes in my words.</v>
      </c>
      <c r="H498" s="131" cm="1">
        <f t="array" ref="H498">'Question_Bank'!H490</f>
        <v>0</v>
      </c>
      <c r="I498" s="131" cm="1">
        <f t="array" ref="I498">'Question_Bank'!I490</f>
        <v>0</v>
      </c>
      <c r="J498" s="131" cm="1">
        <f t="array" ref="J498">'Question_Bank'!J490</f>
        <v>0</v>
      </c>
      <c r="K498" s="131" cm="1">
        <f t="array" ref="K498">'Question_Bank'!K490</f>
        <v>0</v>
      </c>
      <c r="L498" s="131" cm="1">
        <f t="array" ref="L498">'Question_Bank'!L490</f>
        <v>0</v>
      </c>
      <c r="M498" s="132"/>
      <c r="N498" t="str" s="97" cm="1">
        <f t="array" ref="N498">IF(M498="","",IF(F498="MCQ",IF(UPPER(M498)=UPPER(L498),1,0),IF(O498="Yes",6-VALUE(M498),VALUE(M498))))</f>
      </c>
      <c r="O498" t="str" s="97" cm="1">
        <f t="array" ref="O498">'Question_Bank'!N490</f>
        <v>No</v>
      </c>
      <c r="P498" s="133" cm="1">
        <f t="array" ref="P498">IF(F498="MCQ",1,5)</f>
        <v>5</v>
      </c>
    </row>
    <row r="499" ht="42" customHeight="1">
      <c r="A499" t="str" s="130" cm="1">
        <f t="array" ref="A499">'Question_Bank'!A491</f>
        <v>NPI0487</v>
      </c>
      <c r="B499" t="str" s="97" cm="1">
        <f t="array" ref="B499">'Question_Bank'!B491</f>
        <v>8-12</v>
      </c>
      <c r="C499" t="str" s="97" cm="1">
        <f t="array" ref="C499">'Question_Bank'!C491</f>
        <v>Additional NeuroPi Indicators</v>
      </c>
      <c r="D499" t="str" s="97" cm="1">
        <f t="array" ref="D499">'Question_Bank'!D491</f>
        <v>StudyHabits</v>
      </c>
      <c r="E499" t="str" s="97" cm="1">
        <f t="array" ref="E499">'Question_Bank'!E491</f>
        <v>StudyHabits</v>
      </c>
      <c r="F499" t="str" s="97" cm="1">
        <f t="array" ref="F499">'Question_Bank'!F491</f>
        <v>Likert</v>
      </c>
      <c r="G499" t="str" s="97" cm="1">
        <f t="array" ref="G499">'Question_Bank'!G491</f>
        <v>I use a timetable.</v>
      </c>
      <c r="H499" s="131" cm="1">
        <f t="array" ref="H499">'Question_Bank'!H491</f>
        <v>0</v>
      </c>
      <c r="I499" s="131" cm="1">
        <f t="array" ref="I499">'Question_Bank'!I491</f>
        <v>0</v>
      </c>
      <c r="J499" s="131" cm="1">
        <f t="array" ref="J499">'Question_Bank'!J491</f>
        <v>0</v>
      </c>
      <c r="K499" s="131" cm="1">
        <f t="array" ref="K499">'Question_Bank'!K491</f>
        <v>0</v>
      </c>
      <c r="L499" s="131" cm="1">
        <f t="array" ref="L499">'Question_Bank'!L491</f>
        <v>0</v>
      </c>
      <c r="M499" s="132"/>
      <c r="N499" t="str" s="97" cm="1">
        <f t="array" ref="N499">IF(M499="","",IF(F499="MCQ",IF(UPPER(M499)=UPPER(L499),1,0),IF(O499="Yes",6-VALUE(M499),VALUE(M499))))</f>
      </c>
      <c r="O499" t="str" s="97" cm="1">
        <f t="array" ref="O499">'Question_Bank'!N491</f>
        <v>No</v>
      </c>
      <c r="P499" s="133" cm="1">
        <f t="array" ref="P499">IF(F499="MCQ",1,5)</f>
        <v>5</v>
      </c>
    </row>
    <row r="500" ht="42" customHeight="1">
      <c r="A500" t="str" s="130" cm="1">
        <f t="array" ref="A500">'Question_Bank'!A492</f>
        <v>NPI0488</v>
      </c>
      <c r="B500" t="str" s="97" cm="1">
        <f t="array" ref="B500">'Question_Bank'!B492</f>
        <v>8-12</v>
      </c>
      <c r="C500" t="str" s="97" cm="1">
        <f t="array" ref="C500">'Question_Bank'!C492</f>
        <v>Additional NeuroPi Indicators</v>
      </c>
      <c r="D500" t="str" s="97" cm="1">
        <f t="array" ref="D500">'Question_Bank'!D492</f>
        <v>StudyHabits</v>
      </c>
      <c r="E500" t="str" s="97" cm="1">
        <f t="array" ref="E500">'Question_Bank'!E492</f>
        <v>StudyHabits</v>
      </c>
      <c r="F500" t="str" s="97" cm="1">
        <f t="array" ref="F500">'Question_Bank'!F492</f>
        <v>Likert</v>
      </c>
      <c r="G500" t="str" s="97" cm="1">
        <f t="array" ref="G500">'Question_Bank'!G492</f>
        <v>I sleep enough before tests.</v>
      </c>
      <c r="H500" s="131" cm="1">
        <f t="array" ref="H500">'Question_Bank'!H492</f>
        <v>0</v>
      </c>
      <c r="I500" s="131" cm="1">
        <f t="array" ref="I500">'Question_Bank'!I492</f>
        <v>0</v>
      </c>
      <c r="J500" s="131" cm="1">
        <f t="array" ref="J500">'Question_Bank'!J492</f>
        <v>0</v>
      </c>
      <c r="K500" s="131" cm="1">
        <f t="array" ref="K500">'Question_Bank'!K492</f>
        <v>0</v>
      </c>
      <c r="L500" s="131" cm="1">
        <f t="array" ref="L500">'Question_Bank'!L492</f>
        <v>0</v>
      </c>
      <c r="M500" s="132"/>
      <c r="N500" t="str" s="97" cm="1">
        <f t="array" ref="N500">IF(M500="","",IF(F500="MCQ",IF(UPPER(M500)=UPPER(L500),1,0),IF(O500="Yes",6-VALUE(M500),VALUE(M500))))</f>
      </c>
      <c r="O500" t="str" s="97" cm="1">
        <f t="array" ref="O500">'Question_Bank'!N492</f>
        <v>No</v>
      </c>
      <c r="P500" s="133" cm="1">
        <f t="array" ref="P500">IF(F500="MCQ",1,5)</f>
        <v>5</v>
      </c>
    </row>
    <row r="501" ht="42" customHeight="1">
      <c r="A501" t="str" s="130" cm="1">
        <f t="array" ref="A501">'Question_Bank'!A493</f>
        <v>NPI0489</v>
      </c>
      <c r="B501" t="str" s="97" cm="1">
        <f t="array" ref="B501">'Question_Bank'!B493</f>
        <v>8-12</v>
      </c>
      <c r="C501" t="str" s="97" cm="1">
        <f t="array" ref="C501">'Question_Bank'!C493</f>
        <v>Additional NeuroPi Indicators</v>
      </c>
      <c r="D501" t="str" s="97" cm="1">
        <f t="array" ref="D501">'Question_Bank'!D493</f>
        <v>StudyHabits</v>
      </c>
      <c r="E501" t="str" s="97" cm="1">
        <f t="array" ref="E501">'Question_Bank'!E493</f>
        <v>StudyHabits</v>
      </c>
      <c r="F501" t="str" s="97" cm="1">
        <f t="array" ref="F501">'Question_Bank'!F493</f>
        <v>Likert</v>
      </c>
      <c r="G501" t="str" s="97" cm="1">
        <f t="array" ref="G501">'Question_Bank'!G493</f>
        <v>I plan my day.</v>
      </c>
      <c r="H501" s="131" cm="1">
        <f t="array" ref="H501">'Question_Bank'!H493</f>
        <v>0</v>
      </c>
      <c r="I501" s="131" cm="1">
        <f t="array" ref="I501">'Question_Bank'!I493</f>
        <v>0</v>
      </c>
      <c r="J501" s="131" cm="1">
        <f t="array" ref="J501">'Question_Bank'!J493</f>
        <v>0</v>
      </c>
      <c r="K501" s="131" cm="1">
        <f t="array" ref="K501">'Question_Bank'!K493</f>
        <v>0</v>
      </c>
      <c r="L501" s="131" cm="1">
        <f t="array" ref="L501">'Question_Bank'!L493</f>
        <v>0</v>
      </c>
      <c r="M501" s="132"/>
      <c r="N501" t="str" s="97" cm="1">
        <f t="array" ref="N501">IF(M501="","",IF(F501="MCQ",IF(UPPER(M501)=UPPER(L501),1,0),IF(O501="Yes",6-VALUE(M501),VALUE(M501))))</f>
      </c>
      <c r="O501" t="str" s="97" cm="1">
        <f t="array" ref="O501">'Question_Bank'!N493</f>
        <v>No</v>
      </c>
      <c r="P501" s="133" cm="1">
        <f t="array" ref="P501">IF(F501="MCQ",1,5)</f>
        <v>5</v>
      </c>
    </row>
    <row r="502" ht="42" customHeight="1">
      <c r="A502" t="str" s="130" cm="1">
        <f t="array" ref="A502">'Question_Bank'!A494</f>
        <v>NPI0490</v>
      </c>
      <c r="B502" t="str" s="97" cm="1">
        <f t="array" ref="B502">'Question_Bank'!B494</f>
        <v>8-12</v>
      </c>
      <c r="C502" t="str" s="97" cm="1">
        <f t="array" ref="C502">'Question_Bank'!C494</f>
        <v>Additional NeuroPi Indicators</v>
      </c>
      <c r="D502" t="str" s="97" cm="1">
        <f t="array" ref="D502">'Question_Bank'!D494</f>
        <v>StudyHabits</v>
      </c>
      <c r="E502" t="str" s="97" cm="1">
        <f t="array" ref="E502">'Question_Bank'!E494</f>
        <v>StudyHabits</v>
      </c>
      <c r="F502" t="str" s="97" cm="1">
        <f t="array" ref="F502">'Question_Bank'!F494</f>
        <v>Likert</v>
      </c>
      <c r="G502" t="str" s="97" cm="1">
        <f t="array" ref="G502">'Question_Bank'!G494</f>
        <v>I start difficult topics early.</v>
      </c>
      <c r="H502" s="131" cm="1">
        <f t="array" ref="H502">'Question_Bank'!H494</f>
        <v>0</v>
      </c>
      <c r="I502" s="131" cm="1">
        <f t="array" ref="I502">'Question_Bank'!I494</f>
        <v>0</v>
      </c>
      <c r="J502" s="131" cm="1">
        <f t="array" ref="J502">'Question_Bank'!J494</f>
        <v>0</v>
      </c>
      <c r="K502" s="131" cm="1">
        <f t="array" ref="K502">'Question_Bank'!K494</f>
        <v>0</v>
      </c>
      <c r="L502" s="131" cm="1">
        <f t="array" ref="L502">'Question_Bank'!L494</f>
        <v>0</v>
      </c>
      <c r="M502" s="132"/>
      <c r="N502" t="str" s="97" cm="1">
        <f t="array" ref="N502">IF(M502="","",IF(F502="MCQ",IF(UPPER(M502)=UPPER(L502),1,0),IF(O502="Yes",6-VALUE(M502),VALUE(M502))))</f>
      </c>
      <c r="O502" t="str" s="97" cm="1">
        <f t="array" ref="O502">'Question_Bank'!N494</f>
        <v>No</v>
      </c>
      <c r="P502" s="133" cm="1">
        <f t="array" ref="P502">IF(F502="MCQ",1,5)</f>
        <v>5</v>
      </c>
    </row>
    <row r="503" ht="42" customHeight="1">
      <c r="A503" t="str" s="130" cm="1">
        <f t="array" ref="A503">'Question_Bank'!A495</f>
        <v>NPI0491</v>
      </c>
      <c r="B503" t="str" s="97" cm="1">
        <f t="array" ref="B503">'Question_Bank'!B495</f>
        <v>8-12</v>
      </c>
      <c r="C503" t="str" s="97" cm="1">
        <f t="array" ref="C503">'Question_Bank'!C495</f>
        <v>Additional NeuroPi Indicators</v>
      </c>
      <c r="D503" t="str" s="97" cm="1">
        <f t="array" ref="D503">'Question_Bank'!D495</f>
        <v>StudyHabits</v>
      </c>
      <c r="E503" t="str" s="97" cm="1">
        <f t="array" ref="E503">'Question_Bank'!E495</f>
        <v>StudyHabits</v>
      </c>
      <c r="F503" t="str" s="97" cm="1">
        <f t="array" ref="F503">'Question_Bank'!F495</f>
        <v>Likert</v>
      </c>
      <c r="G503" t="str" s="97" cm="1">
        <f t="array" ref="G503">'Question_Bank'!G495</f>
        <v>I use revision cycles.</v>
      </c>
      <c r="H503" s="131" cm="1">
        <f t="array" ref="H503">'Question_Bank'!H495</f>
        <v>0</v>
      </c>
      <c r="I503" s="131" cm="1">
        <f t="array" ref="I503">'Question_Bank'!I495</f>
        <v>0</v>
      </c>
      <c r="J503" s="131" cm="1">
        <f t="array" ref="J503">'Question_Bank'!J495</f>
        <v>0</v>
      </c>
      <c r="K503" s="131" cm="1">
        <f t="array" ref="K503">'Question_Bank'!K495</f>
        <v>0</v>
      </c>
      <c r="L503" s="131" cm="1">
        <f t="array" ref="L503">'Question_Bank'!L495</f>
        <v>0</v>
      </c>
      <c r="M503" s="132"/>
      <c r="N503" t="str" s="97" cm="1">
        <f t="array" ref="N503">IF(M503="","",IF(F503="MCQ",IF(UPPER(M503)=UPPER(L503),1,0),IF(O503="Yes",6-VALUE(M503),VALUE(M503))))</f>
      </c>
      <c r="O503" t="str" s="97" cm="1">
        <f t="array" ref="O503">'Question_Bank'!N495</f>
        <v>No</v>
      </c>
      <c r="P503" s="133" cm="1">
        <f t="array" ref="P503">IF(F503="MCQ",1,5)</f>
        <v>5</v>
      </c>
    </row>
    <row r="504" ht="42" customHeight="1">
      <c r="A504" t="str" s="130" cm="1">
        <f t="array" ref="A504">'Question_Bank'!A496</f>
        <v>NPI0492</v>
      </c>
      <c r="B504" t="str" s="97" cm="1">
        <f t="array" ref="B504">'Question_Bank'!B496</f>
        <v>8-12</v>
      </c>
      <c r="C504" t="str" s="97" cm="1">
        <f t="array" ref="C504">'Question_Bank'!C496</f>
        <v>Additional NeuroPi Indicators</v>
      </c>
      <c r="D504" t="str" s="97" cm="1">
        <f t="array" ref="D504">'Question_Bank'!D496</f>
        <v>StudyHabits</v>
      </c>
      <c r="E504" t="str" s="97" cm="1">
        <f t="array" ref="E504">'Question_Bank'!E496</f>
        <v>StudyHabits</v>
      </c>
      <c r="F504" t="str" s="97" cm="1">
        <f t="array" ref="F504">'Question_Bank'!F496</f>
        <v>Likert</v>
      </c>
      <c r="G504" t="str" s="97" cm="1">
        <f t="array" ref="G504">'Question_Bank'!G496</f>
        <v>I practice active recall.</v>
      </c>
      <c r="H504" s="131" cm="1">
        <f t="array" ref="H504">'Question_Bank'!H496</f>
        <v>0</v>
      </c>
      <c r="I504" s="131" cm="1">
        <f t="array" ref="I504">'Question_Bank'!I496</f>
        <v>0</v>
      </c>
      <c r="J504" s="131" cm="1">
        <f t="array" ref="J504">'Question_Bank'!J496</f>
        <v>0</v>
      </c>
      <c r="K504" s="131" cm="1">
        <f t="array" ref="K504">'Question_Bank'!K496</f>
        <v>0</v>
      </c>
      <c r="L504" s="131" cm="1">
        <f t="array" ref="L504">'Question_Bank'!L496</f>
        <v>0</v>
      </c>
      <c r="M504" s="132"/>
      <c r="N504" t="str" s="97" cm="1">
        <f t="array" ref="N504">IF(M504="","",IF(F504="MCQ",IF(UPPER(M504)=UPPER(L504),1,0),IF(O504="Yes",6-VALUE(M504),VALUE(M504))))</f>
      </c>
      <c r="O504" t="str" s="97" cm="1">
        <f t="array" ref="O504">'Question_Bank'!N496</f>
        <v>No</v>
      </c>
      <c r="P504" s="133" cm="1">
        <f t="array" ref="P504">IF(F504="MCQ",1,5)</f>
        <v>5</v>
      </c>
    </row>
    <row r="505" ht="42" customHeight="1">
      <c r="A505" t="str" s="130" cm="1">
        <f t="array" ref="A505">'Question_Bank'!A497</f>
        <v>NPI0493</v>
      </c>
      <c r="B505" t="str" s="97" cm="1">
        <f t="array" ref="B505">'Question_Bank'!B497</f>
        <v>8-12</v>
      </c>
      <c r="C505" t="str" s="97" cm="1">
        <f t="array" ref="C505">'Question_Bank'!C497</f>
        <v>Additional NeuroPi Indicators</v>
      </c>
      <c r="D505" t="str" s="97" cm="1">
        <f t="array" ref="D505">'Question_Bank'!D497</f>
        <v>StudyHabits</v>
      </c>
      <c r="E505" t="str" s="97" cm="1">
        <f t="array" ref="E505">'Question_Bank'!E497</f>
        <v>StudyHabits</v>
      </c>
      <c r="F505" t="str" s="97" cm="1">
        <f t="array" ref="F505">'Question_Bank'!F497</f>
        <v>Likert</v>
      </c>
      <c r="G505" t="str" s="97" cm="1">
        <f t="array" ref="G505">'Question_Bank'!G497</f>
        <v>I summarize chapters.</v>
      </c>
      <c r="H505" s="131" cm="1">
        <f t="array" ref="H505">'Question_Bank'!H497</f>
        <v>0</v>
      </c>
      <c r="I505" s="131" cm="1">
        <f t="array" ref="I505">'Question_Bank'!I497</f>
        <v>0</v>
      </c>
      <c r="J505" s="131" cm="1">
        <f t="array" ref="J505">'Question_Bank'!J497</f>
        <v>0</v>
      </c>
      <c r="K505" s="131" cm="1">
        <f t="array" ref="K505">'Question_Bank'!K497</f>
        <v>0</v>
      </c>
      <c r="L505" s="131" cm="1">
        <f t="array" ref="L505">'Question_Bank'!L497</f>
        <v>0</v>
      </c>
      <c r="M505" s="132"/>
      <c r="N505" t="str" s="97" cm="1">
        <f t="array" ref="N505">IF(M505="","",IF(F505="MCQ",IF(UPPER(M505)=UPPER(L505),1,0),IF(O505="Yes",6-VALUE(M505),VALUE(M505))))</f>
      </c>
      <c r="O505" t="str" s="97" cm="1">
        <f t="array" ref="O505">'Question_Bank'!N497</f>
        <v>No</v>
      </c>
      <c r="P505" s="133" cm="1">
        <f t="array" ref="P505">IF(F505="MCQ",1,5)</f>
        <v>5</v>
      </c>
    </row>
    <row r="506" ht="42" customHeight="1">
      <c r="A506" t="str" s="130" cm="1">
        <f t="array" ref="A506">'Question_Bank'!A498</f>
        <v>NPI0494</v>
      </c>
      <c r="B506" t="str" s="97" cm="1">
        <f t="array" ref="B506">'Question_Bank'!B498</f>
        <v>8-12</v>
      </c>
      <c r="C506" t="str" s="97" cm="1">
        <f t="array" ref="C506">'Question_Bank'!C498</f>
        <v>Additional NeuroPi Indicators</v>
      </c>
      <c r="D506" t="str" s="97" cm="1">
        <f t="array" ref="D506">'Question_Bank'!D498</f>
        <v>StudyHabits</v>
      </c>
      <c r="E506" t="str" s="97" cm="1">
        <f t="array" ref="E506">'Question_Bank'!E498</f>
        <v>StudyHabits</v>
      </c>
      <c r="F506" t="str" s="97" cm="1">
        <f t="array" ref="F506">'Question_Bank'!F498</f>
        <v>Likert</v>
      </c>
      <c r="G506" t="str" s="97" cm="1">
        <f t="array" ref="G506">'Question_Bank'!G498</f>
        <v>I track completion.</v>
      </c>
      <c r="H506" s="131" cm="1">
        <f t="array" ref="H506">'Question_Bank'!H498</f>
        <v>0</v>
      </c>
      <c r="I506" s="131" cm="1">
        <f t="array" ref="I506">'Question_Bank'!I498</f>
        <v>0</v>
      </c>
      <c r="J506" s="131" cm="1">
        <f t="array" ref="J506">'Question_Bank'!J498</f>
        <v>0</v>
      </c>
      <c r="K506" s="131" cm="1">
        <f t="array" ref="K506">'Question_Bank'!K498</f>
        <v>0</v>
      </c>
      <c r="L506" s="131" cm="1">
        <f t="array" ref="L506">'Question_Bank'!L498</f>
        <v>0</v>
      </c>
      <c r="M506" s="132"/>
      <c r="N506" t="str" s="97" cm="1">
        <f t="array" ref="N506">IF(M506="","",IF(F506="MCQ",IF(UPPER(M506)=UPPER(L506),1,0),IF(O506="Yes",6-VALUE(M506),VALUE(M506))))</f>
      </c>
      <c r="O506" t="str" s="97" cm="1">
        <f t="array" ref="O506">'Question_Bank'!N498</f>
        <v>No</v>
      </c>
      <c r="P506" s="133" cm="1">
        <f t="array" ref="P506">IF(F506="MCQ",1,5)</f>
        <v>5</v>
      </c>
    </row>
    <row r="507" ht="42" customHeight="1">
      <c r="A507" t="str" s="130" cm="1">
        <f t="array" ref="A507">'Question_Bank'!A499</f>
        <v>NPI0495</v>
      </c>
      <c r="B507" t="str" s="97" cm="1">
        <f t="array" ref="B507">'Question_Bank'!B499</f>
        <v>8-12</v>
      </c>
      <c r="C507" t="str" s="97" cm="1">
        <f t="array" ref="C507">'Question_Bank'!C499</f>
        <v>Additional NeuroPi Indicators</v>
      </c>
      <c r="D507" t="str" s="97" cm="1">
        <f t="array" ref="D507">'Question_Bank'!D499</f>
        <v>StudyHabits</v>
      </c>
      <c r="E507" t="str" s="97" cm="1">
        <f t="array" ref="E507">'Question_Bank'!E499</f>
        <v>StudyHabits</v>
      </c>
      <c r="F507" t="str" s="97" cm="1">
        <f t="array" ref="F507">'Question_Bank'!F499</f>
        <v>Likert</v>
      </c>
      <c r="G507" t="str" s="97" cm="1">
        <f t="array" ref="G507">'Question_Bank'!G499</f>
        <v>I ask for help on weak areas.</v>
      </c>
      <c r="H507" s="131" cm="1">
        <f t="array" ref="H507">'Question_Bank'!H499</f>
        <v>0</v>
      </c>
      <c r="I507" s="131" cm="1">
        <f t="array" ref="I507">'Question_Bank'!I499</f>
        <v>0</v>
      </c>
      <c r="J507" s="131" cm="1">
        <f t="array" ref="J507">'Question_Bank'!J499</f>
        <v>0</v>
      </c>
      <c r="K507" s="131" cm="1">
        <f t="array" ref="K507">'Question_Bank'!K499</f>
        <v>0</v>
      </c>
      <c r="L507" s="131" cm="1">
        <f t="array" ref="L507">'Question_Bank'!L499</f>
        <v>0</v>
      </c>
      <c r="M507" s="132"/>
      <c r="N507" t="str" s="97" cm="1">
        <f t="array" ref="N507">IF(M507="","",IF(F507="MCQ",IF(UPPER(M507)=UPPER(L507),1,0),IF(O507="Yes",6-VALUE(M507),VALUE(M507))))</f>
      </c>
      <c r="O507" t="str" s="97" cm="1">
        <f t="array" ref="O507">'Question_Bank'!N499</f>
        <v>No</v>
      </c>
      <c r="P507" s="133" cm="1">
        <f t="array" ref="P507">IF(F507="MCQ",1,5)</f>
        <v>5</v>
      </c>
    </row>
    <row r="508" ht="42" customHeight="1">
      <c r="A508" t="str" s="130" cm="1">
        <f t="array" ref="A508">'Question_Bank'!A500</f>
        <v>NPI0496</v>
      </c>
      <c r="B508" t="str" s="97" cm="1">
        <f t="array" ref="B508">'Question_Bank'!B500</f>
        <v>8-12</v>
      </c>
      <c r="C508" t="str" s="97" cm="1">
        <f t="array" ref="C508">'Question_Bank'!C500</f>
        <v>Additional NeuroPi Indicators</v>
      </c>
      <c r="D508" t="str" s="97" cm="1">
        <f t="array" ref="D508">'Question_Bank'!D500</f>
        <v>CareerClarity</v>
      </c>
      <c r="E508" t="str" s="97" cm="1">
        <f t="array" ref="E508">'Question_Bank'!E500</f>
        <v>CareerClarity</v>
      </c>
      <c r="F508" t="str" s="97" cm="1">
        <f t="array" ref="F508">'Question_Bank'!F500</f>
        <v>Likert</v>
      </c>
      <c r="G508" t="str" s="97" cm="1">
        <f t="array" ref="G508">'Question_Bank'!G500</f>
        <v>I explored career options.</v>
      </c>
      <c r="H508" s="131" cm="1">
        <f t="array" ref="H508">'Question_Bank'!H500</f>
        <v>0</v>
      </c>
      <c r="I508" s="131" cm="1">
        <f t="array" ref="I508">'Question_Bank'!I500</f>
        <v>0</v>
      </c>
      <c r="J508" s="131" cm="1">
        <f t="array" ref="J508">'Question_Bank'!J500</f>
        <v>0</v>
      </c>
      <c r="K508" s="131" cm="1">
        <f t="array" ref="K508">'Question_Bank'!K500</f>
        <v>0</v>
      </c>
      <c r="L508" s="131" cm="1">
        <f t="array" ref="L508">'Question_Bank'!L500</f>
        <v>0</v>
      </c>
      <c r="M508" s="132"/>
      <c r="N508" t="str" s="97" cm="1">
        <f t="array" ref="N508">IF(M508="","",IF(F508="MCQ",IF(UPPER(M508)=UPPER(L508),1,0),IF(O508="Yes",6-VALUE(M508),VALUE(M508))))</f>
      </c>
      <c r="O508" t="str" s="97" cm="1">
        <f t="array" ref="O508">'Question_Bank'!N500</f>
        <v>No</v>
      </c>
      <c r="P508" s="133" cm="1">
        <f t="array" ref="P508">IF(F508="MCQ",1,5)</f>
        <v>5</v>
      </c>
    </row>
    <row r="509" ht="42" customHeight="1">
      <c r="A509" t="str" s="130" cm="1">
        <f t="array" ref="A509">'Question_Bank'!A501</f>
        <v>NPI0497</v>
      </c>
      <c r="B509" t="str" s="97" cm="1">
        <f t="array" ref="B509">'Question_Bank'!B501</f>
        <v>8-12</v>
      </c>
      <c r="C509" t="str" s="97" cm="1">
        <f t="array" ref="C509">'Question_Bank'!C501</f>
        <v>Additional NeuroPi Indicators</v>
      </c>
      <c r="D509" t="str" s="97" cm="1">
        <f t="array" ref="D509">'Question_Bank'!D501</f>
        <v>CareerClarity</v>
      </c>
      <c r="E509" t="str" s="97" cm="1">
        <f t="array" ref="E509">'Question_Bank'!E501</f>
        <v>CareerClarity</v>
      </c>
      <c r="F509" t="str" s="97" cm="1">
        <f t="array" ref="F509">'Question_Bank'!F501</f>
        <v>Likert</v>
      </c>
      <c r="G509" t="str" s="97" cm="1">
        <f t="array" ref="G509">'Question_Bank'!G501</f>
        <v>I know subjects linked to goals.</v>
      </c>
      <c r="H509" s="131" cm="1">
        <f t="array" ref="H509">'Question_Bank'!H501</f>
        <v>0</v>
      </c>
      <c r="I509" s="131" cm="1">
        <f t="array" ref="I509">'Question_Bank'!I501</f>
        <v>0</v>
      </c>
      <c r="J509" s="131" cm="1">
        <f t="array" ref="J509">'Question_Bank'!J501</f>
        <v>0</v>
      </c>
      <c r="K509" s="131" cm="1">
        <f t="array" ref="K509">'Question_Bank'!K501</f>
        <v>0</v>
      </c>
      <c r="L509" s="131" cm="1">
        <f t="array" ref="L509">'Question_Bank'!L501</f>
        <v>0</v>
      </c>
      <c r="M509" s="132"/>
      <c r="N509" t="str" s="97" cm="1">
        <f t="array" ref="N509">IF(M509="","",IF(F509="MCQ",IF(UPPER(M509)=UPPER(L509),1,0),IF(O509="Yes",6-VALUE(M509),VALUE(M509))))</f>
      </c>
      <c r="O509" t="str" s="97" cm="1">
        <f t="array" ref="O509">'Question_Bank'!N501</f>
        <v>No</v>
      </c>
      <c r="P509" s="133" cm="1">
        <f t="array" ref="P509">IF(F509="MCQ",1,5)</f>
        <v>5</v>
      </c>
    </row>
    <row r="510" ht="42" customHeight="1">
      <c r="A510" t="str" s="130" cm="1">
        <f t="array" ref="A510">'Question_Bank'!A502</f>
        <v>NPI0498</v>
      </c>
      <c r="B510" t="str" s="97" cm="1">
        <f t="array" ref="B510">'Question_Bank'!B502</f>
        <v>8-12</v>
      </c>
      <c r="C510" t="str" s="97" cm="1">
        <f t="array" ref="C510">'Question_Bank'!C502</f>
        <v>Additional NeuroPi Indicators</v>
      </c>
      <c r="D510" t="str" s="97" cm="1">
        <f t="array" ref="D510">'Question_Bank'!D502</f>
        <v>CareerClarity</v>
      </c>
      <c r="E510" t="str" s="97" cm="1">
        <f t="array" ref="E510">'Question_Bank'!E502</f>
        <v>CareerClarity</v>
      </c>
      <c r="F510" t="str" s="97" cm="1">
        <f t="array" ref="F510">'Question_Bank'!F502</f>
        <v>Likert</v>
      </c>
      <c r="G510" t="str" s="97" cm="1">
        <f t="array" ref="G510">'Question_Bank'!G502</f>
        <v>I know my strengths and interests.</v>
      </c>
      <c r="H510" s="131" cm="1">
        <f t="array" ref="H510">'Question_Bank'!H502</f>
        <v>0</v>
      </c>
      <c r="I510" s="131" cm="1">
        <f t="array" ref="I510">'Question_Bank'!I502</f>
        <v>0</v>
      </c>
      <c r="J510" s="131" cm="1">
        <f t="array" ref="J510">'Question_Bank'!J502</f>
        <v>0</v>
      </c>
      <c r="K510" s="131" cm="1">
        <f t="array" ref="K510">'Question_Bank'!K502</f>
        <v>0</v>
      </c>
      <c r="L510" s="131" cm="1">
        <f t="array" ref="L510">'Question_Bank'!L502</f>
        <v>0</v>
      </c>
      <c r="M510" s="132"/>
      <c r="N510" t="str" s="97" cm="1">
        <f t="array" ref="N510">IF(M510="","",IF(F510="MCQ",IF(UPPER(M510)=UPPER(L510),1,0),IF(O510="Yes",6-VALUE(M510),VALUE(M510))))</f>
      </c>
      <c r="O510" t="str" s="97" cm="1">
        <f t="array" ref="O510">'Question_Bank'!N502</f>
        <v>No</v>
      </c>
      <c r="P510" s="133" cm="1">
        <f t="array" ref="P510">IF(F510="MCQ",1,5)</f>
        <v>5</v>
      </c>
    </row>
    <row r="511" ht="42" customHeight="1">
      <c r="A511" t="str" s="130" cm="1">
        <f t="array" ref="A511">'Question_Bank'!A503</f>
        <v>NPI0499</v>
      </c>
      <c r="B511" t="str" s="97" cm="1">
        <f t="array" ref="B511">'Question_Bank'!B503</f>
        <v>8-12</v>
      </c>
      <c r="C511" t="str" s="97" cm="1">
        <f t="array" ref="C511">'Question_Bank'!C503</f>
        <v>Additional NeuroPi Indicators</v>
      </c>
      <c r="D511" t="str" s="97" cm="1">
        <f t="array" ref="D511">'Question_Bank'!D503</f>
        <v>CareerClarity</v>
      </c>
      <c r="E511" t="str" s="97" cm="1">
        <f t="array" ref="E511">'Question_Bank'!E503</f>
        <v>CareerClarity</v>
      </c>
      <c r="F511" t="str" s="97" cm="1">
        <f t="array" ref="F511">'Question_Bank'!F503</f>
        <v>Likert</v>
      </c>
      <c r="G511" t="str" s="97" cm="1">
        <f t="array" ref="G511">'Question_Bank'!G503</f>
        <v>I understand skills needed for careers.</v>
      </c>
      <c r="H511" s="131" cm="1">
        <f t="array" ref="H511">'Question_Bank'!H503</f>
        <v>0</v>
      </c>
      <c r="I511" s="131" cm="1">
        <f t="array" ref="I511">'Question_Bank'!I503</f>
        <v>0</v>
      </c>
      <c r="J511" s="131" cm="1">
        <f t="array" ref="J511">'Question_Bank'!J503</f>
        <v>0</v>
      </c>
      <c r="K511" s="131" cm="1">
        <f t="array" ref="K511">'Question_Bank'!K503</f>
        <v>0</v>
      </c>
      <c r="L511" s="131" cm="1">
        <f t="array" ref="L511">'Question_Bank'!L503</f>
        <v>0</v>
      </c>
      <c r="M511" s="132"/>
      <c r="N511" t="str" s="97" cm="1">
        <f t="array" ref="N511">IF(M511="","",IF(F511="MCQ",IF(UPPER(M511)=UPPER(L511),1,0),IF(O511="Yes",6-VALUE(M511),VALUE(M511))))</f>
      </c>
      <c r="O511" t="str" s="97" cm="1">
        <f t="array" ref="O511">'Question_Bank'!N503</f>
        <v>No</v>
      </c>
      <c r="P511" s="133" cm="1">
        <f t="array" ref="P511">IF(F511="MCQ",1,5)</f>
        <v>5</v>
      </c>
    </row>
    <row r="512" ht="42" customHeight="1">
      <c r="A512" t="str" s="130" cm="1">
        <f t="array" ref="A512">'Question_Bank'!A504</f>
        <v>NPI0500</v>
      </c>
      <c r="B512" t="str" s="97" cm="1">
        <f t="array" ref="B512">'Question_Bank'!B504</f>
        <v>8-12</v>
      </c>
      <c r="C512" t="str" s="97" cm="1">
        <f t="array" ref="C512">'Question_Bank'!C504</f>
        <v>Additional NeuroPi Indicators</v>
      </c>
      <c r="D512" t="str" s="97" cm="1">
        <f t="array" ref="D512">'Question_Bank'!D504</f>
        <v>CareerClarity</v>
      </c>
      <c r="E512" t="str" s="97" cm="1">
        <f t="array" ref="E512">'Question_Bank'!E504</f>
        <v>CareerClarity</v>
      </c>
      <c r="F512" t="str" s="97" cm="1">
        <f t="array" ref="F512">'Question_Bank'!F504</f>
        <v>Likert</v>
      </c>
      <c r="G512" t="str" s="97" cm="1">
        <f t="array" ref="G512">'Question_Bank'!G504</f>
        <v>I spoken about career options.</v>
      </c>
      <c r="H512" s="131" cm="1">
        <f t="array" ref="H512">'Question_Bank'!H504</f>
        <v>0</v>
      </c>
      <c r="I512" s="131" cm="1">
        <f t="array" ref="I512">'Question_Bank'!I504</f>
        <v>0</v>
      </c>
      <c r="J512" s="131" cm="1">
        <f t="array" ref="J512">'Question_Bank'!J504</f>
        <v>0</v>
      </c>
      <c r="K512" s="131" cm="1">
        <f t="array" ref="K512">'Question_Bank'!K504</f>
        <v>0</v>
      </c>
      <c r="L512" s="131" cm="1">
        <f t="array" ref="L512">'Question_Bank'!L504</f>
        <v>0</v>
      </c>
      <c r="M512" s="132"/>
      <c r="N512" t="str" s="97" cm="1">
        <f t="array" ref="N512">IF(M512="","",IF(F512="MCQ",IF(UPPER(M512)=UPPER(L512),1,0),IF(O512="Yes",6-VALUE(M512),VALUE(M512))))</f>
      </c>
      <c r="O512" t="str" s="97" cm="1">
        <f t="array" ref="O512">'Question_Bank'!N504</f>
        <v>No</v>
      </c>
      <c r="P512" s="133" cm="1">
        <f t="array" ref="P512">IF(F512="MCQ",1,5)</f>
        <v>5</v>
      </c>
    </row>
    <row r="513" ht="42" customHeight="1">
      <c r="A513" t="str" s="130" cm="1">
        <f t="array" ref="A513">'Question_Bank'!A505</f>
        <v>NPI0501</v>
      </c>
      <c r="B513" t="str" s="97" cm="1">
        <f t="array" ref="B513">'Question_Bank'!B505</f>
        <v>8-12</v>
      </c>
      <c r="C513" t="str" s="97" cm="1">
        <f t="array" ref="C513">'Question_Bank'!C505</f>
        <v>Additional NeuroPi Indicators</v>
      </c>
      <c r="D513" t="str" s="97" cm="1">
        <f t="array" ref="D513">'Question_Bank'!D505</f>
        <v>CareerClarity</v>
      </c>
      <c r="E513" t="str" s="97" cm="1">
        <f t="array" ref="E513">'Question_Bank'!E505</f>
        <v>CareerClarity</v>
      </c>
      <c r="F513" t="str" s="97" cm="1">
        <f t="array" ref="F513">'Question_Bank'!F505</f>
        <v>Likert</v>
      </c>
      <c r="G513" t="str" s="97" cm="1">
        <f t="array" ref="G513">'Question_Bank'!G505</f>
        <v>I know three possible pathways.</v>
      </c>
      <c r="H513" s="131" cm="1">
        <f t="array" ref="H513">'Question_Bank'!H505</f>
        <v>0</v>
      </c>
      <c r="I513" s="131" cm="1">
        <f t="array" ref="I513">'Question_Bank'!I505</f>
        <v>0</v>
      </c>
      <c r="J513" s="131" cm="1">
        <f t="array" ref="J513">'Question_Bank'!J505</f>
        <v>0</v>
      </c>
      <c r="K513" s="131" cm="1">
        <f t="array" ref="K513">'Question_Bank'!K505</f>
        <v>0</v>
      </c>
      <c r="L513" s="131" cm="1">
        <f t="array" ref="L513">'Question_Bank'!L505</f>
        <v>0</v>
      </c>
      <c r="M513" s="132"/>
      <c r="N513" t="str" s="97" cm="1">
        <f t="array" ref="N513">IF(M513="","",IF(F513="MCQ",IF(UPPER(M513)=UPPER(L513),1,0),IF(O513="Yes",6-VALUE(M513),VALUE(M513))))</f>
      </c>
      <c r="O513" t="str" s="97" cm="1">
        <f t="array" ref="O513">'Question_Bank'!N505</f>
        <v>No</v>
      </c>
      <c r="P513" s="133" cm="1">
        <f t="array" ref="P513">IF(F513="MCQ",1,5)</f>
        <v>5</v>
      </c>
    </row>
    <row r="514" ht="42" customHeight="1">
      <c r="A514" t="str" s="130" cm="1">
        <f t="array" ref="A514">'Question_Bank'!A506</f>
        <v>NPI0502</v>
      </c>
      <c r="B514" t="str" s="97" cm="1">
        <f t="array" ref="B514">'Question_Bank'!B506</f>
        <v>8-12</v>
      </c>
      <c r="C514" t="str" s="97" cm="1">
        <f t="array" ref="C514">'Question_Bank'!C506</f>
        <v>Additional NeuroPi Indicators</v>
      </c>
      <c r="D514" t="str" s="97" cm="1">
        <f t="array" ref="D514">'Question_Bank'!D506</f>
        <v>CareerClarity</v>
      </c>
      <c r="E514" t="str" s="97" cm="1">
        <f t="array" ref="E514">'Question_Bank'!E506</f>
        <v>CareerClarity</v>
      </c>
      <c r="F514" t="str" s="97" cm="1">
        <f t="array" ref="F514">'Question_Bank'!F506</f>
        <v>Likert</v>
      </c>
      <c r="G514" t="str" s="97" cm="1">
        <f t="array" ref="G514">'Question_Bank'!G506</f>
        <v>I can explain why a career interests me.</v>
      </c>
      <c r="H514" s="131" cm="1">
        <f t="array" ref="H514">'Question_Bank'!H506</f>
        <v>0</v>
      </c>
      <c r="I514" s="131" cm="1">
        <f t="array" ref="I514">'Question_Bank'!I506</f>
        <v>0</v>
      </c>
      <c r="J514" s="131" cm="1">
        <f t="array" ref="J514">'Question_Bank'!J506</f>
        <v>0</v>
      </c>
      <c r="K514" s="131" cm="1">
        <f t="array" ref="K514">'Question_Bank'!K506</f>
        <v>0</v>
      </c>
      <c r="L514" s="131" cm="1">
        <f t="array" ref="L514">'Question_Bank'!L506</f>
        <v>0</v>
      </c>
      <c r="M514" s="132"/>
      <c r="N514" t="str" s="97" cm="1">
        <f t="array" ref="N514">IF(M514="","",IF(F514="MCQ",IF(UPPER(M514)=UPPER(L514),1,0),IF(O514="Yes",6-VALUE(M514),VALUE(M514))))</f>
      </c>
      <c r="O514" t="str" s="97" cm="1">
        <f t="array" ref="O514">'Question_Bank'!N506</f>
        <v>No</v>
      </c>
      <c r="P514" s="133" cm="1">
        <f t="array" ref="P514">IF(F514="MCQ",1,5)</f>
        <v>5</v>
      </c>
    </row>
    <row r="515" ht="42" customHeight="1">
      <c r="A515" t="str" s="130" cm="1">
        <f t="array" ref="A515">'Question_Bank'!A507</f>
        <v>NPI0503</v>
      </c>
      <c r="B515" t="str" s="97" cm="1">
        <f t="array" ref="B515">'Question_Bank'!B507</f>
        <v>8-12</v>
      </c>
      <c r="C515" t="str" s="97" cm="1">
        <f t="array" ref="C515">'Question_Bank'!C507</f>
        <v>Additional NeuroPi Indicators</v>
      </c>
      <c r="D515" t="str" s="97" cm="1">
        <f t="array" ref="D515">'Question_Bank'!D507</f>
        <v>CareerClarity</v>
      </c>
      <c r="E515" t="str" s="97" cm="1">
        <f t="array" ref="E515">'Question_Bank'!E507</f>
        <v>CareerClarity</v>
      </c>
      <c r="F515" t="str" s="97" cm="1">
        <f t="array" ref="F515">'Question_Bank'!F507</f>
        <v>Likert</v>
      </c>
      <c r="G515" t="str" s="97" cm="1">
        <f t="array" ref="G515">'Question_Bank'!G507</f>
        <v>I am open to exploring careers.</v>
      </c>
      <c r="H515" s="131" cm="1">
        <f t="array" ref="H515">'Question_Bank'!H507</f>
        <v>0</v>
      </c>
      <c r="I515" s="131" cm="1">
        <f t="array" ref="I515">'Question_Bank'!I507</f>
        <v>0</v>
      </c>
      <c r="J515" s="131" cm="1">
        <f t="array" ref="J515">'Question_Bank'!J507</f>
        <v>0</v>
      </c>
      <c r="K515" s="131" cm="1">
        <f t="array" ref="K515">'Question_Bank'!K507</f>
        <v>0</v>
      </c>
      <c r="L515" s="131" cm="1">
        <f t="array" ref="L515">'Question_Bank'!L507</f>
        <v>0</v>
      </c>
      <c r="M515" s="132"/>
      <c r="N515" t="str" s="97" cm="1">
        <f t="array" ref="N515">IF(M515="","",IF(F515="MCQ",IF(UPPER(M515)=UPPER(L515),1,0),IF(O515="Yes",6-VALUE(M515),VALUE(M515))))</f>
      </c>
      <c r="O515" t="str" s="97" cm="1">
        <f t="array" ref="O515">'Question_Bank'!N507</f>
        <v>No</v>
      </c>
      <c r="P515" s="133" cm="1">
        <f t="array" ref="P515">IF(F515="MCQ",1,5)</f>
        <v>5</v>
      </c>
    </row>
    <row r="516" ht="42" customHeight="1">
      <c r="A516" t="str" s="130" cm="1">
        <f t="array" ref="A516">'Question_Bank'!A508</f>
        <v>NPI0504</v>
      </c>
      <c r="B516" t="str" s="97" cm="1">
        <f t="array" ref="B516">'Question_Bank'!B508</f>
        <v>8-12</v>
      </c>
      <c r="C516" t="str" s="97" cm="1">
        <f t="array" ref="C516">'Question_Bank'!C508</f>
        <v>Additional NeuroPi Indicators</v>
      </c>
      <c r="D516" t="str" s="97" cm="1">
        <f t="array" ref="D516">'Question_Bank'!D508</f>
        <v>CareerClarity</v>
      </c>
      <c r="E516" t="str" s="97" cm="1">
        <f t="array" ref="E516">'Question_Bank'!E508</f>
        <v>CareerClarity</v>
      </c>
      <c r="F516" t="str" s="97" cm="1">
        <f t="array" ref="F516">'Question_Bank'!F508</f>
        <v>Likert</v>
      </c>
      <c r="G516" t="str" s="97" cm="1">
        <f t="array" ref="G516">'Question_Bank'!G508</f>
        <v>I know stream options.</v>
      </c>
      <c r="H516" s="131" cm="1">
        <f t="array" ref="H516">'Question_Bank'!H508</f>
        <v>0</v>
      </c>
      <c r="I516" s="131" cm="1">
        <f t="array" ref="I516">'Question_Bank'!I508</f>
        <v>0</v>
      </c>
      <c r="J516" s="131" cm="1">
        <f t="array" ref="J516">'Question_Bank'!J508</f>
        <v>0</v>
      </c>
      <c r="K516" s="131" cm="1">
        <f t="array" ref="K516">'Question_Bank'!K508</f>
        <v>0</v>
      </c>
      <c r="L516" s="131" cm="1">
        <f t="array" ref="L516">'Question_Bank'!L508</f>
        <v>0</v>
      </c>
      <c r="M516" s="132"/>
      <c r="N516" t="str" s="97" cm="1">
        <f t="array" ref="N516">IF(M516="","",IF(F516="MCQ",IF(UPPER(M516)=UPPER(L516),1,0),IF(O516="Yes",6-VALUE(M516),VALUE(M516))))</f>
      </c>
      <c r="O516" t="str" s="97" cm="1">
        <f t="array" ref="O516">'Question_Bank'!N508</f>
        <v>No</v>
      </c>
      <c r="P516" s="133" cm="1">
        <f t="array" ref="P516">IF(F516="MCQ",1,5)</f>
        <v>5</v>
      </c>
    </row>
    <row r="517" ht="42" customHeight="1">
      <c r="A517" t="str" s="130" cm="1">
        <f t="array" ref="A517">'Question_Bank'!A509</f>
        <v>NPI0505</v>
      </c>
      <c r="B517" t="str" s="97" cm="1">
        <f t="array" ref="B517">'Question_Bank'!B509</f>
        <v>8-12</v>
      </c>
      <c r="C517" t="str" s="97" cm="1">
        <f t="array" ref="C517">'Question_Bank'!C509</f>
        <v>Additional NeuroPi Indicators</v>
      </c>
      <c r="D517" t="str" s="97" cm="1">
        <f t="array" ref="D517">'Question_Bank'!D509</f>
        <v>CareerClarity</v>
      </c>
      <c r="E517" t="str" s="97" cm="1">
        <f t="array" ref="E517">'Question_Bank'!E509</f>
        <v>CareerClarity</v>
      </c>
      <c r="F517" t="str" s="97" cm="1">
        <f t="array" ref="F517">'Question_Bank'!F509</f>
        <v>Likert</v>
      </c>
      <c r="G517" t="str" s="97" cm="1">
        <f t="array" ref="G517">'Question_Bank'!G509</f>
        <v>I know entrance pathways.</v>
      </c>
      <c r="H517" s="131" cm="1">
        <f t="array" ref="H517">'Question_Bank'!H509</f>
        <v>0</v>
      </c>
      <c r="I517" s="131" cm="1">
        <f t="array" ref="I517">'Question_Bank'!I509</f>
        <v>0</v>
      </c>
      <c r="J517" s="131" cm="1">
        <f t="array" ref="J517">'Question_Bank'!J509</f>
        <v>0</v>
      </c>
      <c r="K517" s="131" cm="1">
        <f t="array" ref="K517">'Question_Bank'!K509</f>
        <v>0</v>
      </c>
      <c r="L517" s="131" cm="1">
        <f t="array" ref="L517">'Question_Bank'!L509</f>
        <v>0</v>
      </c>
      <c r="M517" s="132"/>
      <c r="N517" t="str" s="97" cm="1">
        <f t="array" ref="N517">IF(M517="","",IF(F517="MCQ",IF(UPPER(M517)=UPPER(L517),1,0),IF(O517="Yes",6-VALUE(M517),VALUE(M517))))</f>
      </c>
      <c r="O517" t="str" s="97" cm="1">
        <f t="array" ref="O517">'Question_Bank'!N509</f>
        <v>No</v>
      </c>
      <c r="P517" s="133" cm="1">
        <f t="array" ref="P517">IF(F517="MCQ",1,5)</f>
        <v>5</v>
      </c>
    </row>
    <row r="518" ht="42" customHeight="1">
      <c r="A518" t="str" s="130" cm="1">
        <f t="array" ref="A518">'Question_Bank'!A510</f>
        <v>NPI0506</v>
      </c>
      <c r="B518" t="str" s="97" cm="1">
        <f t="array" ref="B518">'Question_Bank'!B510</f>
        <v>8-12</v>
      </c>
      <c r="C518" t="str" s="97" cm="1">
        <f t="array" ref="C518">'Question_Bank'!C510</f>
        <v>Additional NeuroPi Indicators</v>
      </c>
      <c r="D518" t="str" s="97" cm="1">
        <f t="array" ref="D518">'Question_Bank'!D510</f>
        <v>CareerClarity</v>
      </c>
      <c r="E518" t="str" s="97" cm="1">
        <f t="array" ref="E518">'Question_Bank'!E510</f>
        <v>CareerClarity</v>
      </c>
      <c r="F518" t="str" s="97" cm="1">
        <f t="array" ref="F518">'Question_Bank'!F510</f>
        <v>Likert</v>
      </c>
      <c r="G518" t="str" s="97" cm="1">
        <f t="array" ref="G518">'Question_Bank'!G510</f>
        <v>I feel parents and I can discuss future.</v>
      </c>
      <c r="H518" s="131" cm="1">
        <f t="array" ref="H518">'Question_Bank'!H510</f>
        <v>0</v>
      </c>
      <c r="I518" s="131" cm="1">
        <f t="array" ref="I518">'Question_Bank'!I510</f>
        <v>0</v>
      </c>
      <c r="J518" s="131" cm="1">
        <f t="array" ref="J518">'Question_Bank'!J510</f>
        <v>0</v>
      </c>
      <c r="K518" s="131" cm="1">
        <f t="array" ref="K518">'Question_Bank'!K510</f>
        <v>0</v>
      </c>
      <c r="L518" s="131" cm="1">
        <f t="array" ref="L518">'Question_Bank'!L510</f>
        <v>0</v>
      </c>
      <c r="M518" s="132"/>
      <c r="N518" t="str" s="97" cm="1">
        <f t="array" ref="N518">IF(M518="","",IF(F518="MCQ",IF(UPPER(M518)=UPPER(L518),1,0),IF(O518="Yes",6-VALUE(M518),VALUE(M518))))</f>
      </c>
      <c r="O518" t="str" s="97" cm="1">
        <f t="array" ref="O518">'Question_Bank'!N510</f>
        <v>No</v>
      </c>
      <c r="P518" s="133" cm="1">
        <f t="array" ref="P518">IF(F518="MCQ",1,5)</f>
        <v>5</v>
      </c>
    </row>
    <row r="519" ht="42" customHeight="1">
      <c r="A519" t="str" s="130" cm="1">
        <f t="array" ref="A519">'Question_Bank'!A511</f>
        <v>NPI0507</v>
      </c>
      <c r="B519" t="str" s="97" cm="1">
        <f t="array" ref="B519">'Question_Bank'!B511</f>
        <v>8-12</v>
      </c>
      <c r="C519" t="str" s="97" cm="1">
        <f t="array" ref="C519">'Question_Bank'!C511</f>
        <v>Additional NeuroPi Indicators</v>
      </c>
      <c r="D519" t="str" s="97" cm="1">
        <f t="array" ref="D519">'Question_Bank'!D511</f>
        <v>CareerClarity</v>
      </c>
      <c r="E519" t="str" s="97" cm="1">
        <f t="array" ref="E519">'Question_Bank'!E511</f>
        <v>CareerClarity</v>
      </c>
      <c r="F519" t="str" s="97" cm="1">
        <f t="array" ref="F519">'Question_Bank'!F511</f>
        <v>Likert</v>
      </c>
      <c r="G519" t="str" s="97" cm="1">
        <f t="array" ref="G519">'Question_Bank'!G511</f>
        <v>I tried career-related activities.</v>
      </c>
      <c r="H519" s="131" cm="1">
        <f t="array" ref="H519">'Question_Bank'!H511</f>
        <v>0</v>
      </c>
      <c r="I519" s="131" cm="1">
        <f t="array" ref="I519">'Question_Bank'!I511</f>
        <v>0</v>
      </c>
      <c r="J519" s="131" cm="1">
        <f t="array" ref="J519">'Question_Bank'!J511</f>
        <v>0</v>
      </c>
      <c r="K519" s="131" cm="1">
        <f t="array" ref="K519">'Question_Bank'!K511</f>
        <v>0</v>
      </c>
      <c r="L519" s="131" cm="1">
        <f t="array" ref="L519">'Question_Bank'!L511</f>
        <v>0</v>
      </c>
      <c r="M519" s="132"/>
      <c r="N519" t="str" s="97" cm="1">
        <f t="array" ref="N519">IF(M519="","",IF(F519="MCQ",IF(UPPER(M519)=UPPER(L519),1,0),IF(O519="Yes",6-VALUE(M519),VALUE(M519))))</f>
      </c>
      <c r="O519" t="str" s="97" cm="1">
        <f t="array" ref="O519">'Question_Bank'!N511</f>
        <v>No</v>
      </c>
      <c r="P519" s="133" cm="1">
        <f t="array" ref="P519">IF(F519="MCQ",1,5)</f>
        <v>5</v>
      </c>
    </row>
    <row r="520" ht="42" customHeight="1">
      <c r="A520" t="str" s="130" cm="1">
        <f t="array" ref="A520">'Question_Bank'!A512</f>
        <v>NPI0508</v>
      </c>
      <c r="B520" t="str" s="97" cm="1">
        <f t="array" ref="B520">'Question_Bank'!B512</f>
        <v>8-12</v>
      </c>
      <c r="C520" t="str" s="97" cm="1">
        <f t="array" ref="C520">'Question_Bank'!C512</f>
        <v>Additional NeuroPi Indicators</v>
      </c>
      <c r="D520" t="str" s="97" cm="1">
        <f t="array" ref="D520">'Question_Bank'!D512</f>
        <v>CareerClarity</v>
      </c>
      <c r="E520" t="str" s="97" cm="1">
        <f t="array" ref="E520">'Question_Bank'!E512</f>
        <v>CareerClarity</v>
      </c>
      <c r="F520" t="str" s="97" cm="1">
        <f t="array" ref="F520">'Question_Bank'!F512</f>
        <v>Likert</v>
      </c>
      <c r="G520" t="str" s="97" cm="1">
        <f t="array" ref="G520">'Question_Bank'!G512</f>
        <v>I know the work environment I like.</v>
      </c>
      <c r="H520" s="131" cm="1">
        <f t="array" ref="H520">'Question_Bank'!H512</f>
        <v>0</v>
      </c>
      <c r="I520" s="131" cm="1">
        <f t="array" ref="I520">'Question_Bank'!I512</f>
        <v>0</v>
      </c>
      <c r="J520" s="131" cm="1">
        <f t="array" ref="J520">'Question_Bank'!J512</f>
        <v>0</v>
      </c>
      <c r="K520" s="131" cm="1">
        <f t="array" ref="K520">'Question_Bank'!K512</f>
        <v>0</v>
      </c>
      <c r="L520" s="131" cm="1">
        <f t="array" ref="L520">'Question_Bank'!L512</f>
        <v>0</v>
      </c>
      <c r="M520" s="132"/>
      <c r="N520" t="str" s="97" cm="1">
        <f t="array" ref="N520">IF(M520="","",IF(F520="MCQ",IF(UPPER(M520)=UPPER(L520),1,0),IF(O520="Yes",6-VALUE(M520),VALUE(M520))))</f>
      </c>
      <c r="O520" t="str" s="97" cm="1">
        <f t="array" ref="O520">'Question_Bank'!N512</f>
        <v>No</v>
      </c>
      <c r="P520" s="133" cm="1">
        <f t="array" ref="P520">IF(F520="MCQ",1,5)</f>
        <v>5</v>
      </c>
    </row>
    <row r="521" ht="42" customHeight="1">
      <c r="A521" t="str" s="130" cm="1">
        <f t="array" ref="A521">'Question_Bank'!A513</f>
        <v>NPI0509</v>
      </c>
      <c r="B521" t="str" s="97" cm="1">
        <f t="array" ref="B521">'Question_Bank'!B513</f>
        <v>8-12</v>
      </c>
      <c r="C521" t="str" s="97" cm="1">
        <f t="array" ref="C521">'Question_Bank'!C513</f>
        <v>Additional NeuroPi Indicators</v>
      </c>
      <c r="D521" t="str" s="97" cm="1">
        <f t="array" ref="D521">'Question_Bank'!D513</f>
        <v>CareerClarity</v>
      </c>
      <c r="E521" t="str" s="97" cm="1">
        <f t="array" ref="E521">'Question_Bank'!E513</f>
        <v>CareerClarity</v>
      </c>
      <c r="F521" t="str" s="97" cm="1">
        <f t="array" ref="F521">'Question_Bank'!F513</f>
        <v>Likert</v>
      </c>
      <c r="G521" t="str" s="97" cm="1">
        <f t="array" ref="G521">'Question_Bank'!G513</f>
        <v>I feel clearer after counseling.</v>
      </c>
      <c r="H521" s="131" cm="1">
        <f t="array" ref="H521">'Question_Bank'!H513</f>
        <v>0</v>
      </c>
      <c r="I521" s="131" cm="1">
        <f t="array" ref="I521">'Question_Bank'!I513</f>
        <v>0</v>
      </c>
      <c r="J521" s="131" cm="1">
        <f t="array" ref="J521">'Question_Bank'!J513</f>
        <v>0</v>
      </c>
      <c r="K521" s="131" cm="1">
        <f t="array" ref="K521">'Question_Bank'!K513</f>
        <v>0</v>
      </c>
      <c r="L521" s="131" cm="1">
        <f t="array" ref="L521">'Question_Bank'!L513</f>
        <v>0</v>
      </c>
      <c r="M521" s="132"/>
      <c r="N521" t="str" s="97" cm="1">
        <f t="array" ref="N521">IF(M521="","",IF(F521="MCQ",IF(UPPER(M521)=UPPER(L521),1,0),IF(O521="Yes",6-VALUE(M521),VALUE(M521))))</f>
      </c>
      <c r="O521" t="str" s="97" cm="1">
        <f t="array" ref="O521">'Question_Bank'!N513</f>
        <v>No</v>
      </c>
      <c r="P521" s="133" cm="1">
        <f t="array" ref="P521">IF(F521="MCQ",1,5)</f>
        <v>5</v>
      </c>
    </row>
    <row r="522" ht="42" customHeight="1">
      <c r="A522" t="str" s="130" cm="1">
        <f t="array" ref="A522">'Question_Bank'!A514</f>
        <v>NPI0510</v>
      </c>
      <c r="B522" t="str" s="97" cm="1">
        <f t="array" ref="B522">'Question_Bank'!B514</f>
        <v>8-12</v>
      </c>
      <c r="C522" t="str" s="97" cm="1">
        <f t="array" ref="C522">'Question_Bank'!C514</f>
        <v>Additional NeuroPi Indicators</v>
      </c>
      <c r="D522" t="str" s="97" cm="1">
        <f t="array" ref="D522">'Question_Bank'!D514</f>
        <v>CareerClarity</v>
      </c>
      <c r="E522" t="str" s="97" cm="1">
        <f t="array" ref="E522">'Question_Bank'!E514</f>
        <v>CareerClarity</v>
      </c>
      <c r="F522" t="str" s="97" cm="1">
        <f t="array" ref="F522">'Question_Bank'!F514</f>
        <v>Likert</v>
      </c>
      <c r="G522" t="str" s="97" cm="1">
        <f t="array" ref="G522">'Question_Bank'!G514</f>
        <v>I can shortlist careers.</v>
      </c>
      <c r="H522" s="131" cm="1">
        <f t="array" ref="H522">'Question_Bank'!H514</f>
        <v>0</v>
      </c>
      <c r="I522" s="131" cm="1">
        <f t="array" ref="I522">'Question_Bank'!I514</f>
        <v>0</v>
      </c>
      <c r="J522" s="131" cm="1">
        <f t="array" ref="J522">'Question_Bank'!J514</f>
        <v>0</v>
      </c>
      <c r="K522" s="131" cm="1">
        <f t="array" ref="K522">'Question_Bank'!K514</f>
        <v>0</v>
      </c>
      <c r="L522" s="131" cm="1">
        <f t="array" ref="L522">'Question_Bank'!L514</f>
        <v>0</v>
      </c>
      <c r="M522" s="132"/>
      <c r="N522" t="str" s="97" cm="1">
        <f t="array" ref="N522">IF(M522="","",IF(F522="MCQ",IF(UPPER(M522)=UPPER(L522),1,0),IF(O522="Yes",6-VALUE(M522),VALUE(M522))))</f>
      </c>
      <c r="O522" t="str" s="97" cm="1">
        <f t="array" ref="O522">'Question_Bank'!N514</f>
        <v>No</v>
      </c>
      <c r="P522" s="133" cm="1">
        <f t="array" ref="P522">IF(F522="MCQ",1,5)</f>
        <v>5</v>
      </c>
    </row>
    <row r="523" ht="42" customHeight="1">
      <c r="A523" t="str" s="130" cm="1">
        <f t="array" ref="A523">'Question_Bank'!A515</f>
        <v>NPI0511</v>
      </c>
      <c r="B523" t="str" s="97" cm="1">
        <f t="array" ref="B523">'Question_Bank'!B515</f>
        <v>8-12</v>
      </c>
      <c r="C523" t="str" s="97" cm="1">
        <f t="array" ref="C523">'Question_Bank'!C515</f>
        <v>Additional NeuroPi Indicators</v>
      </c>
      <c r="D523" t="str" s="97" cm="1">
        <f t="array" ref="D523">'Question_Bank'!D515</f>
        <v>CareerClarity</v>
      </c>
      <c r="E523" t="str" s="97" cm="1">
        <f t="array" ref="E523">'Question_Bank'!E515</f>
        <v>CareerClarity</v>
      </c>
      <c r="F523" t="str" s="97" cm="1">
        <f t="array" ref="F523">'Question_Bank'!F515</f>
        <v>Likert</v>
      </c>
      <c r="G523" t="str" s="97" cm="1">
        <f t="array" ref="G523">'Question_Bank'!G515</f>
        <v>I know what I do not want.</v>
      </c>
      <c r="H523" s="131" cm="1">
        <f t="array" ref="H523">'Question_Bank'!H515</f>
        <v>0</v>
      </c>
      <c r="I523" s="131" cm="1">
        <f t="array" ref="I523">'Question_Bank'!I515</f>
        <v>0</v>
      </c>
      <c r="J523" s="131" cm="1">
        <f t="array" ref="J523">'Question_Bank'!J515</f>
        <v>0</v>
      </c>
      <c r="K523" s="131" cm="1">
        <f t="array" ref="K523">'Question_Bank'!K515</f>
        <v>0</v>
      </c>
      <c r="L523" s="131" cm="1">
        <f t="array" ref="L523">'Question_Bank'!L515</f>
        <v>0</v>
      </c>
      <c r="M523" s="132"/>
      <c r="N523" t="str" s="97" cm="1">
        <f t="array" ref="N523">IF(M523="","",IF(F523="MCQ",IF(UPPER(M523)=UPPER(L523),1,0),IF(O523="Yes",6-VALUE(M523),VALUE(M523))))</f>
      </c>
      <c r="O523" t="str" s="97" cm="1">
        <f t="array" ref="O523">'Question_Bank'!N515</f>
        <v>No</v>
      </c>
      <c r="P523" s="133" cm="1">
        <f t="array" ref="P523">IF(F523="MCQ",1,5)</f>
        <v>5</v>
      </c>
    </row>
    <row r="524" ht="42" customHeight="1">
      <c r="A524" t="str" s="130" cm="1">
        <f t="array" ref="A524">'Question_Bank'!A516</f>
        <v>NPI0512</v>
      </c>
      <c r="B524" t="str" s="97" cm="1">
        <f t="array" ref="B524">'Question_Bank'!B516</f>
        <v>8-12</v>
      </c>
      <c r="C524" t="str" s="97" cm="1">
        <f t="array" ref="C524">'Question_Bank'!C516</f>
        <v>Additional NeuroPi Indicators</v>
      </c>
      <c r="D524" t="str" s="97" cm="1">
        <f t="array" ref="D524">'Question_Bank'!D516</f>
        <v>CareerClarity</v>
      </c>
      <c r="E524" t="str" s="97" cm="1">
        <f t="array" ref="E524">'Question_Bank'!E516</f>
        <v>CareerClarity</v>
      </c>
      <c r="F524" t="str" s="97" cm="1">
        <f t="array" ref="F524">'Question_Bank'!F516</f>
        <v>Likert</v>
      </c>
      <c r="G524" t="str" s="97" cm="1">
        <f t="array" ref="G524">'Question_Bank'!G516</f>
        <v>I can compare paths.</v>
      </c>
      <c r="H524" s="131" cm="1">
        <f t="array" ref="H524">'Question_Bank'!H516</f>
        <v>0</v>
      </c>
      <c r="I524" s="131" cm="1">
        <f t="array" ref="I524">'Question_Bank'!I516</f>
        <v>0</v>
      </c>
      <c r="J524" s="131" cm="1">
        <f t="array" ref="J524">'Question_Bank'!J516</f>
        <v>0</v>
      </c>
      <c r="K524" s="131" cm="1">
        <f t="array" ref="K524">'Question_Bank'!K516</f>
        <v>0</v>
      </c>
      <c r="L524" s="131" cm="1">
        <f t="array" ref="L524">'Question_Bank'!L516</f>
        <v>0</v>
      </c>
      <c r="M524" s="132"/>
      <c r="N524" t="str" s="97" cm="1">
        <f t="array" ref="N524">IF(M524="","",IF(F524="MCQ",IF(UPPER(M524)=UPPER(L524),1,0),IF(O524="Yes",6-VALUE(M524),VALUE(M524))))</f>
      </c>
      <c r="O524" t="str" s="97" cm="1">
        <f t="array" ref="O524">'Question_Bank'!N516</f>
        <v>No</v>
      </c>
      <c r="P524" s="133" cm="1">
        <f t="array" ref="P524">IF(F524="MCQ",1,5)</f>
        <v>5</v>
      </c>
    </row>
    <row r="525" ht="42" customHeight="1">
      <c r="A525" t="str" s="130" cm="1">
        <f t="array" ref="A525">'Question_Bank'!A517</f>
        <v>NPI0513</v>
      </c>
      <c r="B525" t="str" s="97" cm="1">
        <f t="array" ref="B525">'Question_Bank'!B517</f>
        <v>8-12</v>
      </c>
      <c r="C525" t="str" s="97" cm="1">
        <f t="array" ref="C525">'Question_Bank'!C517</f>
        <v>Additional NeuroPi Indicators</v>
      </c>
      <c r="D525" t="str" s="97" cm="1">
        <f t="array" ref="D525">'Question_Bank'!D517</f>
        <v>CareerClarity</v>
      </c>
      <c r="E525" t="str" s="97" cm="1">
        <f t="array" ref="E525">'Question_Bank'!E517</f>
        <v>CareerClarity</v>
      </c>
      <c r="F525" t="str" s="97" cm="1">
        <f t="array" ref="F525">'Question_Bank'!F517</f>
        <v>Likert</v>
      </c>
      <c r="G525" t="str" s="97" cm="1">
        <f t="array" ref="G525">'Question_Bank'!G517</f>
        <v>I understand trade-offs.</v>
      </c>
      <c r="H525" s="131" cm="1">
        <f t="array" ref="H525">'Question_Bank'!H517</f>
        <v>0</v>
      </c>
      <c r="I525" s="131" cm="1">
        <f t="array" ref="I525">'Question_Bank'!I517</f>
        <v>0</v>
      </c>
      <c r="J525" s="131" cm="1">
        <f t="array" ref="J525">'Question_Bank'!J517</f>
        <v>0</v>
      </c>
      <c r="K525" s="131" cm="1">
        <f t="array" ref="K525">'Question_Bank'!K517</f>
        <v>0</v>
      </c>
      <c r="L525" s="131" cm="1">
        <f t="array" ref="L525">'Question_Bank'!L517</f>
        <v>0</v>
      </c>
      <c r="M525" s="132"/>
      <c r="N525" t="str" s="97" cm="1">
        <f t="array" ref="N525">IF(M525="","",IF(F525="MCQ",IF(UPPER(M525)=UPPER(L525),1,0),IF(O525="Yes",6-VALUE(M525),VALUE(M525))))</f>
      </c>
      <c r="O525" t="str" s="97" cm="1">
        <f t="array" ref="O525">'Question_Bank'!N517</f>
        <v>No</v>
      </c>
      <c r="P525" s="133" cm="1">
        <f t="array" ref="P525">IF(F525="MCQ",1,5)</f>
        <v>5</v>
      </c>
    </row>
    <row r="526" ht="42" customHeight="1">
      <c r="A526" t="str" s="130" cm="1">
        <f t="array" ref="A526">'Question_Bank'!A518</f>
        <v>NPI0514</v>
      </c>
      <c r="B526" t="str" s="97" cm="1">
        <f t="array" ref="B526">'Question_Bank'!B518</f>
        <v>8-12</v>
      </c>
      <c r="C526" t="str" s="97" cm="1">
        <f t="array" ref="C526">'Question_Bank'!C518</f>
        <v>Additional NeuroPi Indicators</v>
      </c>
      <c r="D526" t="str" s="97" cm="1">
        <f t="array" ref="D526">'Question_Bank'!D518</f>
        <v>CareerClarity</v>
      </c>
      <c r="E526" t="str" s="97" cm="1">
        <f t="array" ref="E526">'Question_Bank'!E518</f>
        <v>CareerClarity</v>
      </c>
      <c r="F526" t="str" s="97" cm="1">
        <f t="array" ref="F526">'Question_Bank'!F518</f>
        <v>Likert</v>
      </c>
      <c r="G526" t="str" s="97" cm="1">
        <f t="array" ref="G526">'Question_Bank'!G518</f>
        <v>I have career questions ready.</v>
      </c>
      <c r="H526" s="131" cm="1">
        <f t="array" ref="H526">'Question_Bank'!H518</f>
        <v>0</v>
      </c>
      <c r="I526" s="131" cm="1">
        <f t="array" ref="I526">'Question_Bank'!I518</f>
        <v>0</v>
      </c>
      <c r="J526" s="131" cm="1">
        <f t="array" ref="J526">'Question_Bank'!J518</f>
        <v>0</v>
      </c>
      <c r="K526" s="131" cm="1">
        <f t="array" ref="K526">'Question_Bank'!K518</f>
        <v>0</v>
      </c>
      <c r="L526" s="131" cm="1">
        <f t="array" ref="L526">'Question_Bank'!L518</f>
        <v>0</v>
      </c>
      <c r="M526" s="132"/>
      <c r="N526" t="str" s="97" cm="1">
        <f t="array" ref="N526">IF(M526="","",IF(F526="MCQ",IF(UPPER(M526)=UPPER(L526),1,0),IF(O526="Yes",6-VALUE(M526),VALUE(M526))))</f>
      </c>
      <c r="O526" t="str" s="97" cm="1">
        <f t="array" ref="O526">'Question_Bank'!N518</f>
        <v>No</v>
      </c>
      <c r="P526" s="133" cm="1">
        <f t="array" ref="P526">IF(F526="MCQ",1,5)</f>
        <v>5</v>
      </c>
    </row>
    <row r="527" ht="42" customHeight="1">
      <c r="A527" t="str" s="130" cm="1">
        <f t="array" ref="A527">'Question_Bank'!A519</f>
        <v>NPI0515</v>
      </c>
      <c r="B527" t="str" s="97" cm="1">
        <f t="array" ref="B527">'Question_Bank'!B519</f>
        <v>8-12</v>
      </c>
      <c r="C527" t="str" s="97" cm="1">
        <f t="array" ref="C527">'Question_Bank'!C519</f>
        <v>Additional NeuroPi Indicators</v>
      </c>
      <c r="D527" t="str" s="97" cm="1">
        <f t="array" ref="D527">'Question_Bank'!D519</f>
        <v>CareerClarity</v>
      </c>
      <c r="E527" t="str" s="97" cm="1">
        <f t="array" ref="E527">'Question_Bank'!E519</f>
        <v>CareerClarity</v>
      </c>
      <c r="F527" t="str" s="97" cm="1">
        <f t="array" ref="F527">'Question_Bank'!F519</f>
        <v>Likert</v>
      </c>
      <c r="G527" t="str" s="97" cm="1">
        <f t="array" ref="G527">'Question_Bank'!G519</f>
        <v>I want exposure before deciding.</v>
      </c>
      <c r="H527" s="131" cm="1">
        <f t="array" ref="H527">'Question_Bank'!H519</f>
        <v>0</v>
      </c>
      <c r="I527" s="131" cm="1">
        <f t="array" ref="I527">'Question_Bank'!I519</f>
        <v>0</v>
      </c>
      <c r="J527" s="131" cm="1">
        <f t="array" ref="J527">'Question_Bank'!J519</f>
        <v>0</v>
      </c>
      <c r="K527" s="131" cm="1">
        <f t="array" ref="K527">'Question_Bank'!K519</f>
        <v>0</v>
      </c>
      <c r="L527" s="131" cm="1">
        <f t="array" ref="L527">'Question_Bank'!L519</f>
        <v>0</v>
      </c>
      <c r="M527" s="132"/>
      <c r="N527" t="str" s="97" cm="1">
        <f t="array" ref="N527">IF(M527="","",IF(F527="MCQ",IF(UPPER(M527)=UPPER(L527),1,0),IF(O527="Yes",6-VALUE(M527),VALUE(M527))))</f>
      </c>
      <c r="O527" t="str" s="97" cm="1">
        <f t="array" ref="O527">'Question_Bank'!N519</f>
        <v>No</v>
      </c>
      <c r="P527" s="133" cm="1">
        <f t="array" ref="P527">IF(F527="MCQ",1,5)</f>
        <v>5</v>
      </c>
    </row>
    <row r="528" ht="42" customHeight="1">
      <c r="A528" t="str" s="130" cm="1">
        <f t="array" ref="A528">'Question_Bank'!A520</f>
        <v>NPI0516</v>
      </c>
      <c r="B528" t="str" s="97" cm="1">
        <f t="array" ref="B528">'Question_Bank'!B520</f>
        <v>8-12</v>
      </c>
      <c r="C528" t="str" s="97" cm="1">
        <f t="array" ref="C528">'Question_Bank'!C520</f>
        <v>Validity &amp; Readiness</v>
      </c>
      <c r="D528" t="str" s="97" cm="1">
        <f t="array" ref="D528">'Question_Bank'!D520</f>
        <v>Validity</v>
      </c>
      <c r="E528" t="str" s="97" cm="1">
        <f t="array" ref="E528">'Question_Bank'!E520</f>
        <v>Validity</v>
      </c>
      <c r="F528" t="str" s="97" cm="1">
        <f t="array" ref="F528">'Question_Bank'!F520</f>
        <v>Likert</v>
      </c>
      <c r="G528" t="str" s="97" cm="1">
        <f t="array" ref="G528">'Question_Bank'!G520</f>
        <v>I answered these questions honestly.</v>
      </c>
      <c r="H528" s="131" cm="1">
        <f t="array" ref="H528">'Question_Bank'!H520</f>
        <v>0</v>
      </c>
      <c r="I528" s="131" cm="1">
        <f t="array" ref="I528">'Question_Bank'!I520</f>
        <v>0</v>
      </c>
      <c r="J528" s="131" cm="1">
        <f t="array" ref="J528">'Question_Bank'!J520</f>
        <v>0</v>
      </c>
      <c r="K528" s="131" cm="1">
        <f t="array" ref="K528">'Question_Bank'!K520</f>
        <v>0</v>
      </c>
      <c r="L528" s="131" cm="1">
        <f t="array" ref="L528">'Question_Bank'!L520</f>
        <v>0</v>
      </c>
      <c r="M528" s="132"/>
      <c r="N528" t="str" s="97" cm="1">
        <f t="array" ref="N528">IF(M528="","",IF(F528="MCQ",IF(UPPER(M528)=UPPER(L528),1,0),IF(O528="Yes",6-VALUE(M528),VALUE(M528))))</f>
      </c>
      <c r="O528" t="str" s="97" cm="1">
        <f t="array" ref="O528">'Question_Bank'!N520</f>
        <v>No</v>
      </c>
      <c r="P528" s="133" cm="1">
        <f t="array" ref="P528">IF(F528="MCQ",1,5)</f>
        <v>5</v>
      </c>
    </row>
    <row r="529" ht="42" customHeight="1">
      <c r="A529" t="str" s="130" cm="1">
        <f t="array" ref="A529">'Question_Bank'!A521</f>
        <v>NPI0517</v>
      </c>
      <c r="B529" t="str" s="97" cm="1">
        <f t="array" ref="B529">'Question_Bank'!B521</f>
        <v>8-12</v>
      </c>
      <c r="C529" t="str" s="97" cm="1">
        <f t="array" ref="C529">'Question_Bank'!C521</f>
        <v>Validity &amp; Readiness</v>
      </c>
      <c r="D529" t="str" s="97" cm="1">
        <f t="array" ref="D529">'Question_Bank'!D521</f>
        <v>Validity</v>
      </c>
      <c r="E529" t="str" s="97" cm="1">
        <f t="array" ref="E529">'Question_Bank'!E521</f>
        <v>Validity</v>
      </c>
      <c r="F529" t="str" s="97" cm="1">
        <f t="array" ref="F529">'Question_Bank'!F521</f>
        <v>Likert</v>
      </c>
      <c r="G529" t="str" s="97" cm="1">
        <f t="array" ref="G529">'Question_Bank'!G521</f>
        <v>I read each question carefully before answering.</v>
      </c>
      <c r="H529" s="131" cm="1">
        <f t="array" ref="H529">'Question_Bank'!H521</f>
        <v>0</v>
      </c>
      <c r="I529" s="131" cm="1">
        <f t="array" ref="I529">'Question_Bank'!I521</f>
        <v>0</v>
      </c>
      <c r="J529" s="131" cm="1">
        <f t="array" ref="J529">'Question_Bank'!J521</f>
        <v>0</v>
      </c>
      <c r="K529" s="131" cm="1">
        <f t="array" ref="K529">'Question_Bank'!K521</f>
        <v>0</v>
      </c>
      <c r="L529" s="131" cm="1">
        <f t="array" ref="L529">'Question_Bank'!L521</f>
        <v>0</v>
      </c>
      <c r="M529" s="132"/>
      <c r="N529" t="str" s="97" cm="1">
        <f t="array" ref="N529">IF(M529="","",IF(F529="MCQ",IF(UPPER(M529)=UPPER(L529),1,0),IF(O529="Yes",6-VALUE(M529),VALUE(M529))))</f>
      </c>
      <c r="O529" t="str" s="97" cm="1">
        <f t="array" ref="O529">'Question_Bank'!N521</f>
        <v>No</v>
      </c>
      <c r="P529" s="133" cm="1">
        <f t="array" ref="P529">IF(F529="MCQ",1,5)</f>
        <v>5</v>
      </c>
    </row>
    <row r="530" ht="42" customHeight="1">
      <c r="A530" t="str" s="130" cm="1">
        <f t="array" ref="A530">'Question_Bank'!A522</f>
        <v>NPI0518</v>
      </c>
      <c r="B530" t="str" s="97" cm="1">
        <f t="array" ref="B530">'Question_Bank'!B522</f>
        <v>8-12</v>
      </c>
      <c r="C530" t="str" s="97" cm="1">
        <f t="array" ref="C530">'Question_Bank'!C522</f>
        <v>Validity &amp; Readiness</v>
      </c>
      <c r="D530" t="str" s="97" cm="1">
        <f t="array" ref="D530">'Question_Bank'!D522</f>
        <v>Validity</v>
      </c>
      <c r="E530" t="str" s="97" cm="1">
        <f t="array" ref="E530">'Question_Bank'!E522</f>
        <v>Validity</v>
      </c>
      <c r="F530" t="str" s="97" cm="1">
        <f t="array" ref="F530">'Question_Bank'!F522</f>
        <v>Likert</v>
      </c>
      <c r="G530" t="str" s="97" cm="1">
        <f t="array" ref="G530">'Question_Bank'!G522</f>
        <v>I selected random answers without reading.</v>
      </c>
      <c r="H530" s="131" cm="1">
        <f t="array" ref="H530">'Question_Bank'!H522</f>
        <v>0</v>
      </c>
      <c r="I530" s="131" cm="1">
        <f t="array" ref="I530">'Question_Bank'!I522</f>
        <v>0</v>
      </c>
      <c r="J530" s="131" cm="1">
        <f t="array" ref="J530">'Question_Bank'!J522</f>
        <v>0</v>
      </c>
      <c r="K530" s="131" cm="1">
        <f t="array" ref="K530">'Question_Bank'!K522</f>
        <v>0</v>
      </c>
      <c r="L530" s="131" cm="1">
        <f t="array" ref="L530">'Question_Bank'!L522</f>
        <v>0</v>
      </c>
      <c r="M530" s="132"/>
      <c r="N530" t="str" s="97" cm="1">
        <f t="array" ref="N530">IF(M530="","",IF(F530="MCQ",IF(UPPER(M530)=UPPER(L530),1,0),IF(O530="Yes",6-VALUE(M530),VALUE(M530))))</f>
      </c>
      <c r="O530" t="str" s="97" cm="1">
        <f t="array" ref="O530">'Question_Bank'!N522</f>
        <v>Yes</v>
      </c>
      <c r="P530" s="133" cm="1">
        <f t="array" ref="P530">IF(F530="MCQ",1,5)</f>
        <v>5</v>
      </c>
    </row>
    <row r="531" ht="42" customHeight="1">
      <c r="A531" t="str" s="130" cm="1">
        <f t="array" ref="A531">'Question_Bank'!A523</f>
        <v>NPI0519</v>
      </c>
      <c r="B531" t="str" s="97" cm="1">
        <f t="array" ref="B531">'Question_Bank'!B523</f>
        <v>8-12</v>
      </c>
      <c r="C531" t="str" s="97" cm="1">
        <f t="array" ref="C531">'Question_Bank'!C523</f>
        <v>Validity &amp; Readiness</v>
      </c>
      <c r="D531" t="str" s="97" cm="1">
        <f t="array" ref="D531">'Question_Bank'!D523</f>
        <v>Validity</v>
      </c>
      <c r="E531" t="str" s="97" cm="1">
        <f t="array" ref="E531">'Question_Bank'!E523</f>
        <v>Validity</v>
      </c>
      <c r="F531" t="str" s="97" cm="1">
        <f t="array" ref="F531">'Question_Bank'!F523</f>
        <v>Likert</v>
      </c>
      <c r="G531" t="str" s="97" cm="1">
        <f t="array" ref="G531">'Question_Bank'!G523</f>
        <v>I tried to give answers that only look good.</v>
      </c>
      <c r="H531" s="131" cm="1">
        <f t="array" ref="H531">'Question_Bank'!H523</f>
        <v>0</v>
      </c>
      <c r="I531" s="131" cm="1">
        <f t="array" ref="I531">'Question_Bank'!I523</f>
        <v>0</v>
      </c>
      <c r="J531" s="131" cm="1">
        <f t="array" ref="J531">'Question_Bank'!J523</f>
        <v>0</v>
      </c>
      <c r="K531" s="131" cm="1">
        <f t="array" ref="K531">'Question_Bank'!K523</f>
        <v>0</v>
      </c>
      <c r="L531" s="131" cm="1">
        <f t="array" ref="L531">'Question_Bank'!L523</f>
        <v>0</v>
      </c>
      <c r="M531" s="132"/>
      <c r="N531" t="str" s="97" cm="1">
        <f t="array" ref="N531">IF(M531="","",IF(F531="MCQ",IF(UPPER(M531)=UPPER(L531),1,0),IF(O531="Yes",6-VALUE(M531),VALUE(M531))))</f>
      </c>
      <c r="O531" t="str" s="97" cm="1">
        <f t="array" ref="O531">'Question_Bank'!N523</f>
        <v>Yes</v>
      </c>
      <c r="P531" s="133" cm="1">
        <f t="array" ref="P531">IF(F531="MCQ",1,5)</f>
        <v>5</v>
      </c>
    </row>
    <row r="532" ht="42" customHeight="1">
      <c r="A532" t="str" s="130" cm="1">
        <f t="array" ref="A532">'Question_Bank'!A524</f>
        <v>NPI0520</v>
      </c>
      <c r="B532" t="str" s="97" cm="1">
        <f t="array" ref="B532">'Question_Bank'!B524</f>
        <v>8-12</v>
      </c>
      <c r="C532" t="str" s="97" cm="1">
        <f t="array" ref="C532">'Question_Bank'!C524</f>
        <v>Validity &amp; Readiness</v>
      </c>
      <c r="D532" t="str" s="97" cm="1">
        <f t="array" ref="D532">'Question_Bank'!D524</f>
        <v>Validity</v>
      </c>
      <c r="E532" t="str" s="97" cm="1">
        <f t="array" ref="E532">'Question_Bank'!E524</f>
        <v>Validity</v>
      </c>
      <c r="F532" t="str" s="97" cm="1">
        <f t="array" ref="F532">'Question_Bank'!F524</f>
        <v>Likert</v>
      </c>
      <c r="G532" t="str" s="97" cm="1">
        <f t="array" ref="G532">'Question_Bank'!G524</f>
        <v>My answers reflect how I usually behave.</v>
      </c>
      <c r="H532" s="131" cm="1">
        <f t="array" ref="H532">'Question_Bank'!H524</f>
        <v>0</v>
      </c>
      <c r="I532" s="131" cm="1">
        <f t="array" ref="I532">'Question_Bank'!I524</f>
        <v>0</v>
      </c>
      <c r="J532" s="131" cm="1">
        <f t="array" ref="J532">'Question_Bank'!J524</f>
        <v>0</v>
      </c>
      <c r="K532" s="131" cm="1">
        <f t="array" ref="K532">'Question_Bank'!K524</f>
        <v>0</v>
      </c>
      <c r="L532" s="131" cm="1">
        <f t="array" ref="L532">'Question_Bank'!L524</f>
        <v>0</v>
      </c>
      <c r="M532" s="132"/>
      <c r="N532" t="str" s="97" cm="1">
        <f t="array" ref="N532">IF(M532="","",IF(F532="MCQ",IF(UPPER(M532)=UPPER(L532),1,0),IF(O532="Yes",6-VALUE(M532),VALUE(M532))))</f>
      </c>
      <c r="O532" t="str" s="97" cm="1">
        <f t="array" ref="O532">'Question_Bank'!N524</f>
        <v>No</v>
      </c>
      <c r="P532" s="133" cm="1">
        <f t="array" ref="P532">IF(F532="MCQ",1,5)</f>
        <v>5</v>
      </c>
    </row>
    <row r="533" ht="42" customHeight="1">
      <c r="A533" t="str" s="130" cm="1">
        <f t="array" ref="A533">'Question_Bank'!A525</f>
        <v>NPI0521</v>
      </c>
      <c r="B533" t="str" s="97" cm="1">
        <f t="array" ref="B533">'Question_Bank'!B525</f>
        <v>8-12</v>
      </c>
      <c r="C533" t="str" s="97" cm="1">
        <f t="array" ref="C533">'Question_Bank'!C525</f>
        <v>Validity &amp; Readiness</v>
      </c>
      <c r="D533" t="str" s="97" cm="1">
        <f t="array" ref="D533">'Question_Bank'!D525</f>
        <v>Validity</v>
      </c>
      <c r="E533" t="str" s="97" cm="1">
        <f t="array" ref="E533">'Question_Bank'!E525</f>
        <v>Validity</v>
      </c>
      <c r="F533" t="str" s="97" cm="1">
        <f t="array" ref="F533">'Question_Bank'!F525</f>
        <v>Likert</v>
      </c>
      <c r="G533" t="str" s="97" cm="1">
        <f t="array" ref="G533">'Question_Bank'!G525</f>
        <v>I was too tired to answer properly.</v>
      </c>
      <c r="H533" s="131" cm="1">
        <f t="array" ref="H533">'Question_Bank'!H525</f>
        <v>0</v>
      </c>
      <c r="I533" s="131" cm="1">
        <f t="array" ref="I533">'Question_Bank'!I525</f>
        <v>0</v>
      </c>
      <c r="J533" s="131" cm="1">
        <f t="array" ref="J533">'Question_Bank'!J525</f>
        <v>0</v>
      </c>
      <c r="K533" s="131" cm="1">
        <f t="array" ref="K533">'Question_Bank'!K525</f>
        <v>0</v>
      </c>
      <c r="L533" s="131" cm="1">
        <f t="array" ref="L533">'Question_Bank'!L525</f>
        <v>0</v>
      </c>
      <c r="M533" s="132"/>
      <c r="N533" t="str" s="97" cm="1">
        <f t="array" ref="N533">IF(M533="","",IF(F533="MCQ",IF(UPPER(M533)=UPPER(L533),1,0),IF(O533="Yes",6-VALUE(M533),VALUE(M533))))</f>
      </c>
      <c r="O533" t="str" s="97" cm="1">
        <f t="array" ref="O533">'Question_Bank'!N525</f>
        <v>Yes</v>
      </c>
      <c r="P533" s="133" cm="1">
        <f t="array" ref="P533">IF(F533="MCQ",1,5)</f>
        <v>5</v>
      </c>
    </row>
    <row r="534" ht="42" customHeight="1">
      <c r="A534" t="str" s="130" cm="1">
        <f t="array" ref="A534">'Question_Bank'!A526</f>
        <v>NPI0522</v>
      </c>
      <c r="B534" t="str" s="97" cm="1">
        <f t="array" ref="B534">'Question_Bank'!B526</f>
        <v>8-12</v>
      </c>
      <c r="C534" t="str" s="97" cm="1">
        <f t="array" ref="C534">'Question_Bank'!C526</f>
        <v>Validity &amp; Readiness</v>
      </c>
      <c r="D534" t="str" s="97" cm="1">
        <f t="array" ref="D534">'Question_Bank'!D526</f>
        <v>Validity</v>
      </c>
      <c r="E534" t="str" s="97" cm="1">
        <f t="array" ref="E534">'Question_Bank'!E526</f>
        <v>Validity</v>
      </c>
      <c r="F534" t="str" s="97" cm="1">
        <f t="array" ref="F534">'Question_Bank'!F526</f>
        <v>Likert</v>
      </c>
      <c r="G534" t="str" s="97" cm="1">
        <f t="array" ref="G534">'Question_Bank'!G526</f>
        <v>I understood most questions clearly.</v>
      </c>
      <c r="H534" s="131" cm="1">
        <f t="array" ref="H534">'Question_Bank'!H526</f>
        <v>0</v>
      </c>
      <c r="I534" s="131" cm="1">
        <f t="array" ref="I534">'Question_Bank'!I526</f>
        <v>0</v>
      </c>
      <c r="J534" s="131" cm="1">
        <f t="array" ref="J534">'Question_Bank'!J526</f>
        <v>0</v>
      </c>
      <c r="K534" s="131" cm="1">
        <f t="array" ref="K534">'Question_Bank'!K526</f>
        <v>0</v>
      </c>
      <c r="L534" s="131" cm="1">
        <f t="array" ref="L534">'Question_Bank'!L526</f>
        <v>0</v>
      </c>
      <c r="M534" s="132"/>
      <c r="N534" t="str" s="97" cm="1">
        <f t="array" ref="N534">IF(M534="","",IF(F534="MCQ",IF(UPPER(M534)=UPPER(L534),1,0),IF(O534="Yes",6-VALUE(M534),VALUE(M534))))</f>
      </c>
      <c r="O534" t="str" s="97" cm="1">
        <f t="array" ref="O534">'Question_Bank'!N526</f>
        <v>No</v>
      </c>
      <c r="P534" s="133" cm="1">
        <f t="array" ref="P534">IF(F534="MCQ",1,5)</f>
        <v>5</v>
      </c>
    </row>
    <row r="535" ht="42" customHeight="1">
      <c r="A535" t="str" s="130" cm="1">
        <f t="array" ref="A535">'Question_Bank'!A527</f>
        <v>NPI0523</v>
      </c>
      <c r="B535" t="str" s="97" cm="1">
        <f t="array" ref="B535">'Question_Bank'!B527</f>
        <v>8-12</v>
      </c>
      <c r="C535" t="str" s="97" cm="1">
        <f t="array" ref="C535">'Question_Bank'!C527</f>
        <v>Validity &amp; Readiness</v>
      </c>
      <c r="D535" t="str" s="97" cm="1">
        <f t="array" ref="D535">'Question_Bank'!D527</f>
        <v>Validity</v>
      </c>
      <c r="E535" t="str" s="97" cm="1">
        <f t="array" ref="E535">'Question_Bank'!E527</f>
        <v>Validity</v>
      </c>
      <c r="F535" t="str" s="97" cm="1">
        <f t="array" ref="F535">'Question_Bank'!F527</f>
        <v>Likert</v>
      </c>
      <c r="G535" t="str" s="97" cm="1">
        <f t="array" ref="G535">'Question_Bank'!G527</f>
        <v>I rushed through the test.</v>
      </c>
      <c r="H535" s="131" cm="1">
        <f t="array" ref="H535">'Question_Bank'!H527</f>
        <v>0</v>
      </c>
      <c r="I535" s="131" cm="1">
        <f t="array" ref="I535">'Question_Bank'!I527</f>
        <v>0</v>
      </c>
      <c r="J535" s="131" cm="1">
        <f t="array" ref="J535">'Question_Bank'!J527</f>
        <v>0</v>
      </c>
      <c r="K535" s="131" cm="1">
        <f t="array" ref="K535">'Question_Bank'!K527</f>
        <v>0</v>
      </c>
      <c r="L535" s="131" cm="1">
        <f t="array" ref="L535">'Question_Bank'!L527</f>
        <v>0</v>
      </c>
      <c r="M535" s="132"/>
      <c r="N535" t="str" s="97" cm="1">
        <f t="array" ref="N535">IF(M535="","",IF(F535="MCQ",IF(UPPER(M535)=UPPER(L535),1,0),IF(O535="Yes",6-VALUE(M535),VALUE(M535))))</f>
      </c>
      <c r="O535" t="str" s="97" cm="1">
        <f t="array" ref="O535">'Question_Bank'!N527</f>
        <v>Yes</v>
      </c>
      <c r="P535" s="133" cm="1">
        <f t="array" ref="P535">IF(F535="MCQ",1,5)</f>
        <v>5</v>
      </c>
    </row>
    <row r="536" ht="42" customHeight="1">
      <c r="A536" t="str" s="130" cm="1">
        <f t="array" ref="A536">'Question_Bank'!A528</f>
        <v>NPI0524</v>
      </c>
      <c r="B536" t="str" s="97" cm="1">
        <f t="array" ref="B536">'Question_Bank'!B528</f>
        <v>8-12</v>
      </c>
      <c r="C536" t="str" s="97" cm="1">
        <f t="array" ref="C536">'Question_Bank'!C528</f>
        <v>Validity &amp; Readiness</v>
      </c>
      <c r="D536" t="str" s="97" cm="1">
        <f t="array" ref="D536">'Question_Bank'!D528</f>
        <v>Validity</v>
      </c>
      <c r="E536" t="str" s="97" cm="1">
        <f t="array" ref="E536">'Question_Bank'!E528</f>
        <v>Validity</v>
      </c>
      <c r="F536" t="str" s="97" cm="1">
        <f t="array" ref="F536">'Question_Bank'!F528</f>
        <v>Likert</v>
      </c>
      <c r="G536" t="str" s="97" cm="1">
        <f t="array" ref="G536">'Question_Bank'!G528</f>
        <v>I felt safe answering honestly.</v>
      </c>
      <c r="H536" s="131" cm="1">
        <f t="array" ref="H536">'Question_Bank'!H528</f>
        <v>0</v>
      </c>
      <c r="I536" s="131" cm="1">
        <f t="array" ref="I536">'Question_Bank'!I528</f>
        <v>0</v>
      </c>
      <c r="J536" s="131" cm="1">
        <f t="array" ref="J536">'Question_Bank'!J528</f>
        <v>0</v>
      </c>
      <c r="K536" s="131" cm="1">
        <f t="array" ref="K536">'Question_Bank'!K528</f>
        <v>0</v>
      </c>
      <c r="L536" s="131" cm="1">
        <f t="array" ref="L536">'Question_Bank'!L528</f>
        <v>0</v>
      </c>
      <c r="M536" s="132"/>
      <c r="N536" t="str" s="97" cm="1">
        <f t="array" ref="N536">IF(M536="","",IF(F536="MCQ",IF(UPPER(M536)=UPPER(L536),1,0),IF(O536="Yes",6-VALUE(M536),VALUE(M536))))</f>
      </c>
      <c r="O536" t="str" s="97" cm="1">
        <f t="array" ref="O536">'Question_Bank'!N528</f>
        <v>No</v>
      </c>
      <c r="P536" s="133" cm="1">
        <f t="array" ref="P536">IF(F536="MCQ",1,5)</f>
        <v>5</v>
      </c>
    </row>
    <row r="537" ht="42" customHeight="1">
      <c r="A537" t="str" s="130" cm="1">
        <f t="array" ref="A537">'Question_Bank'!A529</f>
        <v>NPI0525</v>
      </c>
      <c r="B537" t="str" s="97" cm="1">
        <f t="array" ref="B537">'Question_Bank'!B529</f>
        <v>8-12</v>
      </c>
      <c r="C537" t="str" s="97" cm="1">
        <f t="array" ref="C537">'Question_Bank'!C529</f>
        <v>Validity &amp; Readiness</v>
      </c>
      <c r="D537" t="str" s="97" cm="1">
        <f t="array" ref="D537">'Question_Bank'!D529</f>
        <v>Validity</v>
      </c>
      <c r="E537" t="str" s="97" cm="1">
        <f t="array" ref="E537">'Question_Bank'!E529</f>
        <v>Validity</v>
      </c>
      <c r="F537" t="str" s="97" cm="1">
        <f t="array" ref="F537">'Question_Bank'!F529</f>
        <v>Likert</v>
      </c>
      <c r="G537" t="str" s="97" cm="1">
        <f t="array" ref="G537">'Question_Bank'!G529</f>
        <v>I would like to discuss my results with a counselor.</v>
      </c>
      <c r="H537" s="131" cm="1">
        <f t="array" ref="H537">'Question_Bank'!H529</f>
        <v>0</v>
      </c>
      <c r="I537" s="131" cm="1">
        <f t="array" ref="I537">'Question_Bank'!I529</f>
        <v>0</v>
      </c>
      <c r="J537" s="131" cm="1">
        <f t="array" ref="J537">'Question_Bank'!J529</f>
        <v>0</v>
      </c>
      <c r="K537" s="131" cm="1">
        <f t="array" ref="K537">'Question_Bank'!K529</f>
        <v>0</v>
      </c>
      <c r="L537" s="131" cm="1">
        <f t="array" ref="L537">'Question_Bank'!L529</f>
        <v>0</v>
      </c>
      <c r="M537" s="132"/>
      <c r="N537" t="str" s="97" cm="1">
        <f t="array" ref="N537">IF(M537="","",IF(F537="MCQ",IF(UPPER(M537)=UPPER(L537),1,0),IF(O537="Yes",6-VALUE(M537),VALUE(M537))))</f>
      </c>
      <c r="O537" t="str" s="97" cm="1">
        <f t="array" ref="O537">'Question_Bank'!N529</f>
        <v>No</v>
      </c>
      <c r="P537" s="133" cm="1">
        <f t="array" ref="P537">IF(F537="MCQ",1,5)</f>
        <v>5</v>
      </c>
    </row>
  </sheetData>
  <mergeCells count="2">
    <mergeCell ref="A2:H2"/>
    <mergeCell ref="A1:H1"/>
  </mergeCells>
  <dataValidations count="1">
    <dataValidation type="list" allowBlank="1" showInputMessage="1" showErrorMessage="1" sqref="M12:M537">
      <formula1>"1,2,3,4,5,A,B,C,D"</formula1>
    </dataValidation>
  </dataValidations>
  <pageMargins left="0.75" right="0.75" top="1" bottom="1" header="0.5" footer="0.5"/>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6.xml><?xml version="1.0" encoding="utf-8"?>
<worksheet xmlns:r="http://schemas.openxmlformats.org/officeDocument/2006/relationships" xmlns="http://schemas.openxmlformats.org/spreadsheetml/2006/main">
  <dimension ref="A1:H32"/>
  <sheetViews>
    <sheetView workbookViewId="0" showGridLines="0" defaultGridColor="1"/>
  </sheetViews>
  <sheetFormatPr defaultColWidth="8.83333" defaultRowHeight="15" customHeight="1" outlineLevelRow="0" outlineLevelCol="0"/>
  <cols>
    <col min="1" max="1" width="26" style="134" customWidth="1"/>
    <col min="2" max="2" width="22" style="134" customWidth="1"/>
    <col min="3" max="5" width="12" style="134" customWidth="1"/>
    <col min="6" max="6" width="14" style="134" customWidth="1"/>
    <col min="7" max="7" width="70" style="134" customWidth="1"/>
    <col min="8" max="8" width="8.85156" style="134" customWidth="1"/>
    <col min="9" max="16384" width="8.85156" style="134" customWidth="1"/>
  </cols>
  <sheetData>
    <row r="1" ht="18.4" customHeight="1">
      <c r="A1" t="s" s="7">
        <v>3024</v>
      </c>
      <c r="B1" s="8"/>
      <c r="C1" s="8"/>
      <c r="D1" s="8"/>
      <c r="E1" s="8"/>
      <c r="F1" s="8"/>
      <c r="G1" s="8"/>
      <c r="H1" s="9"/>
    </row>
    <row r="2" ht="17.45" customHeight="1">
      <c r="A2" t="s" s="87">
        <v>3025</v>
      </c>
      <c r="B2" s="11"/>
      <c r="C2" s="11"/>
      <c r="D2" s="11"/>
      <c r="E2" s="11"/>
      <c r="F2" s="11"/>
      <c r="G2" s="11"/>
      <c r="H2" s="12"/>
    </row>
    <row r="3" ht="17.45" customHeight="1">
      <c r="A3" s="13"/>
      <c r="B3" s="14"/>
      <c r="C3" s="14"/>
      <c r="D3" s="14"/>
      <c r="E3" s="14"/>
      <c r="F3" s="14"/>
      <c r="G3" s="14"/>
      <c r="H3" s="15"/>
    </row>
    <row r="4" ht="17.95" customHeight="1">
      <c r="A4" t="s" s="123">
        <v>68</v>
      </c>
      <c r="B4" t="s" s="124">
        <v>69</v>
      </c>
      <c r="C4" t="s" s="124">
        <v>3026</v>
      </c>
      <c r="D4" t="s" s="124">
        <v>1632</v>
      </c>
      <c r="E4" t="s" s="124">
        <v>3027</v>
      </c>
      <c r="F4" t="s" s="124">
        <v>3028</v>
      </c>
      <c r="G4" t="s" s="124">
        <v>3029</v>
      </c>
      <c r="H4" s="135"/>
    </row>
    <row r="5" ht="17.95" customHeight="1">
      <c r="A5" t="s" s="136">
        <v>239</v>
      </c>
      <c r="B5" t="s" s="137">
        <v>74</v>
      </c>
      <c r="C5" s="138" cm="1">
        <f t="array" ref="C5">_xlfn.SUMIFS('Student_Responses'!$N1:$N537,'Student_Responses'!$E1:$E537,B5,'Student_Responses'!$C1:$C537,A5)</f>
        <v>0</v>
      </c>
      <c r="D5" s="138" cm="1">
        <f t="array" ref="D5">_xlfn.SUMIFS('Student_Responses'!$P1:$P537,'Student_Responses'!$E1:$E537,B5,'Student_Responses'!$C1:$C537,A5)</f>
        <v>75</v>
      </c>
      <c r="E5" s="139" cm="1">
        <f t="array" ref="E5">IF(D5=0,"",C5/D5)</f>
        <v>0</v>
      </c>
      <c r="F5" t="str" s="140" cm="1">
        <f t="array" ref="F5">IF(E5="","",IF(E5&lt;0.4,"Low",IF(E5&lt;0.7,"Moderate","High")))</f>
        <v>Low</v>
      </c>
      <c r="G5" t="str" s="140">
        <v>Practical exposure needed before hands-on pathways are recommended.</v>
      </c>
      <c r="H5" s="141"/>
    </row>
    <row r="6" ht="17.45" customHeight="1">
      <c r="A6" t="s" s="142">
        <v>239</v>
      </c>
      <c r="B6" t="s" s="17">
        <v>79</v>
      </c>
      <c r="C6" s="143" cm="1">
        <f t="array" ref="C6">_xlfn.SUMIFS('Student_Responses'!$N1:$N537,'Student_Responses'!$E1:$E537,B6,'Student_Responses'!$C1:$C537,A6)</f>
        <v>0</v>
      </c>
      <c r="D6" s="143" cm="1">
        <f t="array" ref="D6">_xlfn.SUMIFS('Student_Responses'!$P1:$P537,'Student_Responses'!$E1:$E537,B6,'Student_Responses'!$C1:$C537,A6)</f>
        <v>75</v>
      </c>
      <c r="E6" s="144" cm="1">
        <f t="array" ref="E6">IF(D6=0,"",C6/D6)</f>
        <v>0</v>
      </c>
      <c r="F6" t="str" s="145" cm="1">
        <f t="array" ref="F6">IF(E6="","",IF(E6&lt;0.4,"Low",IF(E6&lt;0.7,"Moderate","High")))</f>
        <v>Low</v>
      </c>
      <c r="G6" t="str" s="145">
        <v>Needs guided curiosity-building.</v>
      </c>
      <c r="H6" s="146"/>
    </row>
    <row r="7" ht="17.45" customHeight="1">
      <c r="A7" t="s" s="142">
        <v>239</v>
      </c>
      <c r="B7" t="s" s="17">
        <v>84</v>
      </c>
      <c r="C7" s="143" cm="1">
        <f t="array" ref="C7">_xlfn.SUMIFS('Student_Responses'!$N1:$N537,'Student_Responses'!$E1:$E537,B7,'Student_Responses'!$C1:$C537,A7)</f>
        <v>0</v>
      </c>
      <c r="D7" s="143" cm="1">
        <f t="array" ref="D7">_xlfn.SUMIFS('Student_Responses'!$P1:$P537,'Student_Responses'!$E1:$E537,B7,'Student_Responses'!$C1:$C537,A7)</f>
        <v>75</v>
      </c>
      <c r="E7" s="144" cm="1">
        <f t="array" ref="E7">IF(D7=0,"",C7/D7)</f>
        <v>0</v>
      </c>
      <c r="F7" t="str" s="145" cm="1">
        <f t="array" ref="F7">IF(E7="","",IF(E7&lt;0.4,"Low",IF(E7&lt;0.7,"Moderate","High")))</f>
        <v>Low</v>
      </c>
      <c r="G7" t="str" s="145">
        <v>Creative interests not currently dominant.</v>
      </c>
      <c r="H7" s="146"/>
    </row>
    <row r="8" ht="17.45" customHeight="1">
      <c r="A8" t="s" s="142">
        <v>239</v>
      </c>
      <c r="B8" t="s" s="17">
        <v>89</v>
      </c>
      <c r="C8" s="143" cm="1">
        <f t="array" ref="C8">_xlfn.SUMIFS('Student_Responses'!$N1:$N537,'Student_Responses'!$E1:$E537,B8,'Student_Responses'!$C1:$C537,A8)</f>
        <v>0</v>
      </c>
      <c r="D8" s="143" cm="1">
        <f t="array" ref="D8">_xlfn.SUMIFS('Student_Responses'!$P1:$P537,'Student_Responses'!$E1:$E537,B8,'Student_Responses'!$C1:$C537,A8)</f>
        <v>75</v>
      </c>
      <c r="E8" s="144" cm="1">
        <f t="array" ref="E8">IF(D8=0,"",C8/D8)</f>
        <v>0</v>
      </c>
      <c r="F8" t="str" s="145" cm="1">
        <f t="array" ref="F8">IF(E8="","",IF(E8&lt;0.4,"Low",IF(E8&lt;0.7,"Moderate","High")))</f>
        <v>Low</v>
      </c>
      <c r="G8" t="str" s="145">
        <v>May prefer independent work.</v>
      </c>
      <c r="H8" s="146"/>
    </row>
    <row r="9" ht="17.45" customHeight="1">
      <c r="A9" t="s" s="142">
        <v>239</v>
      </c>
      <c r="B9" t="s" s="17">
        <v>94</v>
      </c>
      <c r="C9" s="143" cm="1">
        <f t="array" ref="C9">_xlfn.SUMIFS('Student_Responses'!$N1:$N537,'Student_Responses'!$E1:$E537,B9,'Student_Responses'!$C1:$C537,A9)</f>
        <v>0</v>
      </c>
      <c r="D9" s="143" cm="1">
        <f t="array" ref="D9">_xlfn.SUMIFS('Student_Responses'!$P1:$P537,'Student_Responses'!$E1:$E537,B9,'Student_Responses'!$C1:$C537,A9)</f>
        <v>75</v>
      </c>
      <c r="E9" s="144" cm="1">
        <f t="array" ref="E9">IF(D9=0,"",C9/D9)</f>
        <v>0</v>
      </c>
      <c r="F9" t="str" s="145" cm="1">
        <f t="array" ref="F9">IF(E9="","",IF(E9&lt;0.4,"Low",IF(E9&lt;0.7,"Moderate","High")))</f>
        <v>Low</v>
      </c>
      <c r="G9" t="str" s="145">
        <v>May prefer non-leadership roles initially.</v>
      </c>
      <c r="H9" s="146"/>
    </row>
    <row r="10" ht="17.45" customHeight="1">
      <c r="A10" t="s" s="142">
        <v>239</v>
      </c>
      <c r="B10" t="s" s="17">
        <v>99</v>
      </c>
      <c r="C10" s="143" cm="1">
        <f t="array" ref="C10">_xlfn.SUMIFS('Student_Responses'!$N1:$N537,'Student_Responses'!$E1:$E537,B10,'Student_Responses'!$C1:$C537,A10)</f>
        <v>0</v>
      </c>
      <c r="D10" s="143" cm="1">
        <f t="array" ref="D10">_xlfn.SUMIFS('Student_Responses'!$P1:$P537,'Student_Responses'!$E1:$E537,B10,'Student_Responses'!$C1:$C537,A10)</f>
        <v>75</v>
      </c>
      <c r="E10" s="144" cm="1">
        <f t="array" ref="E10">IF(D10=0,"",C10/D10)</f>
        <v>0</v>
      </c>
      <c r="F10" t="str" s="145" cm="1">
        <f t="array" ref="F10">IF(E10="","",IF(E10&lt;0.4,"Low",IF(E10&lt;0.7,"Moderate","High")))</f>
        <v>Low</v>
      </c>
      <c r="G10" t="str" s="145">
        <v>May resist routine.</v>
      </c>
      <c r="H10" s="146"/>
    </row>
    <row r="11" ht="17.45" customHeight="1">
      <c r="A11" t="s" s="142">
        <v>438</v>
      </c>
      <c r="B11" t="s" s="17">
        <v>105</v>
      </c>
      <c r="C11" s="143" cm="1">
        <f t="array" ref="C11">_xlfn.SUMIFS('Student_Responses'!$N1:$N537,'Student_Responses'!$E1:$E537,B11,'Student_Responses'!$C1:$C537,A11)</f>
        <v>0</v>
      </c>
      <c r="D11" s="143" cm="1">
        <f t="array" ref="D11">_xlfn.SUMIFS('Student_Responses'!$P1:$P537,'Student_Responses'!$E1:$E537,B11,'Student_Responses'!$C1:$C537,A11)</f>
        <v>125</v>
      </c>
      <c r="E11" s="144" cm="1">
        <f t="array" ref="E11">IF(D11=0,"",C11/D11)</f>
        <v>0</v>
      </c>
      <c r="F11" t="str" s="145" cm="1">
        <f t="array" ref="F11">IF(E11="","",IF(E11&lt;0.4,"Low",IF(E11&lt;0.7,"Moderate","High")))</f>
        <v>Low</v>
      </c>
      <c r="G11" t="str" s="145">
        <v>Prefers familiar methods.</v>
      </c>
      <c r="H11" s="146"/>
    </row>
    <row r="12" ht="17.45" customHeight="1">
      <c r="A12" t="s" s="142">
        <v>438</v>
      </c>
      <c r="B12" t="s" s="17">
        <v>110</v>
      </c>
      <c r="C12" s="143" cm="1">
        <f t="array" ref="C12">_xlfn.SUMIFS('Student_Responses'!$N1:$N537,'Student_Responses'!$E1:$E537,B12,'Student_Responses'!$C1:$C537,A12)</f>
        <v>0</v>
      </c>
      <c r="D12" s="143" cm="1">
        <f t="array" ref="D12">_xlfn.SUMIFS('Student_Responses'!$P1:$P537,'Student_Responses'!$E1:$E537,B12,'Student_Responses'!$C1:$C537,A12)</f>
        <v>125</v>
      </c>
      <c r="E12" s="144" cm="1">
        <f t="array" ref="E12">IF(D12=0,"",C12/D12)</f>
        <v>0</v>
      </c>
      <c r="F12" t="str" s="145" cm="1">
        <f t="array" ref="F12">IF(E12="","",IF(E12&lt;0.4,"Low",IF(E12&lt;0.7,"Moderate","High")))</f>
        <v>Low</v>
      </c>
      <c r="G12" t="str" s="145">
        <v>Needs routines and accountability.</v>
      </c>
      <c r="H12" s="146"/>
    </row>
    <row r="13" ht="17.45" customHeight="1">
      <c r="A13" t="s" s="142">
        <v>438</v>
      </c>
      <c r="B13" t="s" s="17">
        <v>115</v>
      </c>
      <c r="C13" s="143" cm="1">
        <f t="array" ref="C13">_xlfn.SUMIFS('Student_Responses'!$N1:$N537,'Student_Responses'!$E1:$E537,B13,'Student_Responses'!$C1:$C537,A13)</f>
        <v>0</v>
      </c>
      <c r="D13" s="143" cm="1">
        <f t="array" ref="D13">_xlfn.SUMIFS('Student_Responses'!$P1:$P537,'Student_Responses'!$E1:$E537,B13,'Student_Responses'!$C1:$C537,A13)</f>
        <v>125</v>
      </c>
      <c r="E13" s="144" cm="1">
        <f t="array" ref="E13">IF(D13=0,"",C13/D13)</f>
        <v>0</v>
      </c>
      <c r="F13" t="str" s="145" cm="1">
        <f t="array" ref="F13">IF(E13="","",IF(E13&lt;0.4,"Low",IF(E13&lt;0.7,"Moderate","High")))</f>
        <v>Low</v>
      </c>
      <c r="G13" t="str" s="145">
        <v>Prefers quiet independent work.</v>
      </c>
      <c r="H13" s="146"/>
    </row>
    <row r="14" ht="17.45" customHeight="1">
      <c r="A14" t="s" s="142">
        <v>438</v>
      </c>
      <c r="B14" t="s" s="17">
        <v>120</v>
      </c>
      <c r="C14" s="143" cm="1">
        <f t="array" ref="C14">_xlfn.SUMIFS('Student_Responses'!$N1:$N537,'Student_Responses'!$E1:$E537,B14,'Student_Responses'!$C1:$C537,A14)</f>
        <v>0</v>
      </c>
      <c r="D14" s="143" cm="1">
        <f t="array" ref="D14">_xlfn.SUMIFS('Student_Responses'!$P1:$P537,'Student_Responses'!$E1:$E537,B14,'Student_Responses'!$C1:$C537,A14)</f>
        <v>125</v>
      </c>
      <c r="E14" s="144" cm="1">
        <f t="array" ref="E14">IF(D14=0,"",C14/D14)</f>
        <v>0</v>
      </c>
      <c r="F14" t="str" s="145" cm="1">
        <f t="array" ref="F14">IF(E14="","",IF(E14&lt;0.4,"Low",IF(E14&lt;0.7,"Moderate","High")))</f>
        <v>Low</v>
      </c>
      <c r="G14" t="str" s="145">
        <v>May be direct or competitive.</v>
      </c>
      <c r="H14" s="146"/>
    </row>
    <row r="15" ht="17.45" customHeight="1">
      <c r="A15" t="s" s="142">
        <v>438</v>
      </c>
      <c r="B15" t="s" s="17">
        <v>125</v>
      </c>
      <c r="C15" s="143" cm="1">
        <f t="array" ref="C15">_xlfn.SUMIFS('Student_Responses'!$N1:$N537,'Student_Responses'!$E1:$E537,B15,'Student_Responses'!$C1:$C537,A15)</f>
        <v>0</v>
      </c>
      <c r="D15" s="143" cm="1">
        <f t="array" ref="D15">_xlfn.SUMIFS('Student_Responses'!$P1:$P537,'Student_Responses'!$E1:$E537,B15,'Student_Responses'!$C1:$C537,A15)</f>
        <v>125</v>
      </c>
      <c r="E15" s="144" cm="1">
        <f t="array" ref="E15">IF(D15=0,"",C15/D15)</f>
        <v>0</v>
      </c>
      <c r="F15" t="str" s="145" cm="1">
        <f t="array" ref="F15">IF(E15="","",IF(E15&lt;0.4,"Low",IF(E15&lt;0.7,"Moderate","High")))</f>
        <v>Low</v>
      </c>
      <c r="G15" t="str" s="145">
        <v>Emotionally steady under pressure.</v>
      </c>
      <c r="H15" s="146"/>
    </row>
    <row r="16" ht="17.45" customHeight="1">
      <c r="A16" t="s" s="142">
        <v>697</v>
      </c>
      <c r="B16" t="s" s="17">
        <v>131</v>
      </c>
      <c r="C16" s="143" cm="1">
        <f t="array" ref="C16">_xlfn.SUMIFS('Student_Responses'!$N1:$N537,'Student_Responses'!$E1:$E537,B16,'Student_Responses'!$C1:$C537,A16)</f>
        <v>0</v>
      </c>
      <c r="D16" s="143" cm="1">
        <f t="array" ref="D16">_xlfn.SUMIFS('Student_Responses'!$P1:$P537,'Student_Responses'!$E1:$E537,B16,'Student_Responses'!$C1:$C537,A16)</f>
        <v>20</v>
      </c>
      <c r="E16" s="144" cm="1">
        <f t="array" ref="E16">IF(D16=0,"",C16/D16)</f>
        <v>0</v>
      </c>
      <c r="F16" t="str" s="145" cm="1">
        <f t="array" ref="F16">IF(E16="","",IF(E16&lt;0.4,"Low",IF(E16&lt;0.7,"Moderate","High")))</f>
        <v>Low</v>
      </c>
      <c r="G16" t="str" s="145">
        <v>Needs step-by-step reasoning support.</v>
      </c>
      <c r="H16" s="146"/>
    </row>
    <row r="17" ht="17.45" customHeight="1">
      <c r="A17" t="s" s="142">
        <v>697</v>
      </c>
      <c r="B17" t="s" s="17">
        <v>136</v>
      </c>
      <c r="C17" s="143" cm="1">
        <f t="array" ref="C17">_xlfn.SUMIFS('Student_Responses'!$N1:$N537,'Student_Responses'!$E1:$E537,B17,'Student_Responses'!$C1:$C537,A17)</f>
        <v>0</v>
      </c>
      <c r="D17" s="143" cm="1">
        <f t="array" ref="D17">_xlfn.SUMIFS('Student_Responses'!$P1:$P537,'Student_Responses'!$E1:$E537,B17,'Student_Responses'!$C1:$C537,A17)</f>
        <v>20</v>
      </c>
      <c r="E17" s="144" cm="1">
        <f t="array" ref="E17">IF(D17=0,"",C17/D17)</f>
        <v>0</v>
      </c>
      <c r="F17" t="str" s="145" cm="1">
        <f t="array" ref="F17">IF(E17="","",IF(E17&lt;0.4,"Low",IF(E17&lt;0.7,"Moderate","High")))</f>
        <v>Low</v>
      </c>
      <c r="G17" t="str" s="145">
        <v>Needs number confidence practice.</v>
      </c>
      <c r="H17" s="146"/>
    </row>
    <row r="18" ht="17.45" customHeight="1">
      <c r="A18" t="s" s="142">
        <v>697</v>
      </c>
      <c r="B18" t="s" s="17">
        <v>141</v>
      </c>
      <c r="C18" s="143" cm="1">
        <f t="array" ref="C18">_xlfn.SUMIFS('Student_Responses'!$N1:$N537,'Student_Responses'!$E1:$E537,B18,'Student_Responses'!$C1:$C537,A18)</f>
        <v>0</v>
      </c>
      <c r="D18" s="143" cm="1">
        <f t="array" ref="D18">_xlfn.SUMIFS('Student_Responses'!$P1:$P537,'Student_Responses'!$E1:$E537,B18,'Student_Responses'!$C1:$C537,A18)</f>
        <v>20</v>
      </c>
      <c r="E18" s="144" cm="1">
        <f t="array" ref="E18">IF(D18=0,"",C18/D18)</f>
        <v>0</v>
      </c>
      <c r="F18" t="str" s="145" cm="1">
        <f t="array" ref="F18">IF(E18="","",IF(E18&lt;0.4,"Low",IF(E18&lt;0.7,"Moderate","High")))</f>
        <v>Low</v>
      </c>
      <c r="G18" t="str" s="145">
        <v>Needs vocabulary/comprehension support.</v>
      </c>
      <c r="H18" s="146"/>
    </row>
    <row r="19" ht="17.45" customHeight="1">
      <c r="A19" t="s" s="142">
        <v>697</v>
      </c>
      <c r="B19" t="s" s="17">
        <v>146</v>
      </c>
      <c r="C19" s="143" cm="1">
        <f t="array" ref="C19">_xlfn.SUMIFS('Student_Responses'!$N1:$N537,'Student_Responses'!$E1:$E537,B19,'Student_Responses'!$C1:$C537,A19)</f>
        <v>0</v>
      </c>
      <c r="D19" s="143" cm="1">
        <f t="array" ref="D19">_xlfn.SUMIFS('Student_Responses'!$P1:$P537,'Student_Responses'!$E1:$E537,B19,'Student_Responses'!$C1:$C537,A19)</f>
        <v>20</v>
      </c>
      <c r="E19" s="144" cm="1">
        <f t="array" ref="E19">IF(D19=0,"",C19/D19)</f>
        <v>0</v>
      </c>
      <c r="F19" t="str" s="145" cm="1">
        <f t="array" ref="F19">IF(E19="","",IF(E19&lt;0.4,"Low",IF(E19&lt;0.7,"Moderate","High")))</f>
        <v>Low</v>
      </c>
      <c r="G19" t="str" s="145">
        <v>Needs pattern-thinking practice.</v>
      </c>
      <c r="H19" s="146"/>
    </row>
    <row r="20" ht="17.45" customHeight="1">
      <c r="A20" t="s" s="142">
        <v>697</v>
      </c>
      <c r="B20" t="s" s="17">
        <v>151</v>
      </c>
      <c r="C20" s="143" cm="1">
        <f t="array" ref="C20">_xlfn.SUMIFS('Student_Responses'!$N1:$N537,'Student_Responses'!$E1:$E537,B20,'Student_Responses'!$C1:$C537,A20)</f>
        <v>0</v>
      </c>
      <c r="D20" s="143" cm="1">
        <f t="array" ref="D20">_xlfn.SUMIFS('Student_Responses'!$P1:$P537,'Student_Responses'!$E1:$E537,B20,'Student_Responses'!$C1:$C537,A20)</f>
        <v>20</v>
      </c>
      <c r="E20" s="144" cm="1">
        <f t="array" ref="E20">IF(D20=0,"",C20/D20)</f>
        <v>0</v>
      </c>
      <c r="F20" t="str" s="145" cm="1">
        <f t="array" ref="F20">IF(E20="","",IF(E20&lt;0.4,"Low",IF(E20&lt;0.7,"Moderate","High")))</f>
        <v>Low</v>
      </c>
      <c r="G20" t="str" s="145">
        <v>Needs visual-spatial practice.</v>
      </c>
      <c r="H20" s="146"/>
    </row>
    <row r="21" ht="17.45" customHeight="1">
      <c r="A21" t="s" s="142">
        <v>1189</v>
      </c>
      <c r="B21" t="s" s="17">
        <v>157</v>
      </c>
      <c r="C21" s="143" cm="1">
        <f t="array" ref="C21">_xlfn.SUMIFS('Student_Responses'!$N1:$N537,'Student_Responses'!$E1:$E537,B21,'Student_Responses'!$C1:$C537,A21)</f>
        <v>0</v>
      </c>
      <c r="D21" s="143" cm="1">
        <f t="array" ref="D21">_xlfn.SUMIFS('Student_Responses'!$P1:$P537,'Student_Responses'!$E1:$E537,B21,'Student_Responses'!$C1:$C537,A21)</f>
        <v>100</v>
      </c>
      <c r="E21" s="144" cm="1">
        <f t="array" ref="E21">IF(D21=0,"",C21/D21)</f>
        <v>0</v>
      </c>
      <c r="F21" t="str" s="145" cm="1">
        <f t="array" ref="F21">IF(E21="","",IF(E21&lt;0.4,"Low",IF(E21&lt;0.7,"Moderate","High")))</f>
        <v>Low</v>
      </c>
      <c r="G21" t="str" s="145">
        <v>Low reported stress.</v>
      </c>
      <c r="H21" s="146"/>
    </row>
    <row r="22" ht="17.45" customHeight="1">
      <c r="A22" t="s" s="142">
        <v>1189</v>
      </c>
      <c r="B22" t="s" s="17">
        <v>162</v>
      </c>
      <c r="C22" s="143" cm="1">
        <f t="array" ref="C22">_xlfn.SUMIFS('Student_Responses'!$N1:$N537,'Student_Responses'!$E1:$E537,B22,'Student_Responses'!$C1:$C537,A22)</f>
        <v>0</v>
      </c>
      <c r="D22" s="143" cm="1">
        <f t="array" ref="D22">_xlfn.SUMIFS('Student_Responses'!$P1:$P537,'Student_Responses'!$E1:$E537,B22,'Student_Responses'!$C1:$C537,A22)</f>
        <v>100</v>
      </c>
      <c r="E22" s="144" cm="1">
        <f t="array" ref="E22">IF(D22=0,"",C22/D22)</f>
        <v>0</v>
      </c>
      <c r="F22" t="str" s="145" cm="1">
        <f t="array" ref="F22">IF(E22="","",IF(E22&lt;0.4,"Low",IF(E22&lt;0.7,"Moderate","High")))</f>
        <v>Low</v>
      </c>
      <c r="G22" t="str" s="145">
        <v>Low confidence; may understate ability.</v>
      </c>
      <c r="H22" s="146"/>
    </row>
    <row r="23" ht="17.45" customHeight="1">
      <c r="A23" t="s" s="142">
        <v>1189</v>
      </c>
      <c r="B23" t="s" s="17">
        <v>167</v>
      </c>
      <c r="C23" s="143" cm="1">
        <f t="array" ref="C23">_xlfn.SUMIFS('Student_Responses'!$N1:$N537,'Student_Responses'!$E1:$E537,B23,'Student_Responses'!$C1:$C537,A23)</f>
        <v>0</v>
      </c>
      <c r="D23" s="143" cm="1">
        <f t="array" ref="D23">_xlfn.SUMIFS('Student_Responses'!$P1:$P537,'Student_Responses'!$E1:$E537,B23,'Student_Responses'!$C1:$C537,A23)</f>
        <v>100</v>
      </c>
      <c r="E23" s="144" cm="1">
        <f t="array" ref="E23">IF(D23=0,"",C23/D23)</f>
        <v>0</v>
      </c>
      <c r="F23" t="str" s="145" cm="1">
        <f t="array" ref="F23">IF(E23="","",IF(E23&lt;0.4,"Low",IF(E23&lt;0.7,"Moderate","High")))</f>
        <v>Low</v>
      </c>
      <c r="G23" t="str" s="145">
        <v>May give up quickly after setbacks.</v>
      </c>
      <c r="H23" s="146"/>
    </row>
    <row r="24" ht="17.45" customHeight="1">
      <c r="A24" t="s" s="142">
        <v>1189</v>
      </c>
      <c r="B24" t="s" s="17">
        <v>172</v>
      </c>
      <c r="C24" s="143" cm="1">
        <f t="array" ref="C24">_xlfn.SUMIFS('Student_Responses'!$N1:$N537,'Student_Responses'!$E1:$E537,B24,'Student_Responses'!$C1:$C537,A24)</f>
        <v>0</v>
      </c>
      <c r="D24" s="143" cm="1">
        <f t="array" ref="D24">_xlfn.SUMIFS('Student_Responses'!$P1:$P537,'Student_Responses'!$E1:$E537,B24,'Student_Responses'!$C1:$C537,A24)</f>
        <v>100</v>
      </c>
      <c r="E24" s="144" cm="1">
        <f t="array" ref="E24">IF(D24=0,"",C24/D24)</f>
        <v>0</v>
      </c>
      <c r="F24" t="str" s="145" cm="1">
        <f t="array" ref="F24">IF(E24="","",IF(E24&lt;0.4,"Low",IF(E24&lt;0.7,"Moderate","High")))</f>
        <v>Low</v>
      </c>
      <c r="G24" t="str" s="145">
        <v>Needs healthier coping strategies.</v>
      </c>
      <c r="H24" s="146"/>
    </row>
    <row r="25" ht="17.45" customHeight="1">
      <c r="A25" t="s" s="142">
        <v>1353</v>
      </c>
      <c r="B25" t="s" s="17">
        <v>178</v>
      </c>
      <c r="C25" s="143" cm="1">
        <f t="array" ref="C25">_xlfn.SUMIFS('Student_Responses'!$N1:$N537,'Student_Responses'!$E1:$E537,B25,'Student_Responses'!$C1:$C537,A25)</f>
        <v>0</v>
      </c>
      <c r="D25" s="143" cm="1">
        <f t="array" ref="D25">_xlfn.SUMIFS('Student_Responses'!$P1:$P537,'Student_Responses'!$E1:$E537,B25,'Student_Responses'!$C1:$C537,A25)</f>
        <v>75</v>
      </c>
      <c r="E25" s="144" cm="1">
        <f t="array" ref="E25">IF(D25=0,"",C25/D25)</f>
        <v>0</v>
      </c>
      <c r="F25" t="str" s="145" cm="1">
        <f t="array" ref="F25">IF(E25="","",IF(E25&lt;0.4,"Low",IF(E25&lt;0.7,"Moderate","High")))</f>
        <v>Low</v>
      </c>
      <c r="G25" t="str" s="145">
        <v>Visual mode not dominant.</v>
      </c>
      <c r="H25" s="146"/>
    </row>
    <row r="26" ht="17.45" customHeight="1">
      <c r="A26" t="s" s="142">
        <v>1353</v>
      </c>
      <c r="B26" t="s" s="17">
        <v>183</v>
      </c>
      <c r="C26" s="143" cm="1">
        <f t="array" ref="C26">_xlfn.SUMIFS('Student_Responses'!$N1:$N537,'Student_Responses'!$E1:$E537,B26,'Student_Responses'!$C1:$C537,A26)</f>
        <v>0</v>
      </c>
      <c r="D26" s="143" cm="1">
        <f t="array" ref="D26">_xlfn.SUMIFS('Student_Responses'!$P1:$P537,'Student_Responses'!$E1:$E537,B26,'Student_Responses'!$C1:$C537,A26)</f>
        <v>75</v>
      </c>
      <c r="E26" s="144" cm="1">
        <f t="array" ref="E26">IF(D26=0,"",C26/D26)</f>
        <v>0</v>
      </c>
      <c r="F26" t="str" s="145" cm="1">
        <f t="array" ref="F26">IF(E26="","",IF(E26&lt;0.4,"Low",IF(E26&lt;0.7,"Moderate","High")))</f>
        <v>Low</v>
      </c>
      <c r="G26" t="str" s="145">
        <v>Listening mode not dominant.</v>
      </c>
      <c r="H26" s="146"/>
    </row>
    <row r="27" ht="17.45" customHeight="1">
      <c r="A27" t="s" s="142">
        <v>1353</v>
      </c>
      <c r="B27" t="s" s="17">
        <v>188</v>
      </c>
      <c r="C27" s="143" cm="1">
        <f t="array" ref="C27">_xlfn.SUMIFS('Student_Responses'!$N1:$N537,'Student_Responses'!$E1:$E537,B27,'Student_Responses'!$C1:$C537,A27)</f>
        <v>0</v>
      </c>
      <c r="D27" s="143" cm="1">
        <f t="array" ref="D27">_xlfn.SUMIFS('Student_Responses'!$P1:$P537,'Student_Responses'!$E1:$E537,B27,'Student_Responses'!$C1:$C537,A27)</f>
        <v>75</v>
      </c>
      <c r="E27" s="144" cm="1">
        <f t="array" ref="E27">IF(D27=0,"",C27/D27)</f>
        <v>0</v>
      </c>
      <c r="F27" t="str" s="145" cm="1">
        <f t="array" ref="F27">IF(E27="","",IF(E27&lt;0.4,"Low",IF(E27&lt;0.7,"Moderate","High")))</f>
        <v>Low</v>
      </c>
      <c r="G27" t="str" s="145">
        <v>Hands-on learning not dominant.</v>
      </c>
      <c r="H27" s="146"/>
    </row>
    <row r="28" ht="17.45" customHeight="1">
      <c r="A28" t="s" s="142">
        <v>1353</v>
      </c>
      <c r="B28" t="s" s="17">
        <v>193</v>
      </c>
      <c r="C28" s="143" cm="1">
        <f t="array" ref="C28">_xlfn.SUMIFS('Student_Responses'!$N1:$N537,'Student_Responses'!$E1:$E537,B28,'Student_Responses'!$C1:$C537,A28)</f>
        <v>0</v>
      </c>
      <c r="D28" s="143" cm="1">
        <f t="array" ref="D28">_xlfn.SUMIFS('Student_Responses'!$P1:$P537,'Student_Responses'!$E1:$E537,B28,'Student_Responses'!$C1:$C537,A28)</f>
        <v>75</v>
      </c>
      <c r="E28" s="144" cm="1">
        <f t="array" ref="E28">IF(D28=0,"",C28/D28)</f>
        <v>0</v>
      </c>
      <c r="F28" t="str" s="145" cm="1">
        <f t="array" ref="F28">IF(E28="","",IF(E28&lt;0.4,"Low",IF(E28&lt;0.7,"Moderate","High")))</f>
        <v>Low</v>
      </c>
      <c r="G28" t="str" s="145">
        <v>Text mode not dominant.</v>
      </c>
      <c r="H28" s="146"/>
    </row>
    <row r="29" ht="17.45" customHeight="1">
      <c r="A29" t="s" s="142">
        <v>1479</v>
      </c>
      <c r="B29" t="s" s="17">
        <v>199</v>
      </c>
      <c r="C29" s="143" cm="1">
        <f t="array" ref="C29">_xlfn.SUMIFS('Student_Responses'!$N1:$N537,'Student_Responses'!$E1:$E537,B29,'Student_Responses'!$C1:$C537,A29)</f>
        <v>0</v>
      </c>
      <c r="D29" s="143" cm="1">
        <f t="array" ref="D29">_xlfn.SUMIFS('Student_Responses'!$P1:$P537,'Student_Responses'!$E1:$E537,B29,'Student_Responses'!$C1:$C537,A29)</f>
        <v>100</v>
      </c>
      <c r="E29" s="144" cm="1">
        <f t="array" ref="E29">IF(D29=0,"",C29/D29)</f>
        <v>0</v>
      </c>
      <c r="F29" t="str" s="145" cm="1">
        <f t="array" ref="F29">IF(E29="","",IF(E29&lt;0.4,"Low",IF(E29&lt;0.7,"Moderate","High")))</f>
        <v>Low</v>
      </c>
      <c r="G29" t="str" s="145">
        <v>Needs motivation support.</v>
      </c>
      <c r="H29" s="146"/>
    </row>
    <row r="30" ht="17.45" customHeight="1">
      <c r="A30" t="s" s="142">
        <v>1479</v>
      </c>
      <c r="B30" t="s" s="17">
        <v>204</v>
      </c>
      <c r="C30" s="143" cm="1">
        <f t="array" ref="C30">_xlfn.SUMIFS('Student_Responses'!$N1:$N537,'Student_Responses'!$E1:$E537,B30,'Student_Responses'!$C1:$C537,A30)</f>
        <v>0</v>
      </c>
      <c r="D30" s="143" cm="1">
        <f t="array" ref="D30">_xlfn.SUMIFS('Student_Responses'!$P1:$P537,'Student_Responses'!$E1:$E537,B30,'Student_Responses'!$C1:$C537,A30)</f>
        <v>100</v>
      </c>
      <c r="E30" s="144" cm="1">
        <f t="array" ref="E30">IF(D30=0,"",C30/D30)</f>
        <v>0</v>
      </c>
      <c r="F30" t="str" s="145" cm="1">
        <f t="array" ref="F30">IF(E30="","",IF(E30&lt;0.4,"Low",IF(E30&lt;0.7,"Moderate","High")))</f>
        <v>Low</v>
      </c>
      <c r="G30" t="str" s="145">
        <v>Needs study routine support.</v>
      </c>
      <c r="H30" s="146"/>
    </row>
    <row r="31" ht="17.45" customHeight="1">
      <c r="A31" t="s" s="142">
        <v>1479</v>
      </c>
      <c r="B31" t="s" s="17">
        <v>209</v>
      </c>
      <c r="C31" s="143" cm="1">
        <f t="array" ref="C31">_xlfn.SUMIFS('Student_Responses'!$N1:$N537,'Student_Responses'!$E1:$E537,B31,'Student_Responses'!$C1:$C537,A31)</f>
        <v>0</v>
      </c>
      <c r="D31" s="143" cm="1">
        <f t="array" ref="D31">_xlfn.SUMIFS('Student_Responses'!$P1:$P537,'Student_Responses'!$E1:$E537,B31,'Student_Responses'!$C1:$C537,A31)</f>
        <v>100</v>
      </c>
      <c r="E31" s="144" cm="1">
        <f t="array" ref="E31">IF(D31=0,"",C31/D31)</f>
        <v>0</v>
      </c>
      <c r="F31" t="str" s="145" cm="1">
        <f t="array" ref="F31">IF(E31="","",IF(E31&lt;0.4,"Low",IF(E31&lt;0.7,"Moderate","High")))</f>
        <v>Low</v>
      </c>
      <c r="G31" t="str" s="145">
        <v>Needs exploration.</v>
      </c>
      <c r="H31" s="146"/>
    </row>
    <row r="32" ht="17.45" customHeight="1">
      <c r="A32" t="s" s="147">
        <v>1601</v>
      </c>
      <c r="B32" t="s" s="148">
        <v>214</v>
      </c>
      <c r="C32" s="149" cm="1">
        <f t="array" ref="C32">_xlfn.SUMIFS('Student_Responses'!$N1:$N537,'Student_Responses'!$E1:$E537,B32,'Student_Responses'!$C1:$C537,A32)</f>
        <v>0</v>
      </c>
      <c r="D32" s="149" cm="1">
        <f t="array" ref="D32">_xlfn.SUMIFS('Student_Responses'!$P1:$P537,'Student_Responses'!$E1:$E537,B32,'Student_Responses'!$C1:$C537,A32)</f>
        <v>50</v>
      </c>
      <c r="E32" s="150" cm="1">
        <f t="array" ref="E32">IF(D32=0,"",C32/D32)</f>
        <v>0</v>
      </c>
      <c r="F32" t="str" s="151" cm="1">
        <f t="array" ref="F32">IF(E32="","",IF(E32&lt;0.4,"Low",IF(E32&lt;0.7,"Moderate","High")))</f>
        <v>Low</v>
      </c>
      <c r="G32" t="str" s="151">
        <v>Response consistency needs review.</v>
      </c>
      <c r="H32" s="152"/>
    </row>
  </sheetData>
  <mergeCells count="2">
    <mergeCell ref="A2:H2"/>
    <mergeCell ref="A1:H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H19"/>
  <sheetViews>
    <sheetView workbookViewId="0" showGridLines="0" defaultGridColor="1"/>
  </sheetViews>
  <sheetFormatPr defaultColWidth="8.83333" defaultRowHeight="15" customHeight="1" outlineLevelRow="0" outlineLevelCol="0"/>
  <cols>
    <col min="1" max="1" width="28" style="153" customWidth="1"/>
    <col min="2" max="2" width="50" style="153" customWidth="1"/>
    <col min="3" max="4" width="16" style="153" customWidth="1"/>
    <col min="5" max="5" width="58" style="153" customWidth="1"/>
    <col min="6" max="8" width="8.85156" style="153" customWidth="1"/>
    <col min="9" max="16384" width="8.85156" style="153" customWidth="1"/>
  </cols>
  <sheetData>
    <row r="1" ht="17.45" customHeight="1">
      <c r="A1" t="s" s="84">
        <v>3059</v>
      </c>
      <c r="B1" s="8"/>
      <c r="C1" s="8"/>
      <c r="D1" s="8"/>
      <c r="E1" s="8"/>
      <c r="F1" s="8"/>
      <c r="G1" s="8"/>
      <c r="H1" s="9"/>
    </row>
    <row r="2" ht="17.45" customHeight="1">
      <c r="A2" t="s" s="87">
        <v>3060</v>
      </c>
      <c r="B2" s="11"/>
      <c r="C2" s="11"/>
      <c r="D2" s="11"/>
      <c r="E2" s="11"/>
      <c r="F2" s="11"/>
      <c r="G2" s="11"/>
      <c r="H2" s="12"/>
    </row>
    <row r="3" ht="17.45" customHeight="1">
      <c r="A3" s="13"/>
      <c r="B3" s="14"/>
      <c r="C3" s="14"/>
      <c r="D3" s="14"/>
      <c r="E3" s="14"/>
      <c r="F3" s="14"/>
      <c r="G3" s="14"/>
      <c r="H3" s="15"/>
    </row>
    <row r="4" ht="17.95" customHeight="1">
      <c r="A4" t="s" s="123">
        <v>3061</v>
      </c>
      <c r="B4" t="s" s="124">
        <v>3062</v>
      </c>
      <c r="C4" t="s" s="124">
        <v>1630</v>
      </c>
      <c r="D4" t="s" s="124">
        <v>3028</v>
      </c>
      <c r="E4" t="s" s="124">
        <v>3029</v>
      </c>
      <c r="F4" s="154"/>
      <c r="G4" s="154"/>
      <c r="H4" s="135"/>
    </row>
    <row r="5" ht="17.95" customHeight="1">
      <c r="A5" t="s" s="155">
        <v>3063</v>
      </c>
      <c r="B5" t="s" s="156">
        <v>3064</v>
      </c>
      <c r="C5" s="157" cm="1">
        <f t="array" ref="C5">MAX('Score_Summary'!E5:E10)</f>
        <v>0</v>
      </c>
      <c r="D5" t="str" s="158" cm="1">
        <f t="array" ref="D5">IF(C5&lt;0.4,"Low",IF(C5&lt;0.7,"Moderate","High"))</f>
        <v>Low</v>
      </c>
      <c r="E5" t="s" s="156">
        <v>3065</v>
      </c>
      <c r="F5" s="158"/>
      <c r="G5" s="158"/>
      <c r="H5" s="159"/>
    </row>
    <row r="6" ht="17.45" customHeight="1">
      <c r="A6" t="s" s="160">
        <v>3066</v>
      </c>
      <c r="B6" t="s" s="161">
        <v>3067</v>
      </c>
      <c r="C6" s="162" cm="1">
        <f t="array" ref="C6">AVERAGE('Score_Summary'!E11:E14,1-'Score_Summary'!E15)</f>
        <v>0.2</v>
      </c>
      <c r="D6" t="str" s="14" cm="1">
        <f t="array" ref="D6">IF(C6&lt;0.4,"Low",IF(C6&lt;0.7,"Moderate","High"))</f>
        <v>Low</v>
      </c>
      <c r="E6" t="s" s="161">
        <v>3068</v>
      </c>
      <c r="F6" s="14"/>
      <c r="G6" s="14"/>
      <c r="H6" s="15"/>
    </row>
    <row r="7" ht="17.45" customHeight="1">
      <c r="A7" t="s" s="160">
        <v>3069</v>
      </c>
      <c r="B7" t="s" s="161">
        <v>3070</v>
      </c>
      <c r="C7" s="162" cm="1">
        <f t="array" ref="C7">AVERAGE('Score_Summary'!E16:E20)</f>
        <v>0</v>
      </c>
      <c r="D7" t="str" s="14" cm="1">
        <f t="array" ref="D7">IF(C7&lt;0.4,"Low",IF(C7&lt;0.7,"Moderate","High"))</f>
        <v>Low</v>
      </c>
      <c r="E7" t="s" s="161">
        <v>3071</v>
      </c>
      <c r="F7" s="14"/>
      <c r="G7" s="14"/>
      <c r="H7" s="15"/>
    </row>
    <row r="8" ht="17.45" customHeight="1">
      <c r="A8" t="s" s="160">
        <v>3072</v>
      </c>
      <c r="B8" t="s" s="161">
        <v>3073</v>
      </c>
      <c r="C8" s="162" cm="1">
        <f t="array" ref="C8">AVERAGE('Score_Summary'!E22:E24,1-'Score_Summary'!E21)</f>
        <v>0.25</v>
      </c>
      <c r="D8" t="str" s="14" cm="1">
        <f t="array" ref="D8">IF(C8&lt;0.4,"Low",IF(C8&lt;0.7,"Moderate","High"))</f>
        <v>Low</v>
      </c>
      <c r="E8" t="s" s="161">
        <v>3074</v>
      </c>
      <c r="F8" s="14"/>
      <c r="G8" s="14"/>
      <c r="H8" s="15"/>
    </row>
    <row r="9" ht="17.45" customHeight="1">
      <c r="A9" t="s" s="160">
        <v>3075</v>
      </c>
      <c r="B9" t="s" s="161">
        <v>3076</v>
      </c>
      <c r="C9" s="162" cm="1">
        <f t="array" ref="C9">MAX('Score_Summary'!E25:E28)</f>
        <v>0</v>
      </c>
      <c r="D9" t="str" s="14" cm="1">
        <f t="array" ref="D9">IF(C9&lt;0.4,"Low",IF(C9&lt;0.7,"Moderate","High"))</f>
        <v>Low</v>
      </c>
      <c r="E9" t="s" s="161">
        <v>3077</v>
      </c>
      <c r="F9" s="14"/>
      <c r="G9" s="14"/>
      <c r="H9" s="15"/>
    </row>
    <row r="10" ht="17.45" customHeight="1">
      <c r="A10" t="s" s="160">
        <v>3078</v>
      </c>
      <c r="B10" t="s" s="161">
        <v>3079</v>
      </c>
      <c r="C10" s="162" cm="1">
        <f t="array" ref="C10">AVERAGE(C5,C8,'Score_Summary'!E31)</f>
        <v>0.0833333333333333</v>
      </c>
      <c r="D10" t="str" s="14" cm="1">
        <f t="array" ref="D10">IF(C10&lt;0.4,"Low",IF(C10&lt;0.7,"Moderate","High"))</f>
        <v>Low</v>
      </c>
      <c r="E10" t="s" s="161">
        <v>3080</v>
      </c>
      <c r="F10" s="14"/>
      <c r="G10" s="14"/>
      <c r="H10" s="15"/>
    </row>
    <row r="11" ht="17.45" customHeight="1">
      <c r="A11" s="13"/>
      <c r="B11" s="14"/>
      <c r="C11" s="14"/>
      <c r="D11" s="14"/>
      <c r="E11" s="14"/>
      <c r="F11" s="14"/>
      <c r="G11" s="14"/>
      <c r="H11" s="15"/>
    </row>
    <row r="12" ht="17.45" customHeight="1">
      <c r="A12" s="13"/>
      <c r="B12" s="14"/>
      <c r="C12" s="14"/>
      <c r="D12" s="14"/>
      <c r="E12" s="14"/>
      <c r="F12" s="14"/>
      <c r="G12" s="14"/>
      <c r="H12" s="15"/>
    </row>
    <row r="13" ht="17.45" customHeight="1">
      <c r="A13" s="13"/>
      <c r="B13" s="14"/>
      <c r="C13" s="14"/>
      <c r="D13" s="14"/>
      <c r="E13" s="14"/>
      <c r="F13" s="14"/>
      <c r="G13" s="14"/>
      <c r="H13" s="15"/>
    </row>
    <row r="14" ht="17.95" customHeight="1">
      <c r="A14" t="s" s="123">
        <v>3081</v>
      </c>
      <c r="B14" t="s" s="124">
        <v>3082</v>
      </c>
      <c r="C14" s="154"/>
      <c r="D14" s="154"/>
      <c r="E14" s="154"/>
      <c r="F14" s="154"/>
      <c r="G14" s="154"/>
      <c r="H14" s="135"/>
    </row>
    <row r="15" ht="17.95" customHeight="1">
      <c r="A15" t="s" s="155">
        <v>3083</v>
      </c>
      <c r="B15" t="str" s="158" cm="1">
        <f t="array" ref="B15">INDEX('Score_Summary'!$B$5:$B$10,MATCH(MAX('Score_Summary'!$E$5:$E$10),'Score_Summary'!$E$5:$E$10,0))</f>
        <v>R</v>
      </c>
      <c r="C15" s="158"/>
      <c r="D15" s="158"/>
      <c r="E15" s="158"/>
      <c r="F15" s="158"/>
      <c r="G15" s="158"/>
      <c r="H15" s="159"/>
    </row>
    <row r="16" ht="17.45" customHeight="1">
      <c r="A16" t="s" s="160">
        <v>3084</v>
      </c>
      <c r="B16" t="str" s="14" cm="1">
        <f t="array" ref="B16">INDEX('Score_Summary'!$B$11:$B$15,MATCH(MAX('Score_Summary'!$E$11:$E$15),'Score_Summary'!$E$11:$E$15,0))</f>
        <v>Openness</v>
      </c>
      <c r="C16" s="14"/>
      <c r="D16" s="14"/>
      <c r="E16" s="14"/>
      <c r="F16" s="14"/>
      <c r="G16" s="14"/>
      <c r="H16" s="15"/>
    </row>
    <row r="17" ht="17.45" customHeight="1">
      <c r="A17" t="s" s="160">
        <v>3085</v>
      </c>
      <c r="B17" t="str" s="14" cm="1">
        <f t="array" ref="B17">INDEX('Score_Summary'!$B$25:$B$28,MATCH(MAX('Score_Summary'!$E$25:$E$28),'Score_Summary'!$E$25:$E$28,0))</f>
        <v>Visual</v>
      </c>
      <c r="C17" s="14"/>
      <c r="D17" s="14"/>
      <c r="E17" s="14"/>
      <c r="F17" s="14"/>
      <c r="G17" s="14"/>
      <c r="H17" s="15"/>
    </row>
    <row r="18" ht="17.45" customHeight="1">
      <c r="A18" t="s" s="160">
        <v>3086</v>
      </c>
      <c r="B18" t="str" s="14" cm="1">
        <f t="array" ref="B18">IF('Score_Summary'!E21&gt;0.7,"High stress sensitivity",IF('Score_Summary'!E12&lt;0.4,"Low study consistency",IF('Score_Summary'!E31&lt;0.4,"Career confusion","No major alert")))</f>
        <v>Low study consistency</v>
      </c>
      <c r="C18" s="14"/>
      <c r="D18" s="14"/>
      <c r="E18" s="14"/>
      <c r="F18" s="14"/>
      <c r="G18" s="14"/>
      <c r="H18" s="15"/>
    </row>
    <row r="19" ht="17.45" customHeight="1">
      <c r="A19" t="s" s="163">
        <v>3088</v>
      </c>
      <c r="B19" t="str" s="164" cm="1">
        <f t="array" ref="B19">IF(B18="High stress sensitivity","Emotional safety and pressure management",IF(B18="Low study consistency","Study routine and accountability",IF(B18="Career confusion","Exploration and stream mapping","Strengths confirmation and growth plan")))</f>
        <v>Study routine and accountability</v>
      </c>
      <c r="C19" s="164"/>
      <c r="D19" s="164"/>
      <c r="E19" s="164"/>
      <c r="F19" s="164"/>
      <c r="G19" s="164"/>
      <c r="H19" s="165"/>
    </row>
  </sheetData>
  <mergeCells count="2">
    <mergeCell ref="A2:H2"/>
    <mergeCell ref="A1:H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drawing r:id="rId1"/>
</worksheet>
</file>

<file path=xl/worksheets/sheet8.xml><?xml version="1.0" encoding="utf-8"?>
<worksheet xmlns:r="http://schemas.openxmlformats.org/officeDocument/2006/relationships" xmlns="http://schemas.openxmlformats.org/spreadsheetml/2006/main">
  <dimension ref="A1:H10"/>
  <sheetViews>
    <sheetView workbookViewId="0" showGridLines="0" defaultGridColor="1"/>
  </sheetViews>
  <sheetFormatPr defaultColWidth="8.83333" defaultRowHeight="15" customHeight="1" outlineLevelRow="0" outlineLevelCol="0"/>
  <cols>
    <col min="1" max="1" width="28" style="166" customWidth="1"/>
    <col min="2" max="2" width="110" style="166" customWidth="1"/>
    <col min="3" max="8" width="8.85156" style="166" customWidth="1"/>
    <col min="9" max="16384" width="8.85156" style="166" customWidth="1"/>
  </cols>
  <sheetData>
    <row r="1" ht="18.4" customHeight="1">
      <c r="A1" t="s" s="7">
        <v>3091</v>
      </c>
      <c r="B1" s="8"/>
      <c r="C1" s="8"/>
      <c r="D1" s="8"/>
      <c r="E1" s="8"/>
      <c r="F1" s="8"/>
      <c r="G1" s="8"/>
      <c r="H1" s="9"/>
    </row>
    <row r="2" ht="17.45" customHeight="1">
      <c r="A2" t="s" s="87">
        <v>3092</v>
      </c>
      <c r="B2" s="11"/>
      <c r="C2" s="11"/>
      <c r="D2" s="11"/>
      <c r="E2" s="11"/>
      <c r="F2" s="11"/>
      <c r="G2" s="11"/>
      <c r="H2" s="12"/>
    </row>
    <row r="3" ht="17.45" customHeight="1">
      <c r="A3" s="13"/>
      <c r="B3" s="14"/>
      <c r="C3" s="14"/>
      <c r="D3" s="14"/>
      <c r="E3" s="14"/>
      <c r="F3" s="14"/>
      <c r="G3" s="14"/>
      <c r="H3" s="15"/>
    </row>
    <row r="4" ht="60" customHeight="1">
      <c r="A4" t="s" s="16">
        <v>3093</v>
      </c>
      <c r="B4" t="str" s="145" cm="1">
        <f t="array" ref="B4">CONCATENATE("This student shows ",'Dashboard'!D7," cognitive readiness, ",'Dashboard'!D8," emotional sustainability, and a dominant ",'Dashboard'!B17," learning preference. The strongest interest code is ",'Dashboard'!B15,".")</f>
        <v>This student shows Low cognitive readiness, Low emotional sustainability, and a dominant Visual learning preference. The strongest interest code is R.</v>
      </c>
      <c r="C4" s="14"/>
      <c r="D4" s="14"/>
      <c r="E4" s="14"/>
      <c r="F4" s="14"/>
      <c r="G4" s="14"/>
      <c r="H4" s="15"/>
    </row>
    <row r="5" ht="60" customHeight="1">
      <c r="A5" t="s" s="16">
        <v>3095</v>
      </c>
      <c r="B5" t="str" s="145" cm="1">
        <f t="array" ref="B5">CONCATENATE("The primary RIASEC code is ",'Dashboard'!B15,". Use this as a directional signal for career exploration, not a fixed decision.")</f>
        <v>The primary RIASEC code is R. Use this as a directional signal for career exploration, not a fixed decision.</v>
      </c>
      <c r="C5" s="14"/>
      <c r="D5" s="14"/>
      <c r="E5" s="14"/>
      <c r="F5" s="14"/>
      <c r="G5" s="14"/>
      <c r="H5" s="15"/>
    </row>
    <row r="6" ht="60" customHeight="1">
      <c r="A6" t="s" s="16">
        <v>3097</v>
      </c>
      <c r="B6" t="str" s="145" cm="1">
        <f t="array" ref="B6">CONCATENATE("The strongest Big Five trait is ",'Dashboard'!B16,". Interpret this with study habits, confidence and emotional profile.")</f>
        <v>The strongest Big Five trait is Openness. Interpret this with study habits, confidence and emotional profile.</v>
      </c>
      <c r="C6" s="14"/>
      <c r="D6" s="14"/>
      <c r="E6" s="14"/>
      <c r="F6" s="14"/>
      <c r="G6" s="14"/>
      <c r="H6" s="15"/>
    </row>
    <row r="7" ht="60" customHeight="1">
      <c r="A7" t="s" s="16">
        <v>3099</v>
      </c>
      <c r="B7" t="str" s="145" cm="1">
        <f t="array" ref="B7">CONCATENATE("Prioritize ",'Dashboard'!B17," methods with structured practice and regular feedback.")</f>
        <v>Prioritize Visual methods with structured practice and regular feedback.</v>
      </c>
      <c r="C7" s="14"/>
      <c r="D7" s="14"/>
      <c r="E7" s="14"/>
      <c r="F7" s="14"/>
      <c r="G7" s="14"/>
      <c r="H7" s="15"/>
    </row>
    <row r="8" ht="60" customHeight="1">
      <c r="A8" t="s" s="16">
        <v>3101</v>
      </c>
      <c r="B8" t="str" s="145" cm="1">
        <f t="array" ref="B8">CONCATENATE("Primary alert: ",'Dashboard'!B18,". Counselor focus: ",'Dashboard'!B19,".")</f>
        <v>Primary alert: Low study consistency. Counselor focus: Study routine and accountability.</v>
      </c>
      <c r="C8" s="14"/>
      <c r="D8" s="14"/>
      <c r="E8" s="14"/>
      <c r="F8" s="14"/>
      <c r="G8" s="14"/>
      <c r="H8" s="15"/>
    </row>
    <row r="9" ht="60" customHeight="1">
      <c r="A9" t="s" s="16">
        <v>3103</v>
      </c>
      <c r="B9" t="str" s="145" cm="1">
        <f t="array" ref="B9">"Encourage effort, avoid comparison, discuss future options calmly, and use the report as a growth roadmap rather than a label."</f>
        <v>Encourage effort, avoid comparison, discuss future options calmly, and use the report as a growth roadmap rather than a label.</v>
      </c>
      <c r="C9" s="14"/>
      <c r="D9" s="14"/>
      <c r="E9" s="14"/>
      <c r="F9" s="14"/>
      <c r="G9" s="14"/>
      <c r="H9" s="15"/>
    </row>
    <row r="10" ht="60" customHeight="1">
      <c r="A10" t="s" s="167">
        <v>3105</v>
      </c>
      <c r="B10" t="str" s="151" cm="1">
        <f t="array" ref="B10">"This report is developmental and non-diagnostic. It should guide discussion, not replace professional evaluation where needed."</f>
        <v>This report is developmental and non-diagnostic. It should guide discussion, not replace professional evaluation where needed.</v>
      </c>
      <c r="C10" s="164"/>
      <c r="D10" s="164"/>
      <c r="E10" s="164"/>
      <c r="F10" s="164"/>
      <c r="G10" s="164"/>
      <c r="H10" s="165"/>
    </row>
  </sheetData>
  <mergeCells count="2">
    <mergeCell ref="A2:H2"/>
    <mergeCell ref="A1:H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H529"/>
  <sheetViews>
    <sheetView workbookViewId="0" showGridLines="0" defaultGridColor="1"/>
  </sheetViews>
  <sheetFormatPr defaultColWidth="8.83333" defaultRowHeight="15" customHeight="1" outlineLevelRow="0" outlineLevelCol="0"/>
  <cols>
    <col min="1" max="1" width="11" style="168" customWidth="1"/>
    <col min="2" max="2" width="24" style="168" customWidth="1"/>
    <col min="3" max="3" width="22" style="168" customWidth="1"/>
    <col min="4" max="6" width="14" style="168" customWidth="1"/>
    <col min="7" max="7" width="28" style="168" customWidth="1"/>
    <col min="8" max="8" width="8.85156" style="168" customWidth="1"/>
    <col min="9" max="16384" width="8.85156" style="168" customWidth="1"/>
  </cols>
  <sheetData>
    <row r="1" ht="18.4" customHeight="1">
      <c r="A1" t="s" s="7">
        <v>3108</v>
      </c>
      <c r="B1" s="8"/>
      <c r="C1" s="8"/>
      <c r="D1" s="8"/>
      <c r="E1" s="8"/>
      <c r="F1" s="8"/>
      <c r="G1" s="8"/>
      <c r="H1" s="9"/>
    </row>
    <row r="2" ht="17.45" customHeight="1">
      <c r="A2" t="s" s="87">
        <v>3109</v>
      </c>
      <c r="B2" s="11"/>
      <c r="C2" s="11"/>
      <c r="D2" s="11"/>
      <c r="E2" s="11"/>
      <c r="F2" s="11"/>
      <c r="G2" s="11"/>
      <c r="H2" s="12"/>
    </row>
    <row r="3" ht="17.95" customHeight="1">
      <c r="A3" s="88"/>
      <c r="B3" s="89"/>
      <c r="C3" s="89"/>
      <c r="D3" s="89"/>
      <c r="E3" s="89"/>
      <c r="F3" s="89"/>
      <c r="G3" s="89"/>
      <c r="H3" s="90"/>
    </row>
    <row r="4" ht="17.95" customHeight="1">
      <c r="A4" t="str" s="169" cm="1">
        <f t="array" ref="A4">'Question_Bank'!A4</f>
        <v>QID</v>
      </c>
      <c r="B4" t="str" s="170" cm="1">
        <f t="array" ref="B4">'Question_Bank'!C4</f>
        <v>Domain</v>
      </c>
      <c r="C4" t="str" s="170" cm="1">
        <f t="array" ref="C4">'Question_Bank'!D4</f>
        <v>Subdomain</v>
      </c>
      <c r="D4" t="str" s="170" cm="1">
        <f t="array" ref="D4">'Question_Bank'!F4</f>
        <v>Question Type</v>
      </c>
      <c r="E4" t="str" s="170" cm="1">
        <f t="array" ref="E4">'Question_Bank'!L4</f>
        <v>Correct/Key</v>
      </c>
      <c r="F4" t="str" s="170" cm="1">
        <f t="array" ref="F4">'Question_Bank'!N4</f>
        <v>Reverse Scored</v>
      </c>
      <c r="G4" t="str" s="170" cm="1">
        <f t="array" ref="G4">IF(D4="MCQ","Correct=1, Incorrect=0",IF(F4="Yes","Reverse: 6-response","Direct: response score"))</f>
        <v>Direct: response score</v>
      </c>
      <c r="H4" s="171"/>
    </row>
    <row r="5" ht="17.45" customHeight="1">
      <c r="A5" t="str" s="13" cm="1">
        <f t="array" ref="A5">'Question_Bank'!A5</f>
        <v>NPI0001</v>
      </c>
      <c r="B5" t="str" s="14" cm="1">
        <f t="array" ref="B5">'Question_Bank'!C5</f>
        <v>RIASEC Interest</v>
      </c>
      <c r="C5" t="str" s="14" cm="1">
        <f t="array" ref="C5">'Question_Bank'!D5</f>
        <v>Realistic</v>
      </c>
      <c r="D5" t="str" s="14" cm="1">
        <f t="array" ref="D5">'Question_Bank'!F5</f>
        <v>Likert</v>
      </c>
      <c r="E5" s="172" cm="1">
        <f t="array" ref="E5">'Question_Bank'!L5</f>
        <v>0</v>
      </c>
      <c r="F5" t="str" s="14" cm="1">
        <f t="array" ref="F5">'Question_Bank'!N5</f>
        <v>No</v>
      </c>
      <c r="G5" t="str" s="14" cm="1">
        <f t="array" ref="G5">IF(D5="MCQ","Correct=1, Incorrect=0",IF(F5="Yes","Reverse: 6-response","Direct: response score"))</f>
        <v>Direct: response score</v>
      </c>
      <c r="H5" s="15"/>
    </row>
    <row r="6" ht="17.45" customHeight="1">
      <c r="A6" t="str" s="13" cm="1">
        <f t="array" ref="A6">'Question_Bank'!A6</f>
        <v>NPI0002</v>
      </c>
      <c r="B6" t="str" s="14" cm="1">
        <f t="array" ref="B6">'Question_Bank'!C6</f>
        <v>RIASEC Interest</v>
      </c>
      <c r="C6" t="str" s="14" cm="1">
        <f t="array" ref="C6">'Question_Bank'!D6</f>
        <v>Realistic</v>
      </c>
      <c r="D6" t="str" s="14" cm="1">
        <f t="array" ref="D6">'Question_Bank'!F6</f>
        <v>Likert</v>
      </c>
      <c r="E6" s="172" cm="1">
        <f t="array" ref="E6">'Question_Bank'!L6</f>
        <v>0</v>
      </c>
      <c r="F6" t="str" s="14" cm="1">
        <f t="array" ref="F6">'Question_Bank'!N6</f>
        <v>No</v>
      </c>
      <c r="G6" t="str" s="14" cm="1">
        <f t="array" ref="G6">IF(D6="MCQ","Correct=1, Incorrect=0",IF(F6="Yes","Reverse: 6-response","Direct: response score"))</f>
        <v>Direct: response score</v>
      </c>
      <c r="H6" s="15"/>
    </row>
    <row r="7" ht="17.45" customHeight="1">
      <c r="A7" t="str" s="13" cm="1">
        <f t="array" ref="A7">'Question_Bank'!A7</f>
        <v>NPI0003</v>
      </c>
      <c r="B7" t="str" s="14" cm="1">
        <f t="array" ref="B7">'Question_Bank'!C7</f>
        <v>RIASEC Interest</v>
      </c>
      <c r="C7" t="str" s="14" cm="1">
        <f t="array" ref="C7">'Question_Bank'!D7</f>
        <v>Realistic</v>
      </c>
      <c r="D7" t="str" s="14" cm="1">
        <f t="array" ref="D7">'Question_Bank'!F7</f>
        <v>Likert</v>
      </c>
      <c r="E7" s="172" cm="1">
        <f t="array" ref="E7">'Question_Bank'!L7</f>
        <v>0</v>
      </c>
      <c r="F7" t="str" s="14" cm="1">
        <f t="array" ref="F7">'Question_Bank'!N7</f>
        <v>No</v>
      </c>
      <c r="G7" t="str" s="14" cm="1">
        <f t="array" ref="G7">IF(D7="MCQ","Correct=1, Incorrect=0",IF(F7="Yes","Reverse: 6-response","Direct: response score"))</f>
        <v>Direct: response score</v>
      </c>
      <c r="H7" s="15"/>
    </row>
    <row r="8" ht="17.45" customHeight="1">
      <c r="A8" t="str" s="13" cm="1">
        <f t="array" ref="A8">'Question_Bank'!A8</f>
        <v>NPI0004</v>
      </c>
      <c r="B8" t="str" s="14" cm="1">
        <f t="array" ref="B8">'Question_Bank'!C8</f>
        <v>RIASEC Interest</v>
      </c>
      <c r="C8" t="str" s="14" cm="1">
        <f t="array" ref="C8">'Question_Bank'!D8</f>
        <v>Realistic</v>
      </c>
      <c r="D8" t="str" s="14" cm="1">
        <f t="array" ref="D8">'Question_Bank'!F8</f>
        <v>Likert</v>
      </c>
      <c r="E8" s="172" cm="1">
        <f t="array" ref="E8">'Question_Bank'!L8</f>
        <v>0</v>
      </c>
      <c r="F8" t="str" s="14" cm="1">
        <f t="array" ref="F8">'Question_Bank'!N8</f>
        <v>No</v>
      </c>
      <c r="G8" t="str" s="14" cm="1">
        <f t="array" ref="G8">IF(D8="MCQ","Correct=1, Incorrect=0",IF(F8="Yes","Reverse: 6-response","Direct: response score"))</f>
        <v>Direct: response score</v>
      </c>
      <c r="H8" s="15"/>
    </row>
    <row r="9" ht="17.45" customHeight="1">
      <c r="A9" t="str" s="13" cm="1">
        <f t="array" ref="A9">'Question_Bank'!A9</f>
        <v>NPI0005</v>
      </c>
      <c r="B9" t="str" s="14" cm="1">
        <f t="array" ref="B9">'Question_Bank'!C9</f>
        <v>RIASEC Interest</v>
      </c>
      <c r="C9" t="str" s="14" cm="1">
        <f t="array" ref="C9">'Question_Bank'!D9</f>
        <v>Realistic</v>
      </c>
      <c r="D9" t="str" s="14" cm="1">
        <f t="array" ref="D9">'Question_Bank'!F9</f>
        <v>Likert</v>
      </c>
      <c r="E9" s="172" cm="1">
        <f t="array" ref="E9">'Question_Bank'!L9</f>
        <v>0</v>
      </c>
      <c r="F9" t="str" s="14" cm="1">
        <f t="array" ref="F9">'Question_Bank'!N9</f>
        <v>No</v>
      </c>
      <c r="G9" t="str" s="14" cm="1">
        <f t="array" ref="G9">IF(D9="MCQ","Correct=1, Incorrect=0",IF(F9="Yes","Reverse: 6-response","Direct: response score"))</f>
        <v>Direct: response score</v>
      </c>
      <c r="H9" s="15"/>
    </row>
    <row r="10" ht="17.45" customHeight="1">
      <c r="A10" t="str" s="13" cm="1">
        <f t="array" ref="A10">'Question_Bank'!A10</f>
        <v>NPI0006</v>
      </c>
      <c r="B10" t="str" s="14" cm="1">
        <f t="array" ref="B10">'Question_Bank'!C10</f>
        <v>RIASEC Interest</v>
      </c>
      <c r="C10" t="str" s="14" cm="1">
        <f t="array" ref="C10">'Question_Bank'!D10</f>
        <v>Realistic</v>
      </c>
      <c r="D10" t="str" s="14" cm="1">
        <f t="array" ref="D10">'Question_Bank'!F10</f>
        <v>Likert</v>
      </c>
      <c r="E10" s="172" cm="1">
        <f t="array" ref="E10">'Question_Bank'!L10</f>
        <v>0</v>
      </c>
      <c r="F10" t="str" s="14" cm="1">
        <f t="array" ref="F10">'Question_Bank'!N10</f>
        <v>No</v>
      </c>
      <c r="G10" t="str" s="14" cm="1">
        <f t="array" ref="G10">IF(D10="MCQ","Correct=1, Incorrect=0",IF(F10="Yes","Reverse: 6-response","Direct: response score"))</f>
        <v>Direct: response score</v>
      </c>
      <c r="H10" s="15"/>
    </row>
    <row r="11" ht="17.45" customHeight="1">
      <c r="A11" t="str" s="13" cm="1">
        <f t="array" ref="A11">'Question_Bank'!A11</f>
        <v>NPI0007</v>
      </c>
      <c r="B11" t="str" s="14" cm="1">
        <f t="array" ref="B11">'Question_Bank'!C11</f>
        <v>RIASEC Interest</v>
      </c>
      <c r="C11" t="str" s="14" cm="1">
        <f t="array" ref="C11">'Question_Bank'!D11</f>
        <v>Realistic</v>
      </c>
      <c r="D11" t="str" s="14" cm="1">
        <f t="array" ref="D11">'Question_Bank'!F11</f>
        <v>Likert</v>
      </c>
      <c r="E11" s="172" cm="1">
        <f t="array" ref="E11">'Question_Bank'!L11</f>
        <v>0</v>
      </c>
      <c r="F11" t="str" s="14" cm="1">
        <f t="array" ref="F11">'Question_Bank'!N11</f>
        <v>No</v>
      </c>
      <c r="G11" t="str" s="14" cm="1">
        <f t="array" ref="G11">IF(D11="MCQ","Correct=1, Incorrect=0",IF(F11="Yes","Reverse: 6-response","Direct: response score"))</f>
        <v>Direct: response score</v>
      </c>
      <c r="H11" s="15"/>
    </row>
    <row r="12" ht="17.45" customHeight="1">
      <c r="A12" t="str" s="13" cm="1">
        <f t="array" ref="A12">'Question_Bank'!A12</f>
        <v>NPI0008</v>
      </c>
      <c r="B12" t="str" s="14" cm="1">
        <f t="array" ref="B12">'Question_Bank'!C12</f>
        <v>RIASEC Interest</v>
      </c>
      <c r="C12" t="str" s="14" cm="1">
        <f t="array" ref="C12">'Question_Bank'!D12</f>
        <v>Realistic</v>
      </c>
      <c r="D12" t="str" s="14" cm="1">
        <f t="array" ref="D12">'Question_Bank'!F12</f>
        <v>Likert</v>
      </c>
      <c r="E12" s="172" cm="1">
        <f t="array" ref="E12">'Question_Bank'!L12</f>
        <v>0</v>
      </c>
      <c r="F12" t="str" s="14" cm="1">
        <f t="array" ref="F12">'Question_Bank'!N12</f>
        <v>No</v>
      </c>
      <c r="G12" t="str" s="14" cm="1">
        <f t="array" ref="G12">IF(D12="MCQ","Correct=1, Incorrect=0",IF(F12="Yes","Reverse: 6-response","Direct: response score"))</f>
        <v>Direct: response score</v>
      </c>
      <c r="H12" s="15"/>
    </row>
    <row r="13" ht="17.45" customHeight="1">
      <c r="A13" t="str" s="13" cm="1">
        <f t="array" ref="A13">'Question_Bank'!A13</f>
        <v>NPI0009</v>
      </c>
      <c r="B13" t="str" s="14" cm="1">
        <f t="array" ref="B13">'Question_Bank'!C13</f>
        <v>RIASEC Interest</v>
      </c>
      <c r="C13" t="str" s="14" cm="1">
        <f t="array" ref="C13">'Question_Bank'!D13</f>
        <v>Realistic</v>
      </c>
      <c r="D13" t="str" s="14" cm="1">
        <f t="array" ref="D13">'Question_Bank'!F13</f>
        <v>Likert</v>
      </c>
      <c r="E13" s="172" cm="1">
        <f t="array" ref="E13">'Question_Bank'!L13</f>
        <v>0</v>
      </c>
      <c r="F13" t="str" s="14" cm="1">
        <f t="array" ref="F13">'Question_Bank'!N13</f>
        <v>No</v>
      </c>
      <c r="G13" t="str" s="14" cm="1">
        <f t="array" ref="G13">IF(D13="MCQ","Correct=1, Incorrect=0",IF(F13="Yes","Reverse: 6-response","Direct: response score"))</f>
        <v>Direct: response score</v>
      </c>
      <c r="H13" s="15"/>
    </row>
    <row r="14" ht="17.45" customHeight="1">
      <c r="A14" t="str" s="13" cm="1">
        <f t="array" ref="A14">'Question_Bank'!A14</f>
        <v>NPI0010</v>
      </c>
      <c r="B14" t="str" s="14" cm="1">
        <f t="array" ref="B14">'Question_Bank'!C14</f>
        <v>RIASEC Interest</v>
      </c>
      <c r="C14" t="str" s="14" cm="1">
        <f t="array" ref="C14">'Question_Bank'!D14</f>
        <v>Realistic</v>
      </c>
      <c r="D14" t="str" s="14" cm="1">
        <f t="array" ref="D14">'Question_Bank'!F14</f>
        <v>Likert</v>
      </c>
      <c r="E14" s="172" cm="1">
        <f t="array" ref="E14">'Question_Bank'!L14</f>
        <v>0</v>
      </c>
      <c r="F14" t="str" s="14" cm="1">
        <f t="array" ref="F14">'Question_Bank'!N14</f>
        <v>No</v>
      </c>
      <c r="G14" t="str" s="14" cm="1">
        <f t="array" ref="G14">IF(D14="MCQ","Correct=1, Incorrect=0",IF(F14="Yes","Reverse: 6-response","Direct: response score"))</f>
        <v>Direct: response score</v>
      </c>
      <c r="H14" s="15"/>
    </row>
    <row r="15" ht="17.45" customHeight="1">
      <c r="A15" t="str" s="13" cm="1">
        <f t="array" ref="A15">'Question_Bank'!A15</f>
        <v>NPI0011</v>
      </c>
      <c r="B15" t="str" s="14" cm="1">
        <f t="array" ref="B15">'Question_Bank'!C15</f>
        <v>RIASEC Interest</v>
      </c>
      <c r="C15" t="str" s="14" cm="1">
        <f t="array" ref="C15">'Question_Bank'!D15</f>
        <v>Realistic</v>
      </c>
      <c r="D15" t="str" s="14" cm="1">
        <f t="array" ref="D15">'Question_Bank'!F15</f>
        <v>Likert</v>
      </c>
      <c r="E15" s="172" cm="1">
        <f t="array" ref="E15">'Question_Bank'!L15</f>
        <v>0</v>
      </c>
      <c r="F15" t="str" s="14" cm="1">
        <f t="array" ref="F15">'Question_Bank'!N15</f>
        <v>No</v>
      </c>
      <c r="G15" t="str" s="14" cm="1">
        <f t="array" ref="G15">IF(D15="MCQ","Correct=1, Incorrect=0",IF(F15="Yes","Reverse: 6-response","Direct: response score"))</f>
        <v>Direct: response score</v>
      </c>
      <c r="H15" s="15"/>
    </row>
    <row r="16" ht="17.45" customHeight="1">
      <c r="A16" t="str" s="13" cm="1">
        <f t="array" ref="A16">'Question_Bank'!A16</f>
        <v>NPI0012</v>
      </c>
      <c r="B16" t="str" s="14" cm="1">
        <f t="array" ref="B16">'Question_Bank'!C16</f>
        <v>RIASEC Interest</v>
      </c>
      <c r="C16" t="str" s="14" cm="1">
        <f t="array" ref="C16">'Question_Bank'!D16</f>
        <v>Realistic</v>
      </c>
      <c r="D16" t="str" s="14" cm="1">
        <f t="array" ref="D16">'Question_Bank'!F16</f>
        <v>Likert</v>
      </c>
      <c r="E16" s="172" cm="1">
        <f t="array" ref="E16">'Question_Bank'!L16</f>
        <v>0</v>
      </c>
      <c r="F16" t="str" s="14" cm="1">
        <f t="array" ref="F16">'Question_Bank'!N16</f>
        <v>No</v>
      </c>
      <c r="G16" t="str" s="14" cm="1">
        <f t="array" ref="G16">IF(D16="MCQ","Correct=1, Incorrect=0",IF(F16="Yes","Reverse: 6-response","Direct: response score"))</f>
        <v>Direct: response score</v>
      </c>
      <c r="H16" s="15"/>
    </row>
    <row r="17" ht="17.45" customHeight="1">
      <c r="A17" t="str" s="13" cm="1">
        <f t="array" ref="A17">'Question_Bank'!A17</f>
        <v>NPI0013</v>
      </c>
      <c r="B17" t="str" s="14" cm="1">
        <f t="array" ref="B17">'Question_Bank'!C17</f>
        <v>RIASEC Interest</v>
      </c>
      <c r="C17" t="str" s="14" cm="1">
        <f t="array" ref="C17">'Question_Bank'!D17</f>
        <v>Realistic</v>
      </c>
      <c r="D17" t="str" s="14" cm="1">
        <f t="array" ref="D17">'Question_Bank'!F17</f>
        <v>Likert</v>
      </c>
      <c r="E17" s="172" cm="1">
        <f t="array" ref="E17">'Question_Bank'!L17</f>
        <v>0</v>
      </c>
      <c r="F17" t="str" s="14" cm="1">
        <f t="array" ref="F17">'Question_Bank'!N17</f>
        <v>No</v>
      </c>
      <c r="G17" t="str" s="14" cm="1">
        <f t="array" ref="G17">IF(D17="MCQ","Correct=1, Incorrect=0",IF(F17="Yes","Reverse: 6-response","Direct: response score"))</f>
        <v>Direct: response score</v>
      </c>
      <c r="H17" s="15"/>
    </row>
    <row r="18" ht="17.45" customHeight="1">
      <c r="A18" t="str" s="13" cm="1">
        <f t="array" ref="A18">'Question_Bank'!A18</f>
        <v>NPI0014</v>
      </c>
      <c r="B18" t="str" s="14" cm="1">
        <f t="array" ref="B18">'Question_Bank'!C18</f>
        <v>RIASEC Interest</v>
      </c>
      <c r="C18" t="str" s="14" cm="1">
        <f t="array" ref="C18">'Question_Bank'!D18</f>
        <v>Realistic</v>
      </c>
      <c r="D18" t="str" s="14" cm="1">
        <f t="array" ref="D18">'Question_Bank'!F18</f>
        <v>Likert</v>
      </c>
      <c r="E18" s="172" cm="1">
        <f t="array" ref="E18">'Question_Bank'!L18</f>
        <v>0</v>
      </c>
      <c r="F18" t="str" s="14" cm="1">
        <f t="array" ref="F18">'Question_Bank'!N18</f>
        <v>No</v>
      </c>
      <c r="G18" t="str" s="14" cm="1">
        <f t="array" ref="G18">IF(D18="MCQ","Correct=1, Incorrect=0",IF(F18="Yes","Reverse: 6-response","Direct: response score"))</f>
        <v>Direct: response score</v>
      </c>
      <c r="H18" s="15"/>
    </row>
    <row r="19" ht="17.45" customHeight="1">
      <c r="A19" t="str" s="13" cm="1">
        <f t="array" ref="A19">'Question_Bank'!A19</f>
        <v>NPI0015</v>
      </c>
      <c r="B19" t="str" s="14" cm="1">
        <f t="array" ref="B19">'Question_Bank'!C19</f>
        <v>RIASEC Interest</v>
      </c>
      <c r="C19" t="str" s="14" cm="1">
        <f t="array" ref="C19">'Question_Bank'!D19</f>
        <v>Realistic</v>
      </c>
      <c r="D19" t="str" s="14" cm="1">
        <f t="array" ref="D19">'Question_Bank'!F19</f>
        <v>Likert</v>
      </c>
      <c r="E19" s="172" cm="1">
        <f t="array" ref="E19">'Question_Bank'!L19</f>
        <v>0</v>
      </c>
      <c r="F19" t="str" s="14" cm="1">
        <f t="array" ref="F19">'Question_Bank'!N19</f>
        <v>No</v>
      </c>
      <c r="G19" t="str" s="14" cm="1">
        <f t="array" ref="G19">IF(D19="MCQ","Correct=1, Incorrect=0",IF(F19="Yes","Reverse: 6-response","Direct: response score"))</f>
        <v>Direct: response score</v>
      </c>
      <c r="H19" s="15"/>
    </row>
    <row r="20" ht="17.45" customHeight="1">
      <c r="A20" t="str" s="13" cm="1">
        <f t="array" ref="A20">'Question_Bank'!A20</f>
        <v>NPI0016</v>
      </c>
      <c r="B20" t="str" s="14" cm="1">
        <f t="array" ref="B20">'Question_Bank'!C20</f>
        <v>RIASEC Interest</v>
      </c>
      <c r="C20" t="str" s="14" cm="1">
        <f t="array" ref="C20">'Question_Bank'!D20</f>
        <v>Investigative</v>
      </c>
      <c r="D20" t="str" s="14" cm="1">
        <f t="array" ref="D20">'Question_Bank'!F20</f>
        <v>Likert</v>
      </c>
      <c r="E20" s="172" cm="1">
        <f t="array" ref="E20">'Question_Bank'!L20</f>
        <v>0</v>
      </c>
      <c r="F20" t="str" s="14" cm="1">
        <f t="array" ref="F20">'Question_Bank'!N20</f>
        <v>No</v>
      </c>
      <c r="G20" t="str" s="14" cm="1">
        <f t="array" ref="G20">IF(D20="MCQ","Correct=1, Incorrect=0",IF(F20="Yes","Reverse: 6-response","Direct: response score"))</f>
        <v>Direct: response score</v>
      </c>
      <c r="H20" s="15"/>
    </row>
    <row r="21" ht="17.45" customHeight="1">
      <c r="A21" t="str" s="13" cm="1">
        <f t="array" ref="A21">'Question_Bank'!A21</f>
        <v>NPI0017</v>
      </c>
      <c r="B21" t="str" s="14" cm="1">
        <f t="array" ref="B21">'Question_Bank'!C21</f>
        <v>RIASEC Interest</v>
      </c>
      <c r="C21" t="str" s="14" cm="1">
        <f t="array" ref="C21">'Question_Bank'!D21</f>
        <v>Investigative</v>
      </c>
      <c r="D21" t="str" s="14" cm="1">
        <f t="array" ref="D21">'Question_Bank'!F21</f>
        <v>Likert</v>
      </c>
      <c r="E21" s="172" cm="1">
        <f t="array" ref="E21">'Question_Bank'!L21</f>
        <v>0</v>
      </c>
      <c r="F21" t="str" s="14" cm="1">
        <f t="array" ref="F21">'Question_Bank'!N21</f>
        <v>No</v>
      </c>
      <c r="G21" t="str" s="14" cm="1">
        <f t="array" ref="G21">IF(D21="MCQ","Correct=1, Incorrect=0",IF(F21="Yes","Reverse: 6-response","Direct: response score"))</f>
        <v>Direct: response score</v>
      </c>
      <c r="H21" s="15"/>
    </row>
    <row r="22" ht="17.45" customHeight="1">
      <c r="A22" t="str" s="13" cm="1">
        <f t="array" ref="A22">'Question_Bank'!A22</f>
        <v>NPI0018</v>
      </c>
      <c r="B22" t="str" s="14" cm="1">
        <f t="array" ref="B22">'Question_Bank'!C22</f>
        <v>RIASEC Interest</v>
      </c>
      <c r="C22" t="str" s="14" cm="1">
        <f t="array" ref="C22">'Question_Bank'!D22</f>
        <v>Investigative</v>
      </c>
      <c r="D22" t="str" s="14" cm="1">
        <f t="array" ref="D22">'Question_Bank'!F22</f>
        <v>Likert</v>
      </c>
      <c r="E22" s="172" cm="1">
        <f t="array" ref="E22">'Question_Bank'!L22</f>
        <v>0</v>
      </c>
      <c r="F22" t="str" s="14" cm="1">
        <f t="array" ref="F22">'Question_Bank'!N22</f>
        <v>No</v>
      </c>
      <c r="G22" t="str" s="14" cm="1">
        <f t="array" ref="G22">IF(D22="MCQ","Correct=1, Incorrect=0",IF(F22="Yes","Reverse: 6-response","Direct: response score"))</f>
        <v>Direct: response score</v>
      </c>
      <c r="H22" s="15"/>
    </row>
    <row r="23" ht="17.45" customHeight="1">
      <c r="A23" t="str" s="13" cm="1">
        <f t="array" ref="A23">'Question_Bank'!A23</f>
        <v>NPI0019</v>
      </c>
      <c r="B23" t="str" s="14" cm="1">
        <f t="array" ref="B23">'Question_Bank'!C23</f>
        <v>RIASEC Interest</v>
      </c>
      <c r="C23" t="str" s="14" cm="1">
        <f t="array" ref="C23">'Question_Bank'!D23</f>
        <v>Investigative</v>
      </c>
      <c r="D23" t="str" s="14" cm="1">
        <f t="array" ref="D23">'Question_Bank'!F23</f>
        <v>Likert</v>
      </c>
      <c r="E23" s="172" cm="1">
        <f t="array" ref="E23">'Question_Bank'!L23</f>
        <v>0</v>
      </c>
      <c r="F23" t="str" s="14" cm="1">
        <f t="array" ref="F23">'Question_Bank'!N23</f>
        <v>No</v>
      </c>
      <c r="G23" t="str" s="14" cm="1">
        <f t="array" ref="G23">IF(D23="MCQ","Correct=1, Incorrect=0",IF(F23="Yes","Reverse: 6-response","Direct: response score"))</f>
        <v>Direct: response score</v>
      </c>
      <c r="H23" s="15"/>
    </row>
    <row r="24" ht="17.45" customHeight="1">
      <c r="A24" t="str" s="13" cm="1">
        <f t="array" ref="A24">'Question_Bank'!A24</f>
        <v>NPI0020</v>
      </c>
      <c r="B24" t="str" s="14" cm="1">
        <f t="array" ref="B24">'Question_Bank'!C24</f>
        <v>RIASEC Interest</v>
      </c>
      <c r="C24" t="str" s="14" cm="1">
        <f t="array" ref="C24">'Question_Bank'!D24</f>
        <v>Investigative</v>
      </c>
      <c r="D24" t="str" s="14" cm="1">
        <f t="array" ref="D24">'Question_Bank'!F24</f>
        <v>Likert</v>
      </c>
      <c r="E24" s="172" cm="1">
        <f t="array" ref="E24">'Question_Bank'!L24</f>
        <v>0</v>
      </c>
      <c r="F24" t="str" s="14" cm="1">
        <f t="array" ref="F24">'Question_Bank'!N24</f>
        <v>No</v>
      </c>
      <c r="G24" t="str" s="14" cm="1">
        <f t="array" ref="G24">IF(D24="MCQ","Correct=1, Incorrect=0",IF(F24="Yes","Reverse: 6-response","Direct: response score"))</f>
        <v>Direct: response score</v>
      </c>
      <c r="H24" s="15"/>
    </row>
    <row r="25" ht="17.45" customHeight="1">
      <c r="A25" t="str" s="13" cm="1">
        <f t="array" ref="A25">'Question_Bank'!A25</f>
        <v>NPI0021</v>
      </c>
      <c r="B25" t="str" s="14" cm="1">
        <f t="array" ref="B25">'Question_Bank'!C25</f>
        <v>RIASEC Interest</v>
      </c>
      <c r="C25" t="str" s="14" cm="1">
        <f t="array" ref="C25">'Question_Bank'!D25</f>
        <v>Investigative</v>
      </c>
      <c r="D25" t="str" s="14" cm="1">
        <f t="array" ref="D25">'Question_Bank'!F25</f>
        <v>Likert</v>
      </c>
      <c r="E25" s="172" cm="1">
        <f t="array" ref="E25">'Question_Bank'!L25</f>
        <v>0</v>
      </c>
      <c r="F25" t="str" s="14" cm="1">
        <f t="array" ref="F25">'Question_Bank'!N25</f>
        <v>No</v>
      </c>
      <c r="G25" t="str" s="14" cm="1">
        <f t="array" ref="G25">IF(D25="MCQ","Correct=1, Incorrect=0",IF(F25="Yes","Reverse: 6-response","Direct: response score"))</f>
        <v>Direct: response score</v>
      </c>
      <c r="H25" s="15"/>
    </row>
    <row r="26" ht="17.45" customHeight="1">
      <c r="A26" t="str" s="13" cm="1">
        <f t="array" ref="A26">'Question_Bank'!A26</f>
        <v>NPI0022</v>
      </c>
      <c r="B26" t="str" s="14" cm="1">
        <f t="array" ref="B26">'Question_Bank'!C26</f>
        <v>RIASEC Interest</v>
      </c>
      <c r="C26" t="str" s="14" cm="1">
        <f t="array" ref="C26">'Question_Bank'!D26</f>
        <v>Investigative</v>
      </c>
      <c r="D26" t="str" s="14" cm="1">
        <f t="array" ref="D26">'Question_Bank'!F26</f>
        <v>Likert</v>
      </c>
      <c r="E26" s="172" cm="1">
        <f t="array" ref="E26">'Question_Bank'!L26</f>
        <v>0</v>
      </c>
      <c r="F26" t="str" s="14" cm="1">
        <f t="array" ref="F26">'Question_Bank'!N26</f>
        <v>No</v>
      </c>
      <c r="G26" t="str" s="14" cm="1">
        <f t="array" ref="G26">IF(D26="MCQ","Correct=1, Incorrect=0",IF(F26="Yes","Reverse: 6-response","Direct: response score"))</f>
        <v>Direct: response score</v>
      </c>
      <c r="H26" s="15"/>
    </row>
    <row r="27" ht="17.45" customHeight="1">
      <c r="A27" t="str" s="13" cm="1">
        <f t="array" ref="A27">'Question_Bank'!A27</f>
        <v>NPI0023</v>
      </c>
      <c r="B27" t="str" s="14" cm="1">
        <f t="array" ref="B27">'Question_Bank'!C27</f>
        <v>RIASEC Interest</v>
      </c>
      <c r="C27" t="str" s="14" cm="1">
        <f t="array" ref="C27">'Question_Bank'!D27</f>
        <v>Investigative</v>
      </c>
      <c r="D27" t="str" s="14" cm="1">
        <f t="array" ref="D27">'Question_Bank'!F27</f>
        <v>Likert</v>
      </c>
      <c r="E27" s="172" cm="1">
        <f t="array" ref="E27">'Question_Bank'!L27</f>
        <v>0</v>
      </c>
      <c r="F27" t="str" s="14" cm="1">
        <f t="array" ref="F27">'Question_Bank'!N27</f>
        <v>No</v>
      </c>
      <c r="G27" t="str" s="14" cm="1">
        <f t="array" ref="G27">IF(D27="MCQ","Correct=1, Incorrect=0",IF(F27="Yes","Reverse: 6-response","Direct: response score"))</f>
        <v>Direct: response score</v>
      </c>
      <c r="H27" s="15"/>
    </row>
    <row r="28" ht="17.45" customHeight="1">
      <c r="A28" t="str" s="13" cm="1">
        <f t="array" ref="A28">'Question_Bank'!A28</f>
        <v>NPI0024</v>
      </c>
      <c r="B28" t="str" s="14" cm="1">
        <f t="array" ref="B28">'Question_Bank'!C28</f>
        <v>RIASEC Interest</v>
      </c>
      <c r="C28" t="str" s="14" cm="1">
        <f t="array" ref="C28">'Question_Bank'!D28</f>
        <v>Investigative</v>
      </c>
      <c r="D28" t="str" s="14" cm="1">
        <f t="array" ref="D28">'Question_Bank'!F28</f>
        <v>Likert</v>
      </c>
      <c r="E28" s="172" cm="1">
        <f t="array" ref="E28">'Question_Bank'!L28</f>
        <v>0</v>
      </c>
      <c r="F28" t="str" s="14" cm="1">
        <f t="array" ref="F28">'Question_Bank'!N28</f>
        <v>No</v>
      </c>
      <c r="G28" t="str" s="14" cm="1">
        <f t="array" ref="G28">IF(D28="MCQ","Correct=1, Incorrect=0",IF(F28="Yes","Reverse: 6-response","Direct: response score"))</f>
        <v>Direct: response score</v>
      </c>
      <c r="H28" s="15"/>
    </row>
    <row r="29" ht="17.45" customHeight="1">
      <c r="A29" t="str" s="13" cm="1">
        <f t="array" ref="A29">'Question_Bank'!A29</f>
        <v>NPI0025</v>
      </c>
      <c r="B29" t="str" s="14" cm="1">
        <f t="array" ref="B29">'Question_Bank'!C29</f>
        <v>RIASEC Interest</v>
      </c>
      <c r="C29" t="str" s="14" cm="1">
        <f t="array" ref="C29">'Question_Bank'!D29</f>
        <v>Investigative</v>
      </c>
      <c r="D29" t="str" s="14" cm="1">
        <f t="array" ref="D29">'Question_Bank'!F29</f>
        <v>Likert</v>
      </c>
      <c r="E29" s="172" cm="1">
        <f t="array" ref="E29">'Question_Bank'!L29</f>
        <v>0</v>
      </c>
      <c r="F29" t="str" s="14" cm="1">
        <f t="array" ref="F29">'Question_Bank'!N29</f>
        <v>No</v>
      </c>
      <c r="G29" t="str" s="14" cm="1">
        <f t="array" ref="G29">IF(D29="MCQ","Correct=1, Incorrect=0",IF(F29="Yes","Reverse: 6-response","Direct: response score"))</f>
        <v>Direct: response score</v>
      </c>
      <c r="H29" s="15"/>
    </row>
    <row r="30" ht="17.45" customHeight="1">
      <c r="A30" t="str" s="13" cm="1">
        <f t="array" ref="A30">'Question_Bank'!A30</f>
        <v>NPI0026</v>
      </c>
      <c r="B30" t="str" s="14" cm="1">
        <f t="array" ref="B30">'Question_Bank'!C30</f>
        <v>RIASEC Interest</v>
      </c>
      <c r="C30" t="str" s="14" cm="1">
        <f t="array" ref="C30">'Question_Bank'!D30</f>
        <v>Investigative</v>
      </c>
      <c r="D30" t="str" s="14" cm="1">
        <f t="array" ref="D30">'Question_Bank'!F30</f>
        <v>Likert</v>
      </c>
      <c r="E30" s="172" cm="1">
        <f t="array" ref="E30">'Question_Bank'!L30</f>
        <v>0</v>
      </c>
      <c r="F30" t="str" s="14" cm="1">
        <f t="array" ref="F30">'Question_Bank'!N30</f>
        <v>No</v>
      </c>
      <c r="G30" t="str" s="14" cm="1">
        <f t="array" ref="G30">IF(D30="MCQ","Correct=1, Incorrect=0",IF(F30="Yes","Reverse: 6-response","Direct: response score"))</f>
        <v>Direct: response score</v>
      </c>
      <c r="H30" s="15"/>
    </row>
    <row r="31" ht="17.45" customHeight="1">
      <c r="A31" t="str" s="13" cm="1">
        <f t="array" ref="A31">'Question_Bank'!A31</f>
        <v>NPI0027</v>
      </c>
      <c r="B31" t="str" s="14" cm="1">
        <f t="array" ref="B31">'Question_Bank'!C31</f>
        <v>RIASEC Interest</v>
      </c>
      <c r="C31" t="str" s="14" cm="1">
        <f t="array" ref="C31">'Question_Bank'!D31</f>
        <v>Investigative</v>
      </c>
      <c r="D31" t="str" s="14" cm="1">
        <f t="array" ref="D31">'Question_Bank'!F31</f>
        <v>Likert</v>
      </c>
      <c r="E31" s="172" cm="1">
        <f t="array" ref="E31">'Question_Bank'!L31</f>
        <v>0</v>
      </c>
      <c r="F31" t="str" s="14" cm="1">
        <f t="array" ref="F31">'Question_Bank'!N31</f>
        <v>No</v>
      </c>
      <c r="G31" t="str" s="14" cm="1">
        <f t="array" ref="G31">IF(D31="MCQ","Correct=1, Incorrect=0",IF(F31="Yes","Reverse: 6-response","Direct: response score"))</f>
        <v>Direct: response score</v>
      </c>
      <c r="H31" s="15"/>
    </row>
    <row r="32" ht="17.45" customHeight="1">
      <c r="A32" t="str" s="13" cm="1">
        <f t="array" ref="A32">'Question_Bank'!A32</f>
        <v>NPI0028</v>
      </c>
      <c r="B32" t="str" s="14" cm="1">
        <f t="array" ref="B32">'Question_Bank'!C32</f>
        <v>RIASEC Interest</v>
      </c>
      <c r="C32" t="str" s="14" cm="1">
        <f t="array" ref="C32">'Question_Bank'!D32</f>
        <v>Investigative</v>
      </c>
      <c r="D32" t="str" s="14" cm="1">
        <f t="array" ref="D32">'Question_Bank'!F32</f>
        <v>Likert</v>
      </c>
      <c r="E32" s="172" cm="1">
        <f t="array" ref="E32">'Question_Bank'!L32</f>
        <v>0</v>
      </c>
      <c r="F32" t="str" s="14" cm="1">
        <f t="array" ref="F32">'Question_Bank'!N32</f>
        <v>No</v>
      </c>
      <c r="G32" t="str" s="14" cm="1">
        <f t="array" ref="G32">IF(D32="MCQ","Correct=1, Incorrect=0",IF(F32="Yes","Reverse: 6-response","Direct: response score"))</f>
        <v>Direct: response score</v>
      </c>
      <c r="H32" s="15"/>
    </row>
    <row r="33" ht="17.45" customHeight="1">
      <c r="A33" t="str" s="13" cm="1">
        <f t="array" ref="A33">'Question_Bank'!A33</f>
        <v>NPI0029</v>
      </c>
      <c r="B33" t="str" s="14" cm="1">
        <f t="array" ref="B33">'Question_Bank'!C33</f>
        <v>RIASEC Interest</v>
      </c>
      <c r="C33" t="str" s="14" cm="1">
        <f t="array" ref="C33">'Question_Bank'!D33</f>
        <v>Investigative</v>
      </c>
      <c r="D33" t="str" s="14" cm="1">
        <f t="array" ref="D33">'Question_Bank'!F33</f>
        <v>Likert</v>
      </c>
      <c r="E33" s="172" cm="1">
        <f t="array" ref="E33">'Question_Bank'!L33</f>
        <v>0</v>
      </c>
      <c r="F33" t="str" s="14" cm="1">
        <f t="array" ref="F33">'Question_Bank'!N33</f>
        <v>No</v>
      </c>
      <c r="G33" t="str" s="14" cm="1">
        <f t="array" ref="G33">IF(D33="MCQ","Correct=1, Incorrect=0",IF(F33="Yes","Reverse: 6-response","Direct: response score"))</f>
        <v>Direct: response score</v>
      </c>
      <c r="H33" s="15"/>
    </row>
    <row r="34" ht="17.45" customHeight="1">
      <c r="A34" t="str" s="13" cm="1">
        <f t="array" ref="A34">'Question_Bank'!A34</f>
        <v>NPI0030</v>
      </c>
      <c r="B34" t="str" s="14" cm="1">
        <f t="array" ref="B34">'Question_Bank'!C34</f>
        <v>RIASEC Interest</v>
      </c>
      <c r="C34" t="str" s="14" cm="1">
        <f t="array" ref="C34">'Question_Bank'!D34</f>
        <v>Investigative</v>
      </c>
      <c r="D34" t="str" s="14" cm="1">
        <f t="array" ref="D34">'Question_Bank'!F34</f>
        <v>Likert</v>
      </c>
      <c r="E34" s="172" cm="1">
        <f t="array" ref="E34">'Question_Bank'!L34</f>
        <v>0</v>
      </c>
      <c r="F34" t="str" s="14" cm="1">
        <f t="array" ref="F34">'Question_Bank'!N34</f>
        <v>No</v>
      </c>
      <c r="G34" t="str" s="14" cm="1">
        <f t="array" ref="G34">IF(D34="MCQ","Correct=1, Incorrect=0",IF(F34="Yes","Reverse: 6-response","Direct: response score"))</f>
        <v>Direct: response score</v>
      </c>
      <c r="H34" s="15"/>
    </row>
    <row r="35" ht="17.45" customHeight="1">
      <c r="A35" t="str" s="13" cm="1">
        <f t="array" ref="A35">'Question_Bank'!A35</f>
        <v>NPI0031</v>
      </c>
      <c r="B35" t="str" s="14" cm="1">
        <f t="array" ref="B35">'Question_Bank'!C35</f>
        <v>RIASEC Interest</v>
      </c>
      <c r="C35" t="str" s="14" cm="1">
        <f t="array" ref="C35">'Question_Bank'!D35</f>
        <v>Artistic</v>
      </c>
      <c r="D35" t="str" s="14" cm="1">
        <f t="array" ref="D35">'Question_Bank'!F35</f>
        <v>Likert</v>
      </c>
      <c r="E35" s="172" cm="1">
        <f t="array" ref="E35">'Question_Bank'!L35</f>
        <v>0</v>
      </c>
      <c r="F35" t="str" s="14" cm="1">
        <f t="array" ref="F35">'Question_Bank'!N35</f>
        <v>No</v>
      </c>
      <c r="G35" t="str" s="14" cm="1">
        <f t="array" ref="G35">IF(D35="MCQ","Correct=1, Incorrect=0",IF(F35="Yes","Reverse: 6-response","Direct: response score"))</f>
        <v>Direct: response score</v>
      </c>
      <c r="H35" s="15"/>
    </row>
    <row r="36" ht="17.45" customHeight="1">
      <c r="A36" t="str" s="13" cm="1">
        <f t="array" ref="A36">'Question_Bank'!A36</f>
        <v>NPI0032</v>
      </c>
      <c r="B36" t="str" s="14" cm="1">
        <f t="array" ref="B36">'Question_Bank'!C36</f>
        <v>RIASEC Interest</v>
      </c>
      <c r="C36" t="str" s="14" cm="1">
        <f t="array" ref="C36">'Question_Bank'!D36</f>
        <v>Artistic</v>
      </c>
      <c r="D36" t="str" s="14" cm="1">
        <f t="array" ref="D36">'Question_Bank'!F36</f>
        <v>Likert</v>
      </c>
      <c r="E36" s="172" cm="1">
        <f t="array" ref="E36">'Question_Bank'!L36</f>
        <v>0</v>
      </c>
      <c r="F36" t="str" s="14" cm="1">
        <f t="array" ref="F36">'Question_Bank'!N36</f>
        <v>No</v>
      </c>
      <c r="G36" t="str" s="14" cm="1">
        <f t="array" ref="G36">IF(D36="MCQ","Correct=1, Incorrect=0",IF(F36="Yes","Reverse: 6-response","Direct: response score"))</f>
        <v>Direct: response score</v>
      </c>
      <c r="H36" s="15"/>
    </row>
    <row r="37" ht="17.45" customHeight="1">
      <c r="A37" t="str" s="13" cm="1">
        <f t="array" ref="A37">'Question_Bank'!A37</f>
        <v>NPI0033</v>
      </c>
      <c r="B37" t="str" s="14" cm="1">
        <f t="array" ref="B37">'Question_Bank'!C37</f>
        <v>RIASEC Interest</v>
      </c>
      <c r="C37" t="str" s="14" cm="1">
        <f t="array" ref="C37">'Question_Bank'!D37</f>
        <v>Artistic</v>
      </c>
      <c r="D37" t="str" s="14" cm="1">
        <f t="array" ref="D37">'Question_Bank'!F37</f>
        <v>Likert</v>
      </c>
      <c r="E37" s="172" cm="1">
        <f t="array" ref="E37">'Question_Bank'!L37</f>
        <v>0</v>
      </c>
      <c r="F37" t="str" s="14" cm="1">
        <f t="array" ref="F37">'Question_Bank'!N37</f>
        <v>No</v>
      </c>
      <c r="G37" t="str" s="14" cm="1">
        <f t="array" ref="G37">IF(D37="MCQ","Correct=1, Incorrect=0",IF(F37="Yes","Reverse: 6-response","Direct: response score"))</f>
        <v>Direct: response score</v>
      </c>
      <c r="H37" s="15"/>
    </row>
    <row r="38" ht="17.45" customHeight="1">
      <c r="A38" t="str" s="13" cm="1">
        <f t="array" ref="A38">'Question_Bank'!A38</f>
        <v>NPI0034</v>
      </c>
      <c r="B38" t="str" s="14" cm="1">
        <f t="array" ref="B38">'Question_Bank'!C38</f>
        <v>RIASEC Interest</v>
      </c>
      <c r="C38" t="str" s="14" cm="1">
        <f t="array" ref="C38">'Question_Bank'!D38</f>
        <v>Artistic</v>
      </c>
      <c r="D38" t="str" s="14" cm="1">
        <f t="array" ref="D38">'Question_Bank'!F38</f>
        <v>Likert</v>
      </c>
      <c r="E38" s="172" cm="1">
        <f t="array" ref="E38">'Question_Bank'!L38</f>
        <v>0</v>
      </c>
      <c r="F38" t="str" s="14" cm="1">
        <f t="array" ref="F38">'Question_Bank'!N38</f>
        <v>No</v>
      </c>
      <c r="G38" t="str" s="14" cm="1">
        <f t="array" ref="G38">IF(D38="MCQ","Correct=1, Incorrect=0",IF(F38="Yes","Reverse: 6-response","Direct: response score"))</f>
        <v>Direct: response score</v>
      </c>
      <c r="H38" s="15"/>
    </row>
    <row r="39" ht="17.45" customHeight="1">
      <c r="A39" t="str" s="13" cm="1">
        <f t="array" ref="A39">'Question_Bank'!A39</f>
        <v>NPI0035</v>
      </c>
      <c r="B39" t="str" s="14" cm="1">
        <f t="array" ref="B39">'Question_Bank'!C39</f>
        <v>RIASEC Interest</v>
      </c>
      <c r="C39" t="str" s="14" cm="1">
        <f t="array" ref="C39">'Question_Bank'!D39</f>
        <v>Artistic</v>
      </c>
      <c r="D39" t="str" s="14" cm="1">
        <f t="array" ref="D39">'Question_Bank'!F39</f>
        <v>Likert</v>
      </c>
      <c r="E39" s="172" cm="1">
        <f t="array" ref="E39">'Question_Bank'!L39</f>
        <v>0</v>
      </c>
      <c r="F39" t="str" s="14" cm="1">
        <f t="array" ref="F39">'Question_Bank'!N39</f>
        <v>No</v>
      </c>
      <c r="G39" t="str" s="14" cm="1">
        <f t="array" ref="G39">IF(D39="MCQ","Correct=1, Incorrect=0",IF(F39="Yes","Reverse: 6-response","Direct: response score"))</f>
        <v>Direct: response score</v>
      </c>
      <c r="H39" s="15"/>
    </row>
    <row r="40" ht="17.45" customHeight="1">
      <c r="A40" t="str" s="13" cm="1">
        <f t="array" ref="A40">'Question_Bank'!A40</f>
        <v>NPI0036</v>
      </c>
      <c r="B40" t="str" s="14" cm="1">
        <f t="array" ref="B40">'Question_Bank'!C40</f>
        <v>RIASEC Interest</v>
      </c>
      <c r="C40" t="str" s="14" cm="1">
        <f t="array" ref="C40">'Question_Bank'!D40</f>
        <v>Artistic</v>
      </c>
      <c r="D40" t="str" s="14" cm="1">
        <f t="array" ref="D40">'Question_Bank'!F40</f>
        <v>Likert</v>
      </c>
      <c r="E40" s="172" cm="1">
        <f t="array" ref="E40">'Question_Bank'!L40</f>
        <v>0</v>
      </c>
      <c r="F40" t="str" s="14" cm="1">
        <f t="array" ref="F40">'Question_Bank'!N40</f>
        <v>No</v>
      </c>
      <c r="G40" t="str" s="14" cm="1">
        <f t="array" ref="G40">IF(D40="MCQ","Correct=1, Incorrect=0",IF(F40="Yes","Reverse: 6-response","Direct: response score"))</f>
        <v>Direct: response score</v>
      </c>
      <c r="H40" s="15"/>
    </row>
    <row r="41" ht="17.45" customHeight="1">
      <c r="A41" t="str" s="13" cm="1">
        <f t="array" ref="A41">'Question_Bank'!A41</f>
        <v>NPI0037</v>
      </c>
      <c r="B41" t="str" s="14" cm="1">
        <f t="array" ref="B41">'Question_Bank'!C41</f>
        <v>RIASEC Interest</v>
      </c>
      <c r="C41" t="str" s="14" cm="1">
        <f t="array" ref="C41">'Question_Bank'!D41</f>
        <v>Artistic</v>
      </c>
      <c r="D41" t="str" s="14" cm="1">
        <f t="array" ref="D41">'Question_Bank'!F41</f>
        <v>Likert</v>
      </c>
      <c r="E41" s="172" cm="1">
        <f t="array" ref="E41">'Question_Bank'!L41</f>
        <v>0</v>
      </c>
      <c r="F41" t="str" s="14" cm="1">
        <f t="array" ref="F41">'Question_Bank'!N41</f>
        <v>No</v>
      </c>
      <c r="G41" t="str" s="14" cm="1">
        <f t="array" ref="G41">IF(D41="MCQ","Correct=1, Incorrect=0",IF(F41="Yes","Reverse: 6-response","Direct: response score"))</f>
        <v>Direct: response score</v>
      </c>
      <c r="H41" s="15"/>
    </row>
    <row r="42" ht="17.45" customHeight="1">
      <c r="A42" t="str" s="13" cm="1">
        <f t="array" ref="A42">'Question_Bank'!A42</f>
        <v>NPI0038</v>
      </c>
      <c r="B42" t="str" s="14" cm="1">
        <f t="array" ref="B42">'Question_Bank'!C42</f>
        <v>RIASEC Interest</v>
      </c>
      <c r="C42" t="str" s="14" cm="1">
        <f t="array" ref="C42">'Question_Bank'!D42</f>
        <v>Artistic</v>
      </c>
      <c r="D42" t="str" s="14" cm="1">
        <f t="array" ref="D42">'Question_Bank'!F42</f>
        <v>Likert</v>
      </c>
      <c r="E42" s="172" cm="1">
        <f t="array" ref="E42">'Question_Bank'!L42</f>
        <v>0</v>
      </c>
      <c r="F42" t="str" s="14" cm="1">
        <f t="array" ref="F42">'Question_Bank'!N42</f>
        <v>No</v>
      </c>
      <c r="G42" t="str" s="14" cm="1">
        <f t="array" ref="G42">IF(D42="MCQ","Correct=1, Incorrect=0",IF(F42="Yes","Reverse: 6-response","Direct: response score"))</f>
        <v>Direct: response score</v>
      </c>
      <c r="H42" s="15"/>
    </row>
    <row r="43" ht="17.45" customHeight="1">
      <c r="A43" t="str" s="13" cm="1">
        <f t="array" ref="A43">'Question_Bank'!A43</f>
        <v>NPI0039</v>
      </c>
      <c r="B43" t="str" s="14" cm="1">
        <f t="array" ref="B43">'Question_Bank'!C43</f>
        <v>RIASEC Interest</v>
      </c>
      <c r="C43" t="str" s="14" cm="1">
        <f t="array" ref="C43">'Question_Bank'!D43</f>
        <v>Artistic</v>
      </c>
      <c r="D43" t="str" s="14" cm="1">
        <f t="array" ref="D43">'Question_Bank'!F43</f>
        <v>Likert</v>
      </c>
      <c r="E43" s="172" cm="1">
        <f t="array" ref="E43">'Question_Bank'!L43</f>
        <v>0</v>
      </c>
      <c r="F43" t="str" s="14" cm="1">
        <f t="array" ref="F43">'Question_Bank'!N43</f>
        <v>No</v>
      </c>
      <c r="G43" t="str" s="14" cm="1">
        <f t="array" ref="G43">IF(D43="MCQ","Correct=1, Incorrect=0",IF(F43="Yes","Reverse: 6-response","Direct: response score"))</f>
        <v>Direct: response score</v>
      </c>
      <c r="H43" s="15"/>
    </row>
    <row r="44" ht="17.45" customHeight="1">
      <c r="A44" t="str" s="13" cm="1">
        <f t="array" ref="A44">'Question_Bank'!A44</f>
        <v>NPI0040</v>
      </c>
      <c r="B44" t="str" s="14" cm="1">
        <f t="array" ref="B44">'Question_Bank'!C44</f>
        <v>RIASEC Interest</v>
      </c>
      <c r="C44" t="str" s="14" cm="1">
        <f t="array" ref="C44">'Question_Bank'!D44</f>
        <v>Artistic</v>
      </c>
      <c r="D44" t="str" s="14" cm="1">
        <f t="array" ref="D44">'Question_Bank'!F44</f>
        <v>Likert</v>
      </c>
      <c r="E44" s="172" cm="1">
        <f t="array" ref="E44">'Question_Bank'!L44</f>
        <v>0</v>
      </c>
      <c r="F44" t="str" s="14" cm="1">
        <f t="array" ref="F44">'Question_Bank'!N44</f>
        <v>No</v>
      </c>
      <c r="G44" t="str" s="14" cm="1">
        <f t="array" ref="G44">IF(D44="MCQ","Correct=1, Incorrect=0",IF(F44="Yes","Reverse: 6-response","Direct: response score"))</f>
        <v>Direct: response score</v>
      </c>
      <c r="H44" s="15"/>
    </row>
    <row r="45" ht="17.45" customHeight="1">
      <c r="A45" t="str" s="13" cm="1">
        <f t="array" ref="A45">'Question_Bank'!A45</f>
        <v>NPI0041</v>
      </c>
      <c r="B45" t="str" s="14" cm="1">
        <f t="array" ref="B45">'Question_Bank'!C45</f>
        <v>RIASEC Interest</v>
      </c>
      <c r="C45" t="str" s="14" cm="1">
        <f t="array" ref="C45">'Question_Bank'!D45</f>
        <v>Artistic</v>
      </c>
      <c r="D45" t="str" s="14" cm="1">
        <f t="array" ref="D45">'Question_Bank'!F45</f>
        <v>Likert</v>
      </c>
      <c r="E45" s="172" cm="1">
        <f t="array" ref="E45">'Question_Bank'!L45</f>
        <v>0</v>
      </c>
      <c r="F45" t="str" s="14" cm="1">
        <f t="array" ref="F45">'Question_Bank'!N45</f>
        <v>No</v>
      </c>
      <c r="G45" t="str" s="14" cm="1">
        <f t="array" ref="G45">IF(D45="MCQ","Correct=1, Incorrect=0",IF(F45="Yes","Reverse: 6-response","Direct: response score"))</f>
        <v>Direct: response score</v>
      </c>
      <c r="H45" s="15"/>
    </row>
    <row r="46" ht="17.45" customHeight="1">
      <c r="A46" t="str" s="13" cm="1">
        <f t="array" ref="A46">'Question_Bank'!A46</f>
        <v>NPI0042</v>
      </c>
      <c r="B46" t="str" s="14" cm="1">
        <f t="array" ref="B46">'Question_Bank'!C46</f>
        <v>RIASEC Interest</v>
      </c>
      <c r="C46" t="str" s="14" cm="1">
        <f t="array" ref="C46">'Question_Bank'!D46</f>
        <v>Artistic</v>
      </c>
      <c r="D46" t="str" s="14" cm="1">
        <f t="array" ref="D46">'Question_Bank'!F46</f>
        <v>Likert</v>
      </c>
      <c r="E46" s="172" cm="1">
        <f t="array" ref="E46">'Question_Bank'!L46</f>
        <v>0</v>
      </c>
      <c r="F46" t="str" s="14" cm="1">
        <f t="array" ref="F46">'Question_Bank'!N46</f>
        <v>No</v>
      </c>
      <c r="G46" t="str" s="14" cm="1">
        <f t="array" ref="G46">IF(D46="MCQ","Correct=1, Incorrect=0",IF(F46="Yes","Reverse: 6-response","Direct: response score"))</f>
        <v>Direct: response score</v>
      </c>
      <c r="H46" s="15"/>
    </row>
    <row r="47" ht="17.45" customHeight="1">
      <c r="A47" t="str" s="13" cm="1">
        <f t="array" ref="A47">'Question_Bank'!A47</f>
        <v>NPI0043</v>
      </c>
      <c r="B47" t="str" s="14" cm="1">
        <f t="array" ref="B47">'Question_Bank'!C47</f>
        <v>RIASEC Interest</v>
      </c>
      <c r="C47" t="str" s="14" cm="1">
        <f t="array" ref="C47">'Question_Bank'!D47</f>
        <v>Artistic</v>
      </c>
      <c r="D47" t="str" s="14" cm="1">
        <f t="array" ref="D47">'Question_Bank'!F47</f>
        <v>Likert</v>
      </c>
      <c r="E47" s="172" cm="1">
        <f t="array" ref="E47">'Question_Bank'!L47</f>
        <v>0</v>
      </c>
      <c r="F47" t="str" s="14" cm="1">
        <f t="array" ref="F47">'Question_Bank'!N47</f>
        <v>No</v>
      </c>
      <c r="G47" t="str" s="14" cm="1">
        <f t="array" ref="G47">IF(D47="MCQ","Correct=1, Incorrect=0",IF(F47="Yes","Reverse: 6-response","Direct: response score"))</f>
        <v>Direct: response score</v>
      </c>
      <c r="H47" s="15"/>
    </row>
    <row r="48" ht="17.45" customHeight="1">
      <c r="A48" t="str" s="13" cm="1">
        <f t="array" ref="A48">'Question_Bank'!A48</f>
        <v>NPI0044</v>
      </c>
      <c r="B48" t="str" s="14" cm="1">
        <f t="array" ref="B48">'Question_Bank'!C48</f>
        <v>RIASEC Interest</v>
      </c>
      <c r="C48" t="str" s="14" cm="1">
        <f t="array" ref="C48">'Question_Bank'!D48</f>
        <v>Artistic</v>
      </c>
      <c r="D48" t="str" s="14" cm="1">
        <f t="array" ref="D48">'Question_Bank'!F48</f>
        <v>Likert</v>
      </c>
      <c r="E48" s="172" cm="1">
        <f t="array" ref="E48">'Question_Bank'!L48</f>
        <v>0</v>
      </c>
      <c r="F48" t="str" s="14" cm="1">
        <f t="array" ref="F48">'Question_Bank'!N48</f>
        <v>No</v>
      </c>
      <c r="G48" t="str" s="14" cm="1">
        <f t="array" ref="G48">IF(D48="MCQ","Correct=1, Incorrect=0",IF(F48="Yes","Reverse: 6-response","Direct: response score"))</f>
        <v>Direct: response score</v>
      </c>
      <c r="H48" s="15"/>
    </row>
    <row r="49" ht="17.45" customHeight="1">
      <c r="A49" t="str" s="13" cm="1">
        <f t="array" ref="A49">'Question_Bank'!A49</f>
        <v>NPI0045</v>
      </c>
      <c r="B49" t="str" s="14" cm="1">
        <f t="array" ref="B49">'Question_Bank'!C49</f>
        <v>RIASEC Interest</v>
      </c>
      <c r="C49" t="str" s="14" cm="1">
        <f t="array" ref="C49">'Question_Bank'!D49</f>
        <v>Artistic</v>
      </c>
      <c r="D49" t="str" s="14" cm="1">
        <f t="array" ref="D49">'Question_Bank'!F49</f>
        <v>Likert</v>
      </c>
      <c r="E49" s="172" cm="1">
        <f t="array" ref="E49">'Question_Bank'!L49</f>
        <v>0</v>
      </c>
      <c r="F49" t="str" s="14" cm="1">
        <f t="array" ref="F49">'Question_Bank'!N49</f>
        <v>No</v>
      </c>
      <c r="G49" t="str" s="14" cm="1">
        <f t="array" ref="G49">IF(D49="MCQ","Correct=1, Incorrect=0",IF(F49="Yes","Reverse: 6-response","Direct: response score"))</f>
        <v>Direct: response score</v>
      </c>
      <c r="H49" s="15"/>
    </row>
    <row r="50" ht="17.45" customHeight="1">
      <c r="A50" t="str" s="13" cm="1">
        <f t="array" ref="A50">'Question_Bank'!A50</f>
        <v>NPI0046</v>
      </c>
      <c r="B50" t="str" s="14" cm="1">
        <f t="array" ref="B50">'Question_Bank'!C50</f>
        <v>RIASEC Interest</v>
      </c>
      <c r="C50" t="str" s="14" cm="1">
        <f t="array" ref="C50">'Question_Bank'!D50</f>
        <v>Social</v>
      </c>
      <c r="D50" t="str" s="14" cm="1">
        <f t="array" ref="D50">'Question_Bank'!F50</f>
        <v>Likert</v>
      </c>
      <c r="E50" s="172" cm="1">
        <f t="array" ref="E50">'Question_Bank'!L50</f>
        <v>0</v>
      </c>
      <c r="F50" t="str" s="14" cm="1">
        <f t="array" ref="F50">'Question_Bank'!N50</f>
        <v>No</v>
      </c>
      <c r="G50" t="str" s="14" cm="1">
        <f t="array" ref="G50">IF(D50="MCQ","Correct=1, Incorrect=0",IF(F50="Yes","Reverse: 6-response","Direct: response score"))</f>
        <v>Direct: response score</v>
      </c>
      <c r="H50" s="15"/>
    </row>
    <row r="51" ht="17.45" customHeight="1">
      <c r="A51" t="str" s="13" cm="1">
        <f t="array" ref="A51">'Question_Bank'!A51</f>
        <v>NPI0047</v>
      </c>
      <c r="B51" t="str" s="14" cm="1">
        <f t="array" ref="B51">'Question_Bank'!C51</f>
        <v>RIASEC Interest</v>
      </c>
      <c r="C51" t="str" s="14" cm="1">
        <f t="array" ref="C51">'Question_Bank'!D51</f>
        <v>Social</v>
      </c>
      <c r="D51" t="str" s="14" cm="1">
        <f t="array" ref="D51">'Question_Bank'!F51</f>
        <v>Likert</v>
      </c>
      <c r="E51" s="172" cm="1">
        <f t="array" ref="E51">'Question_Bank'!L51</f>
        <v>0</v>
      </c>
      <c r="F51" t="str" s="14" cm="1">
        <f t="array" ref="F51">'Question_Bank'!N51</f>
        <v>No</v>
      </c>
      <c r="G51" t="str" s="14" cm="1">
        <f t="array" ref="G51">IF(D51="MCQ","Correct=1, Incorrect=0",IF(F51="Yes","Reverse: 6-response","Direct: response score"))</f>
        <v>Direct: response score</v>
      </c>
      <c r="H51" s="15"/>
    </row>
    <row r="52" ht="17.45" customHeight="1">
      <c r="A52" t="str" s="13" cm="1">
        <f t="array" ref="A52">'Question_Bank'!A52</f>
        <v>NPI0048</v>
      </c>
      <c r="B52" t="str" s="14" cm="1">
        <f t="array" ref="B52">'Question_Bank'!C52</f>
        <v>RIASEC Interest</v>
      </c>
      <c r="C52" t="str" s="14" cm="1">
        <f t="array" ref="C52">'Question_Bank'!D52</f>
        <v>Social</v>
      </c>
      <c r="D52" t="str" s="14" cm="1">
        <f t="array" ref="D52">'Question_Bank'!F52</f>
        <v>Likert</v>
      </c>
      <c r="E52" s="172" cm="1">
        <f t="array" ref="E52">'Question_Bank'!L52</f>
        <v>0</v>
      </c>
      <c r="F52" t="str" s="14" cm="1">
        <f t="array" ref="F52">'Question_Bank'!N52</f>
        <v>No</v>
      </c>
      <c r="G52" t="str" s="14" cm="1">
        <f t="array" ref="G52">IF(D52="MCQ","Correct=1, Incorrect=0",IF(F52="Yes","Reverse: 6-response","Direct: response score"))</f>
        <v>Direct: response score</v>
      </c>
      <c r="H52" s="15"/>
    </row>
    <row r="53" ht="17.45" customHeight="1">
      <c r="A53" t="str" s="13" cm="1">
        <f t="array" ref="A53">'Question_Bank'!A53</f>
        <v>NPI0049</v>
      </c>
      <c r="B53" t="str" s="14" cm="1">
        <f t="array" ref="B53">'Question_Bank'!C53</f>
        <v>RIASEC Interest</v>
      </c>
      <c r="C53" t="str" s="14" cm="1">
        <f t="array" ref="C53">'Question_Bank'!D53</f>
        <v>Social</v>
      </c>
      <c r="D53" t="str" s="14" cm="1">
        <f t="array" ref="D53">'Question_Bank'!F53</f>
        <v>Likert</v>
      </c>
      <c r="E53" s="172" cm="1">
        <f t="array" ref="E53">'Question_Bank'!L53</f>
        <v>0</v>
      </c>
      <c r="F53" t="str" s="14" cm="1">
        <f t="array" ref="F53">'Question_Bank'!N53</f>
        <v>No</v>
      </c>
      <c r="G53" t="str" s="14" cm="1">
        <f t="array" ref="G53">IF(D53="MCQ","Correct=1, Incorrect=0",IF(F53="Yes","Reverse: 6-response","Direct: response score"))</f>
        <v>Direct: response score</v>
      </c>
      <c r="H53" s="15"/>
    </row>
    <row r="54" ht="17.45" customHeight="1">
      <c r="A54" t="str" s="13" cm="1">
        <f t="array" ref="A54">'Question_Bank'!A54</f>
        <v>NPI0050</v>
      </c>
      <c r="B54" t="str" s="14" cm="1">
        <f t="array" ref="B54">'Question_Bank'!C54</f>
        <v>RIASEC Interest</v>
      </c>
      <c r="C54" t="str" s="14" cm="1">
        <f t="array" ref="C54">'Question_Bank'!D54</f>
        <v>Social</v>
      </c>
      <c r="D54" t="str" s="14" cm="1">
        <f t="array" ref="D54">'Question_Bank'!F54</f>
        <v>Likert</v>
      </c>
      <c r="E54" s="172" cm="1">
        <f t="array" ref="E54">'Question_Bank'!L54</f>
        <v>0</v>
      </c>
      <c r="F54" t="str" s="14" cm="1">
        <f t="array" ref="F54">'Question_Bank'!N54</f>
        <v>No</v>
      </c>
      <c r="G54" t="str" s="14" cm="1">
        <f t="array" ref="G54">IF(D54="MCQ","Correct=1, Incorrect=0",IF(F54="Yes","Reverse: 6-response","Direct: response score"))</f>
        <v>Direct: response score</v>
      </c>
      <c r="H54" s="15"/>
    </row>
    <row r="55" ht="17.45" customHeight="1">
      <c r="A55" t="str" s="13" cm="1">
        <f t="array" ref="A55">'Question_Bank'!A55</f>
        <v>NPI0051</v>
      </c>
      <c r="B55" t="str" s="14" cm="1">
        <f t="array" ref="B55">'Question_Bank'!C55</f>
        <v>RIASEC Interest</v>
      </c>
      <c r="C55" t="str" s="14" cm="1">
        <f t="array" ref="C55">'Question_Bank'!D55</f>
        <v>Social</v>
      </c>
      <c r="D55" t="str" s="14" cm="1">
        <f t="array" ref="D55">'Question_Bank'!F55</f>
        <v>Likert</v>
      </c>
      <c r="E55" s="172" cm="1">
        <f t="array" ref="E55">'Question_Bank'!L55</f>
        <v>0</v>
      </c>
      <c r="F55" t="str" s="14" cm="1">
        <f t="array" ref="F55">'Question_Bank'!N55</f>
        <v>No</v>
      </c>
      <c r="G55" t="str" s="14" cm="1">
        <f t="array" ref="G55">IF(D55="MCQ","Correct=1, Incorrect=0",IF(F55="Yes","Reverse: 6-response","Direct: response score"))</f>
        <v>Direct: response score</v>
      </c>
      <c r="H55" s="15"/>
    </row>
    <row r="56" ht="17.45" customHeight="1">
      <c r="A56" t="str" s="13" cm="1">
        <f t="array" ref="A56">'Question_Bank'!A56</f>
        <v>NPI0052</v>
      </c>
      <c r="B56" t="str" s="14" cm="1">
        <f t="array" ref="B56">'Question_Bank'!C56</f>
        <v>RIASEC Interest</v>
      </c>
      <c r="C56" t="str" s="14" cm="1">
        <f t="array" ref="C56">'Question_Bank'!D56</f>
        <v>Social</v>
      </c>
      <c r="D56" t="str" s="14" cm="1">
        <f t="array" ref="D56">'Question_Bank'!F56</f>
        <v>Likert</v>
      </c>
      <c r="E56" s="172" cm="1">
        <f t="array" ref="E56">'Question_Bank'!L56</f>
        <v>0</v>
      </c>
      <c r="F56" t="str" s="14" cm="1">
        <f t="array" ref="F56">'Question_Bank'!N56</f>
        <v>No</v>
      </c>
      <c r="G56" t="str" s="14" cm="1">
        <f t="array" ref="G56">IF(D56="MCQ","Correct=1, Incorrect=0",IF(F56="Yes","Reverse: 6-response","Direct: response score"))</f>
        <v>Direct: response score</v>
      </c>
      <c r="H56" s="15"/>
    </row>
    <row r="57" ht="17.45" customHeight="1">
      <c r="A57" t="str" s="13" cm="1">
        <f t="array" ref="A57">'Question_Bank'!A57</f>
        <v>NPI0053</v>
      </c>
      <c r="B57" t="str" s="14" cm="1">
        <f t="array" ref="B57">'Question_Bank'!C57</f>
        <v>RIASEC Interest</v>
      </c>
      <c r="C57" t="str" s="14" cm="1">
        <f t="array" ref="C57">'Question_Bank'!D57</f>
        <v>Social</v>
      </c>
      <c r="D57" t="str" s="14" cm="1">
        <f t="array" ref="D57">'Question_Bank'!F57</f>
        <v>Likert</v>
      </c>
      <c r="E57" s="172" cm="1">
        <f t="array" ref="E57">'Question_Bank'!L57</f>
        <v>0</v>
      </c>
      <c r="F57" t="str" s="14" cm="1">
        <f t="array" ref="F57">'Question_Bank'!N57</f>
        <v>No</v>
      </c>
      <c r="G57" t="str" s="14" cm="1">
        <f t="array" ref="G57">IF(D57="MCQ","Correct=1, Incorrect=0",IF(F57="Yes","Reverse: 6-response","Direct: response score"))</f>
        <v>Direct: response score</v>
      </c>
      <c r="H57" s="15"/>
    </row>
    <row r="58" ht="17.45" customHeight="1">
      <c r="A58" t="str" s="13" cm="1">
        <f t="array" ref="A58">'Question_Bank'!A58</f>
        <v>NPI0054</v>
      </c>
      <c r="B58" t="str" s="14" cm="1">
        <f t="array" ref="B58">'Question_Bank'!C58</f>
        <v>RIASEC Interest</v>
      </c>
      <c r="C58" t="str" s="14" cm="1">
        <f t="array" ref="C58">'Question_Bank'!D58</f>
        <v>Social</v>
      </c>
      <c r="D58" t="str" s="14" cm="1">
        <f t="array" ref="D58">'Question_Bank'!F58</f>
        <v>Likert</v>
      </c>
      <c r="E58" s="172" cm="1">
        <f t="array" ref="E58">'Question_Bank'!L58</f>
        <v>0</v>
      </c>
      <c r="F58" t="str" s="14" cm="1">
        <f t="array" ref="F58">'Question_Bank'!N58</f>
        <v>No</v>
      </c>
      <c r="G58" t="str" s="14" cm="1">
        <f t="array" ref="G58">IF(D58="MCQ","Correct=1, Incorrect=0",IF(F58="Yes","Reverse: 6-response","Direct: response score"))</f>
        <v>Direct: response score</v>
      </c>
      <c r="H58" s="15"/>
    </row>
    <row r="59" ht="17.45" customHeight="1">
      <c r="A59" t="str" s="13" cm="1">
        <f t="array" ref="A59">'Question_Bank'!A59</f>
        <v>NPI0055</v>
      </c>
      <c r="B59" t="str" s="14" cm="1">
        <f t="array" ref="B59">'Question_Bank'!C59</f>
        <v>RIASEC Interest</v>
      </c>
      <c r="C59" t="str" s="14" cm="1">
        <f t="array" ref="C59">'Question_Bank'!D59</f>
        <v>Social</v>
      </c>
      <c r="D59" t="str" s="14" cm="1">
        <f t="array" ref="D59">'Question_Bank'!F59</f>
        <v>Likert</v>
      </c>
      <c r="E59" s="172" cm="1">
        <f t="array" ref="E59">'Question_Bank'!L59</f>
        <v>0</v>
      </c>
      <c r="F59" t="str" s="14" cm="1">
        <f t="array" ref="F59">'Question_Bank'!N59</f>
        <v>No</v>
      </c>
      <c r="G59" t="str" s="14" cm="1">
        <f t="array" ref="G59">IF(D59="MCQ","Correct=1, Incorrect=0",IF(F59="Yes","Reverse: 6-response","Direct: response score"))</f>
        <v>Direct: response score</v>
      </c>
      <c r="H59" s="15"/>
    </row>
    <row r="60" ht="17.45" customHeight="1">
      <c r="A60" t="str" s="13" cm="1">
        <f t="array" ref="A60">'Question_Bank'!A60</f>
        <v>NPI0056</v>
      </c>
      <c r="B60" t="str" s="14" cm="1">
        <f t="array" ref="B60">'Question_Bank'!C60</f>
        <v>RIASEC Interest</v>
      </c>
      <c r="C60" t="str" s="14" cm="1">
        <f t="array" ref="C60">'Question_Bank'!D60</f>
        <v>Social</v>
      </c>
      <c r="D60" t="str" s="14" cm="1">
        <f t="array" ref="D60">'Question_Bank'!F60</f>
        <v>Likert</v>
      </c>
      <c r="E60" s="172" cm="1">
        <f t="array" ref="E60">'Question_Bank'!L60</f>
        <v>0</v>
      </c>
      <c r="F60" t="str" s="14" cm="1">
        <f t="array" ref="F60">'Question_Bank'!N60</f>
        <v>No</v>
      </c>
      <c r="G60" t="str" s="14" cm="1">
        <f t="array" ref="G60">IF(D60="MCQ","Correct=1, Incorrect=0",IF(F60="Yes","Reverse: 6-response","Direct: response score"))</f>
        <v>Direct: response score</v>
      </c>
      <c r="H60" s="15"/>
    </row>
    <row r="61" ht="17.45" customHeight="1">
      <c r="A61" t="str" s="13" cm="1">
        <f t="array" ref="A61">'Question_Bank'!A61</f>
        <v>NPI0057</v>
      </c>
      <c r="B61" t="str" s="14" cm="1">
        <f t="array" ref="B61">'Question_Bank'!C61</f>
        <v>RIASEC Interest</v>
      </c>
      <c r="C61" t="str" s="14" cm="1">
        <f t="array" ref="C61">'Question_Bank'!D61</f>
        <v>Social</v>
      </c>
      <c r="D61" t="str" s="14" cm="1">
        <f t="array" ref="D61">'Question_Bank'!F61</f>
        <v>Likert</v>
      </c>
      <c r="E61" s="172" cm="1">
        <f t="array" ref="E61">'Question_Bank'!L61</f>
        <v>0</v>
      </c>
      <c r="F61" t="str" s="14" cm="1">
        <f t="array" ref="F61">'Question_Bank'!N61</f>
        <v>No</v>
      </c>
      <c r="G61" t="str" s="14" cm="1">
        <f t="array" ref="G61">IF(D61="MCQ","Correct=1, Incorrect=0",IF(F61="Yes","Reverse: 6-response","Direct: response score"))</f>
        <v>Direct: response score</v>
      </c>
      <c r="H61" s="15"/>
    </row>
    <row r="62" ht="17.45" customHeight="1">
      <c r="A62" t="str" s="13" cm="1">
        <f t="array" ref="A62">'Question_Bank'!A62</f>
        <v>NPI0058</v>
      </c>
      <c r="B62" t="str" s="14" cm="1">
        <f t="array" ref="B62">'Question_Bank'!C62</f>
        <v>RIASEC Interest</v>
      </c>
      <c r="C62" t="str" s="14" cm="1">
        <f t="array" ref="C62">'Question_Bank'!D62</f>
        <v>Social</v>
      </c>
      <c r="D62" t="str" s="14" cm="1">
        <f t="array" ref="D62">'Question_Bank'!F62</f>
        <v>Likert</v>
      </c>
      <c r="E62" s="172" cm="1">
        <f t="array" ref="E62">'Question_Bank'!L62</f>
        <v>0</v>
      </c>
      <c r="F62" t="str" s="14" cm="1">
        <f t="array" ref="F62">'Question_Bank'!N62</f>
        <v>No</v>
      </c>
      <c r="G62" t="str" s="14" cm="1">
        <f t="array" ref="G62">IF(D62="MCQ","Correct=1, Incorrect=0",IF(F62="Yes","Reverse: 6-response","Direct: response score"))</f>
        <v>Direct: response score</v>
      </c>
      <c r="H62" s="15"/>
    </row>
    <row r="63" ht="17.45" customHeight="1">
      <c r="A63" t="str" s="13" cm="1">
        <f t="array" ref="A63">'Question_Bank'!A63</f>
        <v>NPI0059</v>
      </c>
      <c r="B63" t="str" s="14" cm="1">
        <f t="array" ref="B63">'Question_Bank'!C63</f>
        <v>RIASEC Interest</v>
      </c>
      <c r="C63" t="str" s="14" cm="1">
        <f t="array" ref="C63">'Question_Bank'!D63</f>
        <v>Social</v>
      </c>
      <c r="D63" t="str" s="14" cm="1">
        <f t="array" ref="D63">'Question_Bank'!F63</f>
        <v>Likert</v>
      </c>
      <c r="E63" s="172" cm="1">
        <f t="array" ref="E63">'Question_Bank'!L63</f>
        <v>0</v>
      </c>
      <c r="F63" t="str" s="14" cm="1">
        <f t="array" ref="F63">'Question_Bank'!N63</f>
        <v>No</v>
      </c>
      <c r="G63" t="str" s="14" cm="1">
        <f t="array" ref="G63">IF(D63="MCQ","Correct=1, Incorrect=0",IF(F63="Yes","Reverse: 6-response","Direct: response score"))</f>
        <v>Direct: response score</v>
      </c>
      <c r="H63" s="15"/>
    </row>
    <row r="64" ht="17.45" customHeight="1">
      <c r="A64" t="str" s="13" cm="1">
        <f t="array" ref="A64">'Question_Bank'!A64</f>
        <v>NPI0060</v>
      </c>
      <c r="B64" t="str" s="14" cm="1">
        <f t="array" ref="B64">'Question_Bank'!C64</f>
        <v>RIASEC Interest</v>
      </c>
      <c r="C64" t="str" s="14" cm="1">
        <f t="array" ref="C64">'Question_Bank'!D64</f>
        <v>Social</v>
      </c>
      <c r="D64" t="str" s="14" cm="1">
        <f t="array" ref="D64">'Question_Bank'!F64</f>
        <v>Likert</v>
      </c>
      <c r="E64" s="172" cm="1">
        <f t="array" ref="E64">'Question_Bank'!L64</f>
        <v>0</v>
      </c>
      <c r="F64" t="str" s="14" cm="1">
        <f t="array" ref="F64">'Question_Bank'!N64</f>
        <v>No</v>
      </c>
      <c r="G64" t="str" s="14" cm="1">
        <f t="array" ref="G64">IF(D64="MCQ","Correct=1, Incorrect=0",IF(F64="Yes","Reverse: 6-response","Direct: response score"))</f>
        <v>Direct: response score</v>
      </c>
      <c r="H64" s="15"/>
    </row>
    <row r="65" ht="17.45" customHeight="1">
      <c r="A65" t="str" s="13" cm="1">
        <f t="array" ref="A65">'Question_Bank'!A65</f>
        <v>NPI0061</v>
      </c>
      <c r="B65" t="str" s="14" cm="1">
        <f t="array" ref="B65">'Question_Bank'!C65</f>
        <v>RIASEC Interest</v>
      </c>
      <c r="C65" t="str" s="14" cm="1">
        <f t="array" ref="C65">'Question_Bank'!D65</f>
        <v>Enterprising</v>
      </c>
      <c r="D65" t="str" s="14" cm="1">
        <f t="array" ref="D65">'Question_Bank'!F65</f>
        <v>Likert</v>
      </c>
      <c r="E65" s="172" cm="1">
        <f t="array" ref="E65">'Question_Bank'!L65</f>
        <v>0</v>
      </c>
      <c r="F65" t="str" s="14" cm="1">
        <f t="array" ref="F65">'Question_Bank'!N65</f>
        <v>No</v>
      </c>
      <c r="G65" t="str" s="14" cm="1">
        <f t="array" ref="G65">IF(D65="MCQ","Correct=1, Incorrect=0",IF(F65="Yes","Reverse: 6-response","Direct: response score"))</f>
        <v>Direct: response score</v>
      </c>
      <c r="H65" s="15"/>
    </row>
    <row r="66" ht="17.45" customHeight="1">
      <c r="A66" t="str" s="13" cm="1">
        <f t="array" ref="A66">'Question_Bank'!A66</f>
        <v>NPI0062</v>
      </c>
      <c r="B66" t="str" s="14" cm="1">
        <f t="array" ref="B66">'Question_Bank'!C66</f>
        <v>RIASEC Interest</v>
      </c>
      <c r="C66" t="str" s="14" cm="1">
        <f t="array" ref="C66">'Question_Bank'!D66</f>
        <v>Enterprising</v>
      </c>
      <c r="D66" t="str" s="14" cm="1">
        <f t="array" ref="D66">'Question_Bank'!F66</f>
        <v>Likert</v>
      </c>
      <c r="E66" s="172" cm="1">
        <f t="array" ref="E66">'Question_Bank'!L66</f>
        <v>0</v>
      </c>
      <c r="F66" t="str" s="14" cm="1">
        <f t="array" ref="F66">'Question_Bank'!N66</f>
        <v>No</v>
      </c>
      <c r="G66" t="str" s="14" cm="1">
        <f t="array" ref="G66">IF(D66="MCQ","Correct=1, Incorrect=0",IF(F66="Yes","Reverse: 6-response","Direct: response score"))</f>
        <v>Direct: response score</v>
      </c>
      <c r="H66" s="15"/>
    </row>
    <row r="67" ht="17.45" customHeight="1">
      <c r="A67" t="str" s="13" cm="1">
        <f t="array" ref="A67">'Question_Bank'!A67</f>
        <v>NPI0063</v>
      </c>
      <c r="B67" t="str" s="14" cm="1">
        <f t="array" ref="B67">'Question_Bank'!C67</f>
        <v>RIASEC Interest</v>
      </c>
      <c r="C67" t="str" s="14" cm="1">
        <f t="array" ref="C67">'Question_Bank'!D67</f>
        <v>Enterprising</v>
      </c>
      <c r="D67" t="str" s="14" cm="1">
        <f t="array" ref="D67">'Question_Bank'!F67</f>
        <v>Likert</v>
      </c>
      <c r="E67" s="172" cm="1">
        <f t="array" ref="E67">'Question_Bank'!L67</f>
        <v>0</v>
      </c>
      <c r="F67" t="str" s="14" cm="1">
        <f t="array" ref="F67">'Question_Bank'!N67</f>
        <v>No</v>
      </c>
      <c r="G67" t="str" s="14" cm="1">
        <f t="array" ref="G67">IF(D67="MCQ","Correct=1, Incorrect=0",IF(F67="Yes","Reverse: 6-response","Direct: response score"))</f>
        <v>Direct: response score</v>
      </c>
      <c r="H67" s="15"/>
    </row>
    <row r="68" ht="17.45" customHeight="1">
      <c r="A68" t="str" s="13" cm="1">
        <f t="array" ref="A68">'Question_Bank'!A68</f>
        <v>NPI0064</v>
      </c>
      <c r="B68" t="str" s="14" cm="1">
        <f t="array" ref="B68">'Question_Bank'!C68</f>
        <v>RIASEC Interest</v>
      </c>
      <c r="C68" t="str" s="14" cm="1">
        <f t="array" ref="C68">'Question_Bank'!D68</f>
        <v>Enterprising</v>
      </c>
      <c r="D68" t="str" s="14" cm="1">
        <f t="array" ref="D68">'Question_Bank'!F68</f>
        <v>Likert</v>
      </c>
      <c r="E68" s="172" cm="1">
        <f t="array" ref="E68">'Question_Bank'!L68</f>
        <v>0</v>
      </c>
      <c r="F68" t="str" s="14" cm="1">
        <f t="array" ref="F68">'Question_Bank'!N68</f>
        <v>No</v>
      </c>
      <c r="G68" t="str" s="14" cm="1">
        <f t="array" ref="G68">IF(D68="MCQ","Correct=1, Incorrect=0",IF(F68="Yes","Reverse: 6-response","Direct: response score"))</f>
        <v>Direct: response score</v>
      </c>
      <c r="H68" s="15"/>
    </row>
    <row r="69" ht="17.45" customHeight="1">
      <c r="A69" t="str" s="13" cm="1">
        <f t="array" ref="A69">'Question_Bank'!A69</f>
        <v>NPI0065</v>
      </c>
      <c r="B69" t="str" s="14" cm="1">
        <f t="array" ref="B69">'Question_Bank'!C69</f>
        <v>RIASEC Interest</v>
      </c>
      <c r="C69" t="str" s="14" cm="1">
        <f t="array" ref="C69">'Question_Bank'!D69</f>
        <v>Enterprising</v>
      </c>
      <c r="D69" t="str" s="14" cm="1">
        <f t="array" ref="D69">'Question_Bank'!F69</f>
        <v>Likert</v>
      </c>
      <c r="E69" s="172" cm="1">
        <f t="array" ref="E69">'Question_Bank'!L69</f>
        <v>0</v>
      </c>
      <c r="F69" t="str" s="14" cm="1">
        <f t="array" ref="F69">'Question_Bank'!N69</f>
        <v>No</v>
      </c>
      <c r="G69" t="str" s="14" cm="1">
        <f t="array" ref="G69">IF(D69="MCQ","Correct=1, Incorrect=0",IF(F69="Yes","Reverse: 6-response","Direct: response score"))</f>
        <v>Direct: response score</v>
      </c>
      <c r="H69" s="15"/>
    </row>
    <row r="70" ht="17.45" customHeight="1">
      <c r="A70" t="str" s="13" cm="1">
        <f t="array" ref="A70">'Question_Bank'!A70</f>
        <v>NPI0066</v>
      </c>
      <c r="B70" t="str" s="14" cm="1">
        <f t="array" ref="B70">'Question_Bank'!C70</f>
        <v>RIASEC Interest</v>
      </c>
      <c r="C70" t="str" s="14" cm="1">
        <f t="array" ref="C70">'Question_Bank'!D70</f>
        <v>Enterprising</v>
      </c>
      <c r="D70" t="str" s="14" cm="1">
        <f t="array" ref="D70">'Question_Bank'!F70</f>
        <v>Likert</v>
      </c>
      <c r="E70" s="172" cm="1">
        <f t="array" ref="E70">'Question_Bank'!L70</f>
        <v>0</v>
      </c>
      <c r="F70" t="str" s="14" cm="1">
        <f t="array" ref="F70">'Question_Bank'!N70</f>
        <v>No</v>
      </c>
      <c r="G70" t="str" s="14" cm="1">
        <f t="array" ref="G70">IF(D70="MCQ","Correct=1, Incorrect=0",IF(F70="Yes","Reverse: 6-response","Direct: response score"))</f>
        <v>Direct: response score</v>
      </c>
      <c r="H70" s="15"/>
    </row>
    <row r="71" ht="17.45" customHeight="1">
      <c r="A71" t="str" s="13" cm="1">
        <f t="array" ref="A71">'Question_Bank'!A71</f>
        <v>NPI0067</v>
      </c>
      <c r="B71" t="str" s="14" cm="1">
        <f t="array" ref="B71">'Question_Bank'!C71</f>
        <v>RIASEC Interest</v>
      </c>
      <c r="C71" t="str" s="14" cm="1">
        <f t="array" ref="C71">'Question_Bank'!D71</f>
        <v>Enterprising</v>
      </c>
      <c r="D71" t="str" s="14" cm="1">
        <f t="array" ref="D71">'Question_Bank'!F71</f>
        <v>Likert</v>
      </c>
      <c r="E71" s="172" cm="1">
        <f t="array" ref="E71">'Question_Bank'!L71</f>
        <v>0</v>
      </c>
      <c r="F71" t="str" s="14" cm="1">
        <f t="array" ref="F71">'Question_Bank'!N71</f>
        <v>No</v>
      </c>
      <c r="G71" t="str" s="14" cm="1">
        <f t="array" ref="G71">IF(D71="MCQ","Correct=1, Incorrect=0",IF(F71="Yes","Reverse: 6-response","Direct: response score"))</f>
        <v>Direct: response score</v>
      </c>
      <c r="H71" s="15"/>
    </row>
    <row r="72" ht="17.45" customHeight="1">
      <c r="A72" t="str" s="13" cm="1">
        <f t="array" ref="A72">'Question_Bank'!A72</f>
        <v>NPI0068</v>
      </c>
      <c r="B72" t="str" s="14" cm="1">
        <f t="array" ref="B72">'Question_Bank'!C72</f>
        <v>RIASEC Interest</v>
      </c>
      <c r="C72" t="str" s="14" cm="1">
        <f t="array" ref="C72">'Question_Bank'!D72</f>
        <v>Enterprising</v>
      </c>
      <c r="D72" t="str" s="14" cm="1">
        <f t="array" ref="D72">'Question_Bank'!F72</f>
        <v>Likert</v>
      </c>
      <c r="E72" s="172" cm="1">
        <f t="array" ref="E72">'Question_Bank'!L72</f>
        <v>0</v>
      </c>
      <c r="F72" t="str" s="14" cm="1">
        <f t="array" ref="F72">'Question_Bank'!N72</f>
        <v>No</v>
      </c>
      <c r="G72" t="str" s="14" cm="1">
        <f t="array" ref="G72">IF(D72="MCQ","Correct=1, Incorrect=0",IF(F72="Yes","Reverse: 6-response","Direct: response score"))</f>
        <v>Direct: response score</v>
      </c>
      <c r="H72" s="15"/>
    </row>
    <row r="73" ht="17.45" customHeight="1">
      <c r="A73" t="str" s="13" cm="1">
        <f t="array" ref="A73">'Question_Bank'!A73</f>
        <v>NPI0069</v>
      </c>
      <c r="B73" t="str" s="14" cm="1">
        <f t="array" ref="B73">'Question_Bank'!C73</f>
        <v>RIASEC Interest</v>
      </c>
      <c r="C73" t="str" s="14" cm="1">
        <f t="array" ref="C73">'Question_Bank'!D73</f>
        <v>Enterprising</v>
      </c>
      <c r="D73" t="str" s="14" cm="1">
        <f t="array" ref="D73">'Question_Bank'!F73</f>
        <v>Likert</v>
      </c>
      <c r="E73" s="172" cm="1">
        <f t="array" ref="E73">'Question_Bank'!L73</f>
        <v>0</v>
      </c>
      <c r="F73" t="str" s="14" cm="1">
        <f t="array" ref="F73">'Question_Bank'!N73</f>
        <v>No</v>
      </c>
      <c r="G73" t="str" s="14" cm="1">
        <f t="array" ref="G73">IF(D73="MCQ","Correct=1, Incorrect=0",IF(F73="Yes","Reverse: 6-response","Direct: response score"))</f>
        <v>Direct: response score</v>
      </c>
      <c r="H73" s="15"/>
    </row>
    <row r="74" ht="17.45" customHeight="1">
      <c r="A74" t="str" s="13" cm="1">
        <f t="array" ref="A74">'Question_Bank'!A74</f>
        <v>NPI0070</v>
      </c>
      <c r="B74" t="str" s="14" cm="1">
        <f t="array" ref="B74">'Question_Bank'!C74</f>
        <v>RIASEC Interest</v>
      </c>
      <c r="C74" t="str" s="14" cm="1">
        <f t="array" ref="C74">'Question_Bank'!D74</f>
        <v>Enterprising</v>
      </c>
      <c r="D74" t="str" s="14" cm="1">
        <f t="array" ref="D74">'Question_Bank'!F74</f>
        <v>Likert</v>
      </c>
      <c r="E74" s="172" cm="1">
        <f t="array" ref="E74">'Question_Bank'!L74</f>
        <v>0</v>
      </c>
      <c r="F74" t="str" s="14" cm="1">
        <f t="array" ref="F74">'Question_Bank'!N74</f>
        <v>No</v>
      </c>
      <c r="G74" t="str" s="14" cm="1">
        <f t="array" ref="G74">IF(D74="MCQ","Correct=1, Incorrect=0",IF(F74="Yes","Reverse: 6-response","Direct: response score"))</f>
        <v>Direct: response score</v>
      </c>
      <c r="H74" s="15"/>
    </row>
    <row r="75" ht="17.45" customHeight="1">
      <c r="A75" t="str" s="13" cm="1">
        <f t="array" ref="A75">'Question_Bank'!A75</f>
        <v>NPI0071</v>
      </c>
      <c r="B75" t="str" s="14" cm="1">
        <f t="array" ref="B75">'Question_Bank'!C75</f>
        <v>RIASEC Interest</v>
      </c>
      <c r="C75" t="str" s="14" cm="1">
        <f t="array" ref="C75">'Question_Bank'!D75</f>
        <v>Enterprising</v>
      </c>
      <c r="D75" t="str" s="14" cm="1">
        <f t="array" ref="D75">'Question_Bank'!F75</f>
        <v>Likert</v>
      </c>
      <c r="E75" s="172" cm="1">
        <f t="array" ref="E75">'Question_Bank'!L75</f>
        <v>0</v>
      </c>
      <c r="F75" t="str" s="14" cm="1">
        <f t="array" ref="F75">'Question_Bank'!N75</f>
        <v>No</v>
      </c>
      <c r="G75" t="str" s="14" cm="1">
        <f t="array" ref="G75">IF(D75="MCQ","Correct=1, Incorrect=0",IF(F75="Yes","Reverse: 6-response","Direct: response score"))</f>
        <v>Direct: response score</v>
      </c>
      <c r="H75" s="15"/>
    </row>
    <row r="76" ht="17.45" customHeight="1">
      <c r="A76" t="str" s="13" cm="1">
        <f t="array" ref="A76">'Question_Bank'!A76</f>
        <v>NPI0072</v>
      </c>
      <c r="B76" t="str" s="14" cm="1">
        <f t="array" ref="B76">'Question_Bank'!C76</f>
        <v>RIASEC Interest</v>
      </c>
      <c r="C76" t="str" s="14" cm="1">
        <f t="array" ref="C76">'Question_Bank'!D76</f>
        <v>Enterprising</v>
      </c>
      <c r="D76" t="str" s="14" cm="1">
        <f t="array" ref="D76">'Question_Bank'!F76</f>
        <v>Likert</v>
      </c>
      <c r="E76" s="172" cm="1">
        <f t="array" ref="E76">'Question_Bank'!L76</f>
        <v>0</v>
      </c>
      <c r="F76" t="str" s="14" cm="1">
        <f t="array" ref="F76">'Question_Bank'!N76</f>
        <v>No</v>
      </c>
      <c r="G76" t="str" s="14" cm="1">
        <f t="array" ref="G76">IF(D76="MCQ","Correct=1, Incorrect=0",IF(F76="Yes","Reverse: 6-response","Direct: response score"))</f>
        <v>Direct: response score</v>
      </c>
      <c r="H76" s="15"/>
    </row>
    <row r="77" ht="17.45" customHeight="1">
      <c r="A77" t="str" s="13" cm="1">
        <f t="array" ref="A77">'Question_Bank'!A77</f>
        <v>NPI0073</v>
      </c>
      <c r="B77" t="str" s="14" cm="1">
        <f t="array" ref="B77">'Question_Bank'!C77</f>
        <v>RIASEC Interest</v>
      </c>
      <c r="C77" t="str" s="14" cm="1">
        <f t="array" ref="C77">'Question_Bank'!D77</f>
        <v>Enterprising</v>
      </c>
      <c r="D77" t="str" s="14" cm="1">
        <f t="array" ref="D77">'Question_Bank'!F77</f>
        <v>Likert</v>
      </c>
      <c r="E77" s="172" cm="1">
        <f t="array" ref="E77">'Question_Bank'!L77</f>
        <v>0</v>
      </c>
      <c r="F77" t="str" s="14" cm="1">
        <f t="array" ref="F77">'Question_Bank'!N77</f>
        <v>No</v>
      </c>
      <c r="G77" t="str" s="14" cm="1">
        <f t="array" ref="G77">IF(D77="MCQ","Correct=1, Incorrect=0",IF(F77="Yes","Reverse: 6-response","Direct: response score"))</f>
        <v>Direct: response score</v>
      </c>
      <c r="H77" s="15"/>
    </row>
    <row r="78" ht="17.45" customHeight="1">
      <c r="A78" t="str" s="13" cm="1">
        <f t="array" ref="A78">'Question_Bank'!A78</f>
        <v>NPI0074</v>
      </c>
      <c r="B78" t="str" s="14" cm="1">
        <f t="array" ref="B78">'Question_Bank'!C78</f>
        <v>RIASEC Interest</v>
      </c>
      <c r="C78" t="str" s="14" cm="1">
        <f t="array" ref="C78">'Question_Bank'!D78</f>
        <v>Enterprising</v>
      </c>
      <c r="D78" t="str" s="14" cm="1">
        <f t="array" ref="D78">'Question_Bank'!F78</f>
        <v>Likert</v>
      </c>
      <c r="E78" s="172" cm="1">
        <f t="array" ref="E78">'Question_Bank'!L78</f>
        <v>0</v>
      </c>
      <c r="F78" t="str" s="14" cm="1">
        <f t="array" ref="F78">'Question_Bank'!N78</f>
        <v>No</v>
      </c>
      <c r="G78" t="str" s="14" cm="1">
        <f t="array" ref="G78">IF(D78="MCQ","Correct=1, Incorrect=0",IF(F78="Yes","Reverse: 6-response","Direct: response score"))</f>
        <v>Direct: response score</v>
      </c>
      <c r="H78" s="15"/>
    </row>
    <row r="79" ht="17.45" customHeight="1">
      <c r="A79" t="str" s="13" cm="1">
        <f t="array" ref="A79">'Question_Bank'!A79</f>
        <v>NPI0075</v>
      </c>
      <c r="B79" t="str" s="14" cm="1">
        <f t="array" ref="B79">'Question_Bank'!C79</f>
        <v>RIASEC Interest</v>
      </c>
      <c r="C79" t="str" s="14" cm="1">
        <f t="array" ref="C79">'Question_Bank'!D79</f>
        <v>Enterprising</v>
      </c>
      <c r="D79" t="str" s="14" cm="1">
        <f t="array" ref="D79">'Question_Bank'!F79</f>
        <v>Likert</v>
      </c>
      <c r="E79" s="172" cm="1">
        <f t="array" ref="E79">'Question_Bank'!L79</f>
        <v>0</v>
      </c>
      <c r="F79" t="str" s="14" cm="1">
        <f t="array" ref="F79">'Question_Bank'!N79</f>
        <v>No</v>
      </c>
      <c r="G79" t="str" s="14" cm="1">
        <f t="array" ref="G79">IF(D79="MCQ","Correct=1, Incorrect=0",IF(F79="Yes","Reverse: 6-response","Direct: response score"))</f>
        <v>Direct: response score</v>
      </c>
      <c r="H79" s="15"/>
    </row>
    <row r="80" ht="17.45" customHeight="1">
      <c r="A80" t="str" s="13" cm="1">
        <f t="array" ref="A80">'Question_Bank'!A80</f>
        <v>NPI0076</v>
      </c>
      <c r="B80" t="str" s="14" cm="1">
        <f t="array" ref="B80">'Question_Bank'!C80</f>
        <v>RIASEC Interest</v>
      </c>
      <c r="C80" t="str" s="14" cm="1">
        <f t="array" ref="C80">'Question_Bank'!D80</f>
        <v>Conventional</v>
      </c>
      <c r="D80" t="str" s="14" cm="1">
        <f t="array" ref="D80">'Question_Bank'!F80</f>
        <v>Likert</v>
      </c>
      <c r="E80" s="172" cm="1">
        <f t="array" ref="E80">'Question_Bank'!L80</f>
        <v>0</v>
      </c>
      <c r="F80" t="str" s="14" cm="1">
        <f t="array" ref="F80">'Question_Bank'!N80</f>
        <v>No</v>
      </c>
      <c r="G80" t="str" s="14" cm="1">
        <f t="array" ref="G80">IF(D80="MCQ","Correct=1, Incorrect=0",IF(F80="Yes","Reverse: 6-response","Direct: response score"))</f>
        <v>Direct: response score</v>
      </c>
      <c r="H80" s="15"/>
    </row>
    <row r="81" ht="17.45" customHeight="1">
      <c r="A81" t="str" s="13" cm="1">
        <f t="array" ref="A81">'Question_Bank'!A81</f>
        <v>NPI0077</v>
      </c>
      <c r="B81" t="str" s="14" cm="1">
        <f t="array" ref="B81">'Question_Bank'!C81</f>
        <v>RIASEC Interest</v>
      </c>
      <c r="C81" t="str" s="14" cm="1">
        <f t="array" ref="C81">'Question_Bank'!D81</f>
        <v>Conventional</v>
      </c>
      <c r="D81" t="str" s="14" cm="1">
        <f t="array" ref="D81">'Question_Bank'!F81</f>
        <v>Likert</v>
      </c>
      <c r="E81" s="172" cm="1">
        <f t="array" ref="E81">'Question_Bank'!L81</f>
        <v>0</v>
      </c>
      <c r="F81" t="str" s="14" cm="1">
        <f t="array" ref="F81">'Question_Bank'!N81</f>
        <v>No</v>
      </c>
      <c r="G81" t="str" s="14" cm="1">
        <f t="array" ref="G81">IF(D81="MCQ","Correct=1, Incorrect=0",IF(F81="Yes","Reverse: 6-response","Direct: response score"))</f>
        <v>Direct: response score</v>
      </c>
      <c r="H81" s="15"/>
    </row>
    <row r="82" ht="17.45" customHeight="1">
      <c r="A82" t="str" s="13" cm="1">
        <f t="array" ref="A82">'Question_Bank'!A82</f>
        <v>NPI0078</v>
      </c>
      <c r="B82" t="str" s="14" cm="1">
        <f t="array" ref="B82">'Question_Bank'!C82</f>
        <v>RIASEC Interest</v>
      </c>
      <c r="C82" t="str" s="14" cm="1">
        <f t="array" ref="C82">'Question_Bank'!D82</f>
        <v>Conventional</v>
      </c>
      <c r="D82" t="str" s="14" cm="1">
        <f t="array" ref="D82">'Question_Bank'!F82</f>
        <v>Likert</v>
      </c>
      <c r="E82" s="172" cm="1">
        <f t="array" ref="E82">'Question_Bank'!L82</f>
        <v>0</v>
      </c>
      <c r="F82" t="str" s="14" cm="1">
        <f t="array" ref="F82">'Question_Bank'!N82</f>
        <v>No</v>
      </c>
      <c r="G82" t="str" s="14" cm="1">
        <f t="array" ref="G82">IF(D82="MCQ","Correct=1, Incorrect=0",IF(F82="Yes","Reverse: 6-response","Direct: response score"))</f>
        <v>Direct: response score</v>
      </c>
      <c r="H82" s="15"/>
    </row>
    <row r="83" ht="17.45" customHeight="1">
      <c r="A83" t="str" s="13" cm="1">
        <f t="array" ref="A83">'Question_Bank'!A83</f>
        <v>NPI0079</v>
      </c>
      <c r="B83" t="str" s="14" cm="1">
        <f t="array" ref="B83">'Question_Bank'!C83</f>
        <v>RIASEC Interest</v>
      </c>
      <c r="C83" t="str" s="14" cm="1">
        <f t="array" ref="C83">'Question_Bank'!D83</f>
        <v>Conventional</v>
      </c>
      <c r="D83" t="str" s="14" cm="1">
        <f t="array" ref="D83">'Question_Bank'!F83</f>
        <v>Likert</v>
      </c>
      <c r="E83" s="172" cm="1">
        <f t="array" ref="E83">'Question_Bank'!L83</f>
        <v>0</v>
      </c>
      <c r="F83" t="str" s="14" cm="1">
        <f t="array" ref="F83">'Question_Bank'!N83</f>
        <v>No</v>
      </c>
      <c r="G83" t="str" s="14" cm="1">
        <f t="array" ref="G83">IF(D83="MCQ","Correct=1, Incorrect=0",IF(F83="Yes","Reverse: 6-response","Direct: response score"))</f>
        <v>Direct: response score</v>
      </c>
      <c r="H83" s="15"/>
    </row>
    <row r="84" ht="17.45" customHeight="1">
      <c r="A84" t="str" s="13" cm="1">
        <f t="array" ref="A84">'Question_Bank'!A84</f>
        <v>NPI0080</v>
      </c>
      <c r="B84" t="str" s="14" cm="1">
        <f t="array" ref="B84">'Question_Bank'!C84</f>
        <v>RIASEC Interest</v>
      </c>
      <c r="C84" t="str" s="14" cm="1">
        <f t="array" ref="C84">'Question_Bank'!D84</f>
        <v>Conventional</v>
      </c>
      <c r="D84" t="str" s="14" cm="1">
        <f t="array" ref="D84">'Question_Bank'!F84</f>
        <v>Likert</v>
      </c>
      <c r="E84" s="172" cm="1">
        <f t="array" ref="E84">'Question_Bank'!L84</f>
        <v>0</v>
      </c>
      <c r="F84" t="str" s="14" cm="1">
        <f t="array" ref="F84">'Question_Bank'!N84</f>
        <v>No</v>
      </c>
      <c r="G84" t="str" s="14" cm="1">
        <f t="array" ref="G84">IF(D84="MCQ","Correct=1, Incorrect=0",IF(F84="Yes","Reverse: 6-response","Direct: response score"))</f>
        <v>Direct: response score</v>
      </c>
      <c r="H84" s="15"/>
    </row>
    <row r="85" ht="17.45" customHeight="1">
      <c r="A85" t="str" s="13" cm="1">
        <f t="array" ref="A85">'Question_Bank'!A85</f>
        <v>NPI0081</v>
      </c>
      <c r="B85" t="str" s="14" cm="1">
        <f t="array" ref="B85">'Question_Bank'!C85</f>
        <v>RIASEC Interest</v>
      </c>
      <c r="C85" t="str" s="14" cm="1">
        <f t="array" ref="C85">'Question_Bank'!D85</f>
        <v>Conventional</v>
      </c>
      <c r="D85" t="str" s="14" cm="1">
        <f t="array" ref="D85">'Question_Bank'!F85</f>
        <v>Likert</v>
      </c>
      <c r="E85" s="172" cm="1">
        <f t="array" ref="E85">'Question_Bank'!L85</f>
        <v>0</v>
      </c>
      <c r="F85" t="str" s="14" cm="1">
        <f t="array" ref="F85">'Question_Bank'!N85</f>
        <v>No</v>
      </c>
      <c r="G85" t="str" s="14" cm="1">
        <f t="array" ref="G85">IF(D85="MCQ","Correct=1, Incorrect=0",IF(F85="Yes","Reverse: 6-response","Direct: response score"))</f>
        <v>Direct: response score</v>
      </c>
      <c r="H85" s="15"/>
    </row>
    <row r="86" ht="17.45" customHeight="1">
      <c r="A86" t="str" s="13" cm="1">
        <f t="array" ref="A86">'Question_Bank'!A86</f>
        <v>NPI0082</v>
      </c>
      <c r="B86" t="str" s="14" cm="1">
        <f t="array" ref="B86">'Question_Bank'!C86</f>
        <v>RIASEC Interest</v>
      </c>
      <c r="C86" t="str" s="14" cm="1">
        <f t="array" ref="C86">'Question_Bank'!D86</f>
        <v>Conventional</v>
      </c>
      <c r="D86" t="str" s="14" cm="1">
        <f t="array" ref="D86">'Question_Bank'!F86</f>
        <v>Likert</v>
      </c>
      <c r="E86" s="172" cm="1">
        <f t="array" ref="E86">'Question_Bank'!L86</f>
        <v>0</v>
      </c>
      <c r="F86" t="str" s="14" cm="1">
        <f t="array" ref="F86">'Question_Bank'!N86</f>
        <v>No</v>
      </c>
      <c r="G86" t="str" s="14" cm="1">
        <f t="array" ref="G86">IF(D86="MCQ","Correct=1, Incorrect=0",IF(F86="Yes","Reverse: 6-response","Direct: response score"))</f>
        <v>Direct: response score</v>
      </c>
      <c r="H86" s="15"/>
    </row>
    <row r="87" ht="17.45" customHeight="1">
      <c r="A87" t="str" s="13" cm="1">
        <f t="array" ref="A87">'Question_Bank'!A87</f>
        <v>NPI0083</v>
      </c>
      <c r="B87" t="str" s="14" cm="1">
        <f t="array" ref="B87">'Question_Bank'!C87</f>
        <v>RIASEC Interest</v>
      </c>
      <c r="C87" t="str" s="14" cm="1">
        <f t="array" ref="C87">'Question_Bank'!D87</f>
        <v>Conventional</v>
      </c>
      <c r="D87" t="str" s="14" cm="1">
        <f t="array" ref="D87">'Question_Bank'!F87</f>
        <v>Likert</v>
      </c>
      <c r="E87" s="172" cm="1">
        <f t="array" ref="E87">'Question_Bank'!L87</f>
        <v>0</v>
      </c>
      <c r="F87" t="str" s="14" cm="1">
        <f t="array" ref="F87">'Question_Bank'!N87</f>
        <v>No</v>
      </c>
      <c r="G87" t="str" s="14" cm="1">
        <f t="array" ref="G87">IF(D87="MCQ","Correct=1, Incorrect=0",IF(F87="Yes","Reverse: 6-response","Direct: response score"))</f>
        <v>Direct: response score</v>
      </c>
      <c r="H87" s="15"/>
    </row>
    <row r="88" ht="17.45" customHeight="1">
      <c r="A88" t="str" s="13" cm="1">
        <f t="array" ref="A88">'Question_Bank'!A88</f>
        <v>NPI0084</v>
      </c>
      <c r="B88" t="str" s="14" cm="1">
        <f t="array" ref="B88">'Question_Bank'!C88</f>
        <v>RIASEC Interest</v>
      </c>
      <c r="C88" t="str" s="14" cm="1">
        <f t="array" ref="C88">'Question_Bank'!D88</f>
        <v>Conventional</v>
      </c>
      <c r="D88" t="str" s="14" cm="1">
        <f t="array" ref="D88">'Question_Bank'!F88</f>
        <v>Likert</v>
      </c>
      <c r="E88" s="172" cm="1">
        <f t="array" ref="E88">'Question_Bank'!L88</f>
        <v>0</v>
      </c>
      <c r="F88" t="str" s="14" cm="1">
        <f t="array" ref="F88">'Question_Bank'!N88</f>
        <v>No</v>
      </c>
      <c r="G88" t="str" s="14" cm="1">
        <f t="array" ref="G88">IF(D88="MCQ","Correct=1, Incorrect=0",IF(F88="Yes","Reverse: 6-response","Direct: response score"))</f>
        <v>Direct: response score</v>
      </c>
      <c r="H88" s="15"/>
    </row>
    <row r="89" ht="17.45" customHeight="1">
      <c r="A89" t="str" s="13" cm="1">
        <f t="array" ref="A89">'Question_Bank'!A89</f>
        <v>NPI0085</v>
      </c>
      <c r="B89" t="str" s="14" cm="1">
        <f t="array" ref="B89">'Question_Bank'!C89</f>
        <v>RIASEC Interest</v>
      </c>
      <c r="C89" t="str" s="14" cm="1">
        <f t="array" ref="C89">'Question_Bank'!D89</f>
        <v>Conventional</v>
      </c>
      <c r="D89" t="str" s="14" cm="1">
        <f t="array" ref="D89">'Question_Bank'!F89</f>
        <v>Likert</v>
      </c>
      <c r="E89" s="172" cm="1">
        <f t="array" ref="E89">'Question_Bank'!L89</f>
        <v>0</v>
      </c>
      <c r="F89" t="str" s="14" cm="1">
        <f t="array" ref="F89">'Question_Bank'!N89</f>
        <v>No</v>
      </c>
      <c r="G89" t="str" s="14" cm="1">
        <f t="array" ref="G89">IF(D89="MCQ","Correct=1, Incorrect=0",IF(F89="Yes","Reverse: 6-response","Direct: response score"))</f>
        <v>Direct: response score</v>
      </c>
      <c r="H89" s="15"/>
    </row>
    <row r="90" ht="17.45" customHeight="1">
      <c r="A90" t="str" s="13" cm="1">
        <f t="array" ref="A90">'Question_Bank'!A90</f>
        <v>NPI0086</v>
      </c>
      <c r="B90" t="str" s="14" cm="1">
        <f t="array" ref="B90">'Question_Bank'!C90</f>
        <v>RIASEC Interest</v>
      </c>
      <c r="C90" t="str" s="14" cm="1">
        <f t="array" ref="C90">'Question_Bank'!D90</f>
        <v>Conventional</v>
      </c>
      <c r="D90" t="str" s="14" cm="1">
        <f t="array" ref="D90">'Question_Bank'!F90</f>
        <v>Likert</v>
      </c>
      <c r="E90" s="172" cm="1">
        <f t="array" ref="E90">'Question_Bank'!L90</f>
        <v>0</v>
      </c>
      <c r="F90" t="str" s="14" cm="1">
        <f t="array" ref="F90">'Question_Bank'!N90</f>
        <v>No</v>
      </c>
      <c r="G90" t="str" s="14" cm="1">
        <f t="array" ref="G90">IF(D90="MCQ","Correct=1, Incorrect=0",IF(F90="Yes","Reverse: 6-response","Direct: response score"))</f>
        <v>Direct: response score</v>
      </c>
      <c r="H90" s="15"/>
    </row>
    <row r="91" ht="17.45" customHeight="1">
      <c r="A91" t="str" s="13" cm="1">
        <f t="array" ref="A91">'Question_Bank'!A91</f>
        <v>NPI0087</v>
      </c>
      <c r="B91" t="str" s="14" cm="1">
        <f t="array" ref="B91">'Question_Bank'!C91</f>
        <v>RIASEC Interest</v>
      </c>
      <c r="C91" t="str" s="14" cm="1">
        <f t="array" ref="C91">'Question_Bank'!D91</f>
        <v>Conventional</v>
      </c>
      <c r="D91" t="str" s="14" cm="1">
        <f t="array" ref="D91">'Question_Bank'!F91</f>
        <v>Likert</v>
      </c>
      <c r="E91" s="172" cm="1">
        <f t="array" ref="E91">'Question_Bank'!L91</f>
        <v>0</v>
      </c>
      <c r="F91" t="str" s="14" cm="1">
        <f t="array" ref="F91">'Question_Bank'!N91</f>
        <v>No</v>
      </c>
      <c r="G91" t="str" s="14" cm="1">
        <f t="array" ref="G91">IF(D91="MCQ","Correct=1, Incorrect=0",IF(F91="Yes","Reverse: 6-response","Direct: response score"))</f>
        <v>Direct: response score</v>
      </c>
      <c r="H91" s="15"/>
    </row>
    <row r="92" ht="17.45" customHeight="1">
      <c r="A92" t="str" s="13" cm="1">
        <f t="array" ref="A92">'Question_Bank'!A92</f>
        <v>NPI0088</v>
      </c>
      <c r="B92" t="str" s="14" cm="1">
        <f t="array" ref="B92">'Question_Bank'!C92</f>
        <v>RIASEC Interest</v>
      </c>
      <c r="C92" t="str" s="14" cm="1">
        <f t="array" ref="C92">'Question_Bank'!D92</f>
        <v>Conventional</v>
      </c>
      <c r="D92" t="str" s="14" cm="1">
        <f t="array" ref="D92">'Question_Bank'!F92</f>
        <v>Likert</v>
      </c>
      <c r="E92" s="172" cm="1">
        <f t="array" ref="E92">'Question_Bank'!L92</f>
        <v>0</v>
      </c>
      <c r="F92" t="str" s="14" cm="1">
        <f t="array" ref="F92">'Question_Bank'!N92</f>
        <v>No</v>
      </c>
      <c r="G92" t="str" s="14" cm="1">
        <f t="array" ref="G92">IF(D92="MCQ","Correct=1, Incorrect=0",IF(F92="Yes","Reverse: 6-response","Direct: response score"))</f>
        <v>Direct: response score</v>
      </c>
      <c r="H92" s="15"/>
    </row>
    <row r="93" ht="17.45" customHeight="1">
      <c r="A93" t="str" s="13" cm="1">
        <f t="array" ref="A93">'Question_Bank'!A93</f>
        <v>NPI0089</v>
      </c>
      <c r="B93" t="str" s="14" cm="1">
        <f t="array" ref="B93">'Question_Bank'!C93</f>
        <v>RIASEC Interest</v>
      </c>
      <c r="C93" t="str" s="14" cm="1">
        <f t="array" ref="C93">'Question_Bank'!D93</f>
        <v>Conventional</v>
      </c>
      <c r="D93" t="str" s="14" cm="1">
        <f t="array" ref="D93">'Question_Bank'!F93</f>
        <v>Likert</v>
      </c>
      <c r="E93" s="172" cm="1">
        <f t="array" ref="E93">'Question_Bank'!L93</f>
        <v>0</v>
      </c>
      <c r="F93" t="str" s="14" cm="1">
        <f t="array" ref="F93">'Question_Bank'!N93</f>
        <v>No</v>
      </c>
      <c r="G93" t="str" s="14" cm="1">
        <f t="array" ref="G93">IF(D93="MCQ","Correct=1, Incorrect=0",IF(F93="Yes","Reverse: 6-response","Direct: response score"))</f>
        <v>Direct: response score</v>
      </c>
      <c r="H93" s="15"/>
    </row>
    <row r="94" ht="17.45" customHeight="1">
      <c r="A94" t="str" s="13" cm="1">
        <f t="array" ref="A94">'Question_Bank'!A94</f>
        <v>NPI0090</v>
      </c>
      <c r="B94" t="str" s="14" cm="1">
        <f t="array" ref="B94">'Question_Bank'!C94</f>
        <v>RIASEC Interest</v>
      </c>
      <c r="C94" t="str" s="14" cm="1">
        <f t="array" ref="C94">'Question_Bank'!D94</f>
        <v>Conventional</v>
      </c>
      <c r="D94" t="str" s="14" cm="1">
        <f t="array" ref="D94">'Question_Bank'!F94</f>
        <v>Likert</v>
      </c>
      <c r="E94" s="172" cm="1">
        <f t="array" ref="E94">'Question_Bank'!L94</f>
        <v>0</v>
      </c>
      <c r="F94" t="str" s="14" cm="1">
        <f t="array" ref="F94">'Question_Bank'!N94</f>
        <v>No</v>
      </c>
      <c r="G94" t="str" s="14" cm="1">
        <f t="array" ref="G94">IF(D94="MCQ","Correct=1, Incorrect=0",IF(F94="Yes","Reverse: 6-response","Direct: response score"))</f>
        <v>Direct: response score</v>
      </c>
      <c r="H94" s="15"/>
    </row>
    <row r="95" ht="17.45" customHeight="1">
      <c r="A95" t="str" s="13" cm="1">
        <f t="array" ref="A95">'Question_Bank'!A95</f>
        <v>NPI0091</v>
      </c>
      <c r="B95" t="str" s="14" cm="1">
        <f t="array" ref="B95">'Question_Bank'!C95</f>
        <v>Big Five Personality</v>
      </c>
      <c r="C95" t="str" s="14" cm="1">
        <f t="array" ref="C95">'Question_Bank'!D95</f>
        <v>Openness</v>
      </c>
      <c r="D95" t="str" s="14" cm="1">
        <f t="array" ref="D95">'Question_Bank'!F95</f>
        <v>Likert</v>
      </c>
      <c r="E95" s="172" cm="1">
        <f t="array" ref="E95">'Question_Bank'!L95</f>
        <v>0</v>
      </c>
      <c r="F95" t="str" s="14" cm="1">
        <f t="array" ref="F95">'Question_Bank'!N95</f>
        <v>No</v>
      </c>
      <c r="G95" t="str" s="14" cm="1">
        <f t="array" ref="G95">IF(D95="MCQ","Correct=1, Incorrect=0",IF(F95="Yes","Reverse: 6-response","Direct: response score"))</f>
        <v>Direct: response score</v>
      </c>
      <c r="H95" s="15"/>
    </row>
    <row r="96" ht="17.45" customHeight="1">
      <c r="A96" t="str" s="13" cm="1">
        <f t="array" ref="A96">'Question_Bank'!A96</f>
        <v>NPI0092</v>
      </c>
      <c r="B96" t="str" s="14" cm="1">
        <f t="array" ref="B96">'Question_Bank'!C96</f>
        <v>Big Five Personality</v>
      </c>
      <c r="C96" t="str" s="14" cm="1">
        <f t="array" ref="C96">'Question_Bank'!D96</f>
        <v>Openness</v>
      </c>
      <c r="D96" t="str" s="14" cm="1">
        <f t="array" ref="D96">'Question_Bank'!F96</f>
        <v>Likert</v>
      </c>
      <c r="E96" s="172" cm="1">
        <f t="array" ref="E96">'Question_Bank'!L96</f>
        <v>0</v>
      </c>
      <c r="F96" t="str" s="14" cm="1">
        <f t="array" ref="F96">'Question_Bank'!N96</f>
        <v>No</v>
      </c>
      <c r="G96" t="str" s="14" cm="1">
        <f t="array" ref="G96">IF(D96="MCQ","Correct=1, Incorrect=0",IF(F96="Yes","Reverse: 6-response","Direct: response score"))</f>
        <v>Direct: response score</v>
      </c>
      <c r="H96" s="15"/>
    </row>
    <row r="97" ht="17.45" customHeight="1">
      <c r="A97" t="str" s="13" cm="1">
        <f t="array" ref="A97">'Question_Bank'!A97</f>
        <v>NPI0093</v>
      </c>
      <c r="B97" t="str" s="14" cm="1">
        <f t="array" ref="B97">'Question_Bank'!C97</f>
        <v>Big Five Personality</v>
      </c>
      <c r="C97" t="str" s="14" cm="1">
        <f t="array" ref="C97">'Question_Bank'!D97</f>
        <v>Openness</v>
      </c>
      <c r="D97" t="str" s="14" cm="1">
        <f t="array" ref="D97">'Question_Bank'!F97</f>
        <v>Likert</v>
      </c>
      <c r="E97" s="172" cm="1">
        <f t="array" ref="E97">'Question_Bank'!L97</f>
        <v>0</v>
      </c>
      <c r="F97" t="str" s="14" cm="1">
        <f t="array" ref="F97">'Question_Bank'!N97</f>
        <v>No</v>
      </c>
      <c r="G97" t="str" s="14" cm="1">
        <f t="array" ref="G97">IF(D97="MCQ","Correct=1, Incorrect=0",IF(F97="Yes","Reverse: 6-response","Direct: response score"))</f>
        <v>Direct: response score</v>
      </c>
      <c r="H97" s="15"/>
    </row>
    <row r="98" ht="17.45" customHeight="1">
      <c r="A98" t="str" s="13" cm="1">
        <f t="array" ref="A98">'Question_Bank'!A98</f>
        <v>NPI0094</v>
      </c>
      <c r="B98" t="str" s="14" cm="1">
        <f t="array" ref="B98">'Question_Bank'!C98</f>
        <v>Big Five Personality</v>
      </c>
      <c r="C98" t="str" s="14" cm="1">
        <f t="array" ref="C98">'Question_Bank'!D98</f>
        <v>Openness</v>
      </c>
      <c r="D98" t="str" s="14" cm="1">
        <f t="array" ref="D98">'Question_Bank'!F98</f>
        <v>Likert</v>
      </c>
      <c r="E98" s="172" cm="1">
        <f t="array" ref="E98">'Question_Bank'!L98</f>
        <v>0</v>
      </c>
      <c r="F98" t="str" s="14" cm="1">
        <f t="array" ref="F98">'Question_Bank'!N98</f>
        <v>No</v>
      </c>
      <c r="G98" t="str" s="14" cm="1">
        <f t="array" ref="G98">IF(D98="MCQ","Correct=1, Incorrect=0",IF(F98="Yes","Reverse: 6-response","Direct: response score"))</f>
        <v>Direct: response score</v>
      </c>
      <c r="H98" s="15"/>
    </row>
    <row r="99" ht="17.45" customHeight="1">
      <c r="A99" t="str" s="13" cm="1">
        <f t="array" ref="A99">'Question_Bank'!A99</f>
        <v>NPI0095</v>
      </c>
      <c r="B99" t="str" s="14" cm="1">
        <f t="array" ref="B99">'Question_Bank'!C99</f>
        <v>Big Five Personality</v>
      </c>
      <c r="C99" t="str" s="14" cm="1">
        <f t="array" ref="C99">'Question_Bank'!D99</f>
        <v>Openness</v>
      </c>
      <c r="D99" t="str" s="14" cm="1">
        <f t="array" ref="D99">'Question_Bank'!F99</f>
        <v>Likert</v>
      </c>
      <c r="E99" s="172" cm="1">
        <f t="array" ref="E99">'Question_Bank'!L99</f>
        <v>0</v>
      </c>
      <c r="F99" t="str" s="14" cm="1">
        <f t="array" ref="F99">'Question_Bank'!N99</f>
        <v>No</v>
      </c>
      <c r="G99" t="str" s="14" cm="1">
        <f t="array" ref="G99">IF(D99="MCQ","Correct=1, Incorrect=0",IF(F99="Yes","Reverse: 6-response","Direct: response score"))</f>
        <v>Direct: response score</v>
      </c>
      <c r="H99" s="15"/>
    </row>
    <row r="100" ht="17.45" customHeight="1">
      <c r="A100" t="str" s="13" cm="1">
        <f t="array" ref="A100">'Question_Bank'!A100</f>
        <v>NPI0096</v>
      </c>
      <c r="B100" t="str" s="14" cm="1">
        <f t="array" ref="B100">'Question_Bank'!C100</f>
        <v>Big Five Personality</v>
      </c>
      <c r="C100" t="str" s="14" cm="1">
        <f t="array" ref="C100">'Question_Bank'!D100</f>
        <v>Openness</v>
      </c>
      <c r="D100" t="str" s="14" cm="1">
        <f t="array" ref="D100">'Question_Bank'!F100</f>
        <v>Likert</v>
      </c>
      <c r="E100" s="172" cm="1">
        <f t="array" ref="E100">'Question_Bank'!L100</f>
        <v>0</v>
      </c>
      <c r="F100" t="str" s="14" cm="1">
        <f t="array" ref="F100">'Question_Bank'!N100</f>
        <v>No</v>
      </c>
      <c r="G100" t="str" s="14" cm="1">
        <f t="array" ref="G100">IF(D100="MCQ","Correct=1, Incorrect=0",IF(F100="Yes","Reverse: 6-response","Direct: response score"))</f>
        <v>Direct: response score</v>
      </c>
      <c r="H100" s="15"/>
    </row>
    <row r="101" ht="17.45" customHeight="1">
      <c r="A101" t="str" s="13" cm="1">
        <f t="array" ref="A101">'Question_Bank'!A101</f>
        <v>NPI0097</v>
      </c>
      <c r="B101" t="str" s="14" cm="1">
        <f t="array" ref="B101">'Question_Bank'!C101</f>
        <v>Big Five Personality</v>
      </c>
      <c r="C101" t="str" s="14" cm="1">
        <f t="array" ref="C101">'Question_Bank'!D101</f>
        <v>Openness</v>
      </c>
      <c r="D101" t="str" s="14" cm="1">
        <f t="array" ref="D101">'Question_Bank'!F101</f>
        <v>Likert</v>
      </c>
      <c r="E101" s="172" cm="1">
        <f t="array" ref="E101">'Question_Bank'!L101</f>
        <v>0</v>
      </c>
      <c r="F101" t="str" s="14" cm="1">
        <f t="array" ref="F101">'Question_Bank'!N101</f>
        <v>No</v>
      </c>
      <c r="G101" t="str" s="14" cm="1">
        <f t="array" ref="G101">IF(D101="MCQ","Correct=1, Incorrect=0",IF(F101="Yes","Reverse: 6-response","Direct: response score"))</f>
        <v>Direct: response score</v>
      </c>
      <c r="H101" s="15"/>
    </row>
    <row r="102" ht="17.45" customHeight="1">
      <c r="A102" t="str" s="13" cm="1">
        <f t="array" ref="A102">'Question_Bank'!A102</f>
        <v>NPI0098</v>
      </c>
      <c r="B102" t="str" s="14" cm="1">
        <f t="array" ref="B102">'Question_Bank'!C102</f>
        <v>Big Five Personality</v>
      </c>
      <c r="C102" t="str" s="14" cm="1">
        <f t="array" ref="C102">'Question_Bank'!D102</f>
        <v>Openness</v>
      </c>
      <c r="D102" t="str" s="14" cm="1">
        <f t="array" ref="D102">'Question_Bank'!F102</f>
        <v>Likert</v>
      </c>
      <c r="E102" s="172" cm="1">
        <f t="array" ref="E102">'Question_Bank'!L102</f>
        <v>0</v>
      </c>
      <c r="F102" t="str" s="14" cm="1">
        <f t="array" ref="F102">'Question_Bank'!N102</f>
        <v>No</v>
      </c>
      <c r="G102" t="str" s="14" cm="1">
        <f t="array" ref="G102">IF(D102="MCQ","Correct=1, Incorrect=0",IF(F102="Yes","Reverse: 6-response","Direct: response score"))</f>
        <v>Direct: response score</v>
      </c>
      <c r="H102" s="15"/>
    </row>
    <row r="103" ht="17.45" customHeight="1">
      <c r="A103" t="str" s="13" cm="1">
        <f t="array" ref="A103">'Question_Bank'!A103</f>
        <v>NPI0099</v>
      </c>
      <c r="B103" t="str" s="14" cm="1">
        <f t="array" ref="B103">'Question_Bank'!C103</f>
        <v>Big Five Personality</v>
      </c>
      <c r="C103" t="str" s="14" cm="1">
        <f t="array" ref="C103">'Question_Bank'!D103</f>
        <v>Openness</v>
      </c>
      <c r="D103" t="str" s="14" cm="1">
        <f t="array" ref="D103">'Question_Bank'!F103</f>
        <v>Likert</v>
      </c>
      <c r="E103" s="172" cm="1">
        <f t="array" ref="E103">'Question_Bank'!L103</f>
        <v>0</v>
      </c>
      <c r="F103" t="str" s="14" cm="1">
        <f t="array" ref="F103">'Question_Bank'!N103</f>
        <v>No</v>
      </c>
      <c r="G103" t="str" s="14" cm="1">
        <f t="array" ref="G103">IF(D103="MCQ","Correct=1, Incorrect=0",IF(F103="Yes","Reverse: 6-response","Direct: response score"))</f>
        <v>Direct: response score</v>
      </c>
      <c r="H103" s="15"/>
    </row>
    <row r="104" ht="17.45" customHeight="1">
      <c r="A104" t="str" s="13" cm="1">
        <f t="array" ref="A104">'Question_Bank'!A104</f>
        <v>NPI0100</v>
      </c>
      <c r="B104" t="str" s="14" cm="1">
        <f t="array" ref="B104">'Question_Bank'!C104</f>
        <v>Big Five Personality</v>
      </c>
      <c r="C104" t="str" s="14" cm="1">
        <f t="array" ref="C104">'Question_Bank'!D104</f>
        <v>Openness</v>
      </c>
      <c r="D104" t="str" s="14" cm="1">
        <f t="array" ref="D104">'Question_Bank'!F104</f>
        <v>Likert</v>
      </c>
      <c r="E104" s="172" cm="1">
        <f t="array" ref="E104">'Question_Bank'!L104</f>
        <v>0</v>
      </c>
      <c r="F104" t="str" s="14" cm="1">
        <f t="array" ref="F104">'Question_Bank'!N104</f>
        <v>No</v>
      </c>
      <c r="G104" t="str" s="14" cm="1">
        <f t="array" ref="G104">IF(D104="MCQ","Correct=1, Incorrect=0",IF(F104="Yes","Reverse: 6-response","Direct: response score"))</f>
        <v>Direct: response score</v>
      </c>
      <c r="H104" s="15"/>
    </row>
    <row r="105" ht="17.45" customHeight="1">
      <c r="A105" t="str" s="13" cm="1">
        <f t="array" ref="A105">'Question_Bank'!A105</f>
        <v>NPI0101</v>
      </c>
      <c r="B105" t="str" s="14" cm="1">
        <f t="array" ref="B105">'Question_Bank'!C105</f>
        <v>Big Five Personality</v>
      </c>
      <c r="C105" t="str" s="14" cm="1">
        <f t="array" ref="C105">'Question_Bank'!D105</f>
        <v>Openness</v>
      </c>
      <c r="D105" t="str" s="14" cm="1">
        <f t="array" ref="D105">'Question_Bank'!F105</f>
        <v>Likert</v>
      </c>
      <c r="E105" s="172" cm="1">
        <f t="array" ref="E105">'Question_Bank'!L105</f>
        <v>0</v>
      </c>
      <c r="F105" t="str" s="14" cm="1">
        <f t="array" ref="F105">'Question_Bank'!N105</f>
        <v>No</v>
      </c>
      <c r="G105" t="str" s="14" cm="1">
        <f t="array" ref="G105">IF(D105="MCQ","Correct=1, Incorrect=0",IF(F105="Yes","Reverse: 6-response","Direct: response score"))</f>
        <v>Direct: response score</v>
      </c>
      <c r="H105" s="15"/>
    </row>
    <row r="106" ht="17.45" customHeight="1">
      <c r="A106" t="str" s="13" cm="1">
        <f t="array" ref="A106">'Question_Bank'!A106</f>
        <v>NPI0102</v>
      </c>
      <c r="B106" t="str" s="14" cm="1">
        <f t="array" ref="B106">'Question_Bank'!C106</f>
        <v>Big Five Personality</v>
      </c>
      <c r="C106" t="str" s="14" cm="1">
        <f t="array" ref="C106">'Question_Bank'!D106</f>
        <v>Openness</v>
      </c>
      <c r="D106" t="str" s="14" cm="1">
        <f t="array" ref="D106">'Question_Bank'!F106</f>
        <v>Likert</v>
      </c>
      <c r="E106" s="172" cm="1">
        <f t="array" ref="E106">'Question_Bank'!L106</f>
        <v>0</v>
      </c>
      <c r="F106" t="str" s="14" cm="1">
        <f t="array" ref="F106">'Question_Bank'!N106</f>
        <v>No</v>
      </c>
      <c r="G106" t="str" s="14" cm="1">
        <f t="array" ref="G106">IF(D106="MCQ","Correct=1, Incorrect=0",IF(F106="Yes","Reverse: 6-response","Direct: response score"))</f>
        <v>Direct: response score</v>
      </c>
      <c r="H106" s="15"/>
    </row>
    <row r="107" ht="17.45" customHeight="1">
      <c r="A107" t="str" s="13" cm="1">
        <f t="array" ref="A107">'Question_Bank'!A107</f>
        <v>NPI0103</v>
      </c>
      <c r="B107" t="str" s="14" cm="1">
        <f t="array" ref="B107">'Question_Bank'!C107</f>
        <v>Big Five Personality</v>
      </c>
      <c r="C107" t="str" s="14" cm="1">
        <f t="array" ref="C107">'Question_Bank'!D107</f>
        <v>Openness</v>
      </c>
      <c r="D107" t="str" s="14" cm="1">
        <f t="array" ref="D107">'Question_Bank'!F107</f>
        <v>Likert</v>
      </c>
      <c r="E107" s="172" cm="1">
        <f t="array" ref="E107">'Question_Bank'!L107</f>
        <v>0</v>
      </c>
      <c r="F107" t="str" s="14" cm="1">
        <f t="array" ref="F107">'Question_Bank'!N107</f>
        <v>No</v>
      </c>
      <c r="G107" t="str" s="14" cm="1">
        <f t="array" ref="G107">IF(D107="MCQ","Correct=1, Incorrect=0",IF(F107="Yes","Reverse: 6-response","Direct: response score"))</f>
        <v>Direct: response score</v>
      </c>
      <c r="H107" s="15"/>
    </row>
    <row r="108" ht="17.45" customHeight="1">
      <c r="A108" t="str" s="13" cm="1">
        <f t="array" ref="A108">'Question_Bank'!A108</f>
        <v>NPI0104</v>
      </c>
      <c r="B108" t="str" s="14" cm="1">
        <f t="array" ref="B108">'Question_Bank'!C108</f>
        <v>Big Five Personality</v>
      </c>
      <c r="C108" t="str" s="14" cm="1">
        <f t="array" ref="C108">'Question_Bank'!D108</f>
        <v>Openness</v>
      </c>
      <c r="D108" t="str" s="14" cm="1">
        <f t="array" ref="D108">'Question_Bank'!F108</f>
        <v>Likert</v>
      </c>
      <c r="E108" s="172" cm="1">
        <f t="array" ref="E108">'Question_Bank'!L108</f>
        <v>0</v>
      </c>
      <c r="F108" t="str" s="14" cm="1">
        <f t="array" ref="F108">'Question_Bank'!N108</f>
        <v>No</v>
      </c>
      <c r="G108" t="str" s="14" cm="1">
        <f t="array" ref="G108">IF(D108="MCQ","Correct=1, Incorrect=0",IF(F108="Yes","Reverse: 6-response","Direct: response score"))</f>
        <v>Direct: response score</v>
      </c>
      <c r="H108" s="15"/>
    </row>
    <row r="109" ht="17.45" customHeight="1">
      <c r="A109" t="str" s="13" cm="1">
        <f t="array" ref="A109">'Question_Bank'!A109</f>
        <v>NPI0105</v>
      </c>
      <c r="B109" t="str" s="14" cm="1">
        <f t="array" ref="B109">'Question_Bank'!C109</f>
        <v>Big Five Personality</v>
      </c>
      <c r="C109" t="str" s="14" cm="1">
        <f t="array" ref="C109">'Question_Bank'!D109</f>
        <v>Openness</v>
      </c>
      <c r="D109" t="str" s="14" cm="1">
        <f t="array" ref="D109">'Question_Bank'!F109</f>
        <v>Likert</v>
      </c>
      <c r="E109" s="172" cm="1">
        <f t="array" ref="E109">'Question_Bank'!L109</f>
        <v>0</v>
      </c>
      <c r="F109" t="str" s="14" cm="1">
        <f t="array" ref="F109">'Question_Bank'!N109</f>
        <v>No</v>
      </c>
      <c r="G109" t="str" s="14" cm="1">
        <f t="array" ref="G109">IF(D109="MCQ","Correct=1, Incorrect=0",IF(F109="Yes","Reverse: 6-response","Direct: response score"))</f>
        <v>Direct: response score</v>
      </c>
      <c r="H109" s="15"/>
    </row>
    <row r="110" ht="17.45" customHeight="1">
      <c r="A110" t="str" s="13" cm="1">
        <f t="array" ref="A110">'Question_Bank'!A110</f>
        <v>NPI0106</v>
      </c>
      <c r="B110" t="str" s="14" cm="1">
        <f t="array" ref="B110">'Question_Bank'!C110</f>
        <v>Big Five Personality</v>
      </c>
      <c r="C110" t="str" s="14" cm="1">
        <f t="array" ref="C110">'Question_Bank'!D110</f>
        <v>Openness</v>
      </c>
      <c r="D110" t="str" s="14" cm="1">
        <f t="array" ref="D110">'Question_Bank'!F110</f>
        <v>Likert</v>
      </c>
      <c r="E110" s="172" cm="1">
        <f t="array" ref="E110">'Question_Bank'!L110</f>
        <v>0</v>
      </c>
      <c r="F110" t="str" s="14" cm="1">
        <f t="array" ref="F110">'Question_Bank'!N110</f>
        <v>No</v>
      </c>
      <c r="G110" t="str" s="14" cm="1">
        <f t="array" ref="G110">IF(D110="MCQ","Correct=1, Incorrect=0",IF(F110="Yes","Reverse: 6-response","Direct: response score"))</f>
        <v>Direct: response score</v>
      </c>
      <c r="H110" s="15"/>
    </row>
    <row r="111" ht="17.45" customHeight="1">
      <c r="A111" t="str" s="13" cm="1">
        <f t="array" ref="A111">'Question_Bank'!A111</f>
        <v>NPI0107</v>
      </c>
      <c r="B111" t="str" s="14" cm="1">
        <f t="array" ref="B111">'Question_Bank'!C111</f>
        <v>Big Five Personality</v>
      </c>
      <c r="C111" t="str" s="14" cm="1">
        <f t="array" ref="C111">'Question_Bank'!D111</f>
        <v>Openness</v>
      </c>
      <c r="D111" t="str" s="14" cm="1">
        <f t="array" ref="D111">'Question_Bank'!F111</f>
        <v>Likert</v>
      </c>
      <c r="E111" s="172" cm="1">
        <f t="array" ref="E111">'Question_Bank'!L111</f>
        <v>0</v>
      </c>
      <c r="F111" t="str" s="14" cm="1">
        <f t="array" ref="F111">'Question_Bank'!N111</f>
        <v>No</v>
      </c>
      <c r="G111" t="str" s="14" cm="1">
        <f t="array" ref="G111">IF(D111="MCQ","Correct=1, Incorrect=0",IF(F111="Yes","Reverse: 6-response","Direct: response score"))</f>
        <v>Direct: response score</v>
      </c>
      <c r="H111" s="15"/>
    </row>
    <row r="112" ht="17.45" customHeight="1">
      <c r="A112" t="str" s="13" cm="1">
        <f t="array" ref="A112">'Question_Bank'!A112</f>
        <v>NPI0108</v>
      </c>
      <c r="B112" t="str" s="14" cm="1">
        <f t="array" ref="B112">'Question_Bank'!C112</f>
        <v>Big Five Personality</v>
      </c>
      <c r="C112" t="str" s="14" cm="1">
        <f t="array" ref="C112">'Question_Bank'!D112</f>
        <v>Openness</v>
      </c>
      <c r="D112" t="str" s="14" cm="1">
        <f t="array" ref="D112">'Question_Bank'!F112</f>
        <v>Likert</v>
      </c>
      <c r="E112" s="172" cm="1">
        <f t="array" ref="E112">'Question_Bank'!L112</f>
        <v>0</v>
      </c>
      <c r="F112" t="str" s="14" cm="1">
        <f t="array" ref="F112">'Question_Bank'!N112</f>
        <v>No</v>
      </c>
      <c r="G112" t="str" s="14" cm="1">
        <f t="array" ref="G112">IF(D112="MCQ","Correct=1, Incorrect=0",IF(F112="Yes","Reverse: 6-response","Direct: response score"))</f>
        <v>Direct: response score</v>
      </c>
      <c r="H112" s="15"/>
    </row>
    <row r="113" ht="17.45" customHeight="1">
      <c r="A113" t="str" s="13" cm="1">
        <f t="array" ref="A113">'Question_Bank'!A113</f>
        <v>NPI0109</v>
      </c>
      <c r="B113" t="str" s="14" cm="1">
        <f t="array" ref="B113">'Question_Bank'!C113</f>
        <v>Big Five Personality</v>
      </c>
      <c r="C113" t="str" s="14" cm="1">
        <f t="array" ref="C113">'Question_Bank'!D113</f>
        <v>Openness</v>
      </c>
      <c r="D113" t="str" s="14" cm="1">
        <f t="array" ref="D113">'Question_Bank'!F113</f>
        <v>Likert</v>
      </c>
      <c r="E113" s="172" cm="1">
        <f t="array" ref="E113">'Question_Bank'!L113</f>
        <v>0</v>
      </c>
      <c r="F113" t="str" s="14" cm="1">
        <f t="array" ref="F113">'Question_Bank'!N113</f>
        <v>Yes</v>
      </c>
      <c r="G113" t="str" s="14" cm="1">
        <f t="array" ref="G113">IF(D113="MCQ","Correct=1, Incorrect=0",IF(F113="Yes","Reverse: 6-response","Direct: response score"))</f>
        <v>Reverse: 6-response</v>
      </c>
      <c r="H113" s="15"/>
    </row>
    <row r="114" ht="17.45" customHeight="1">
      <c r="A114" t="str" s="13" cm="1">
        <f t="array" ref="A114">'Question_Bank'!A114</f>
        <v>NPI0110</v>
      </c>
      <c r="B114" t="str" s="14" cm="1">
        <f t="array" ref="B114">'Question_Bank'!C114</f>
        <v>Big Five Personality</v>
      </c>
      <c r="C114" t="str" s="14" cm="1">
        <f t="array" ref="C114">'Question_Bank'!D114</f>
        <v>Openness</v>
      </c>
      <c r="D114" t="str" s="14" cm="1">
        <f t="array" ref="D114">'Question_Bank'!F114</f>
        <v>Likert</v>
      </c>
      <c r="E114" s="172" cm="1">
        <f t="array" ref="E114">'Question_Bank'!L114</f>
        <v>0</v>
      </c>
      <c r="F114" t="str" s="14" cm="1">
        <f t="array" ref="F114">'Question_Bank'!N114</f>
        <v>Yes</v>
      </c>
      <c r="G114" t="str" s="14" cm="1">
        <f t="array" ref="G114">IF(D114="MCQ","Correct=1, Incorrect=0",IF(F114="Yes","Reverse: 6-response","Direct: response score"))</f>
        <v>Reverse: 6-response</v>
      </c>
      <c r="H114" s="15"/>
    </row>
    <row r="115" ht="17.45" customHeight="1">
      <c r="A115" t="str" s="13" cm="1">
        <f t="array" ref="A115">'Question_Bank'!A115</f>
        <v>NPI0111</v>
      </c>
      <c r="B115" t="str" s="14" cm="1">
        <f t="array" ref="B115">'Question_Bank'!C115</f>
        <v>Big Five Personality</v>
      </c>
      <c r="C115" t="str" s="14" cm="1">
        <f t="array" ref="C115">'Question_Bank'!D115</f>
        <v>Openness</v>
      </c>
      <c r="D115" t="str" s="14" cm="1">
        <f t="array" ref="D115">'Question_Bank'!F115</f>
        <v>Likert</v>
      </c>
      <c r="E115" s="172" cm="1">
        <f t="array" ref="E115">'Question_Bank'!L115</f>
        <v>0</v>
      </c>
      <c r="F115" t="str" s="14" cm="1">
        <f t="array" ref="F115">'Question_Bank'!N115</f>
        <v>Yes</v>
      </c>
      <c r="G115" t="str" s="14" cm="1">
        <f t="array" ref="G115">IF(D115="MCQ","Correct=1, Incorrect=0",IF(F115="Yes","Reverse: 6-response","Direct: response score"))</f>
        <v>Reverse: 6-response</v>
      </c>
      <c r="H115" s="15"/>
    </row>
    <row r="116" ht="17.45" customHeight="1">
      <c r="A116" t="str" s="13" cm="1">
        <f t="array" ref="A116">'Question_Bank'!A116</f>
        <v>NPI0112</v>
      </c>
      <c r="B116" t="str" s="14" cm="1">
        <f t="array" ref="B116">'Question_Bank'!C116</f>
        <v>Big Five Personality</v>
      </c>
      <c r="C116" t="str" s="14" cm="1">
        <f t="array" ref="C116">'Question_Bank'!D116</f>
        <v>Openness</v>
      </c>
      <c r="D116" t="str" s="14" cm="1">
        <f t="array" ref="D116">'Question_Bank'!F116</f>
        <v>Likert</v>
      </c>
      <c r="E116" s="172" cm="1">
        <f t="array" ref="E116">'Question_Bank'!L116</f>
        <v>0</v>
      </c>
      <c r="F116" t="str" s="14" cm="1">
        <f t="array" ref="F116">'Question_Bank'!N116</f>
        <v>Yes</v>
      </c>
      <c r="G116" t="str" s="14" cm="1">
        <f t="array" ref="G116">IF(D116="MCQ","Correct=1, Incorrect=0",IF(F116="Yes","Reverse: 6-response","Direct: response score"))</f>
        <v>Reverse: 6-response</v>
      </c>
      <c r="H116" s="15"/>
    </row>
    <row r="117" ht="17.45" customHeight="1">
      <c r="A117" t="str" s="13" cm="1">
        <f t="array" ref="A117">'Question_Bank'!A117</f>
        <v>NPI0113</v>
      </c>
      <c r="B117" t="str" s="14" cm="1">
        <f t="array" ref="B117">'Question_Bank'!C117</f>
        <v>Big Five Personality</v>
      </c>
      <c r="C117" t="str" s="14" cm="1">
        <f t="array" ref="C117">'Question_Bank'!D117</f>
        <v>Openness</v>
      </c>
      <c r="D117" t="str" s="14" cm="1">
        <f t="array" ref="D117">'Question_Bank'!F117</f>
        <v>Likert</v>
      </c>
      <c r="E117" s="172" cm="1">
        <f t="array" ref="E117">'Question_Bank'!L117</f>
        <v>0</v>
      </c>
      <c r="F117" t="str" s="14" cm="1">
        <f t="array" ref="F117">'Question_Bank'!N117</f>
        <v>Yes</v>
      </c>
      <c r="G117" t="str" s="14" cm="1">
        <f t="array" ref="G117">IF(D117="MCQ","Correct=1, Incorrect=0",IF(F117="Yes","Reverse: 6-response","Direct: response score"))</f>
        <v>Reverse: 6-response</v>
      </c>
      <c r="H117" s="15"/>
    </row>
    <row r="118" ht="17.45" customHeight="1">
      <c r="A118" t="str" s="13" cm="1">
        <f t="array" ref="A118">'Question_Bank'!A118</f>
        <v>NPI0114</v>
      </c>
      <c r="B118" t="str" s="14" cm="1">
        <f t="array" ref="B118">'Question_Bank'!C118</f>
        <v>Big Five Personality</v>
      </c>
      <c r="C118" t="str" s="14" cm="1">
        <f t="array" ref="C118">'Question_Bank'!D118</f>
        <v>Openness</v>
      </c>
      <c r="D118" t="str" s="14" cm="1">
        <f t="array" ref="D118">'Question_Bank'!F118</f>
        <v>Likert</v>
      </c>
      <c r="E118" s="172" cm="1">
        <f t="array" ref="E118">'Question_Bank'!L118</f>
        <v>0</v>
      </c>
      <c r="F118" t="str" s="14" cm="1">
        <f t="array" ref="F118">'Question_Bank'!N118</f>
        <v>Yes</v>
      </c>
      <c r="G118" t="str" s="14" cm="1">
        <f t="array" ref="G118">IF(D118="MCQ","Correct=1, Incorrect=0",IF(F118="Yes","Reverse: 6-response","Direct: response score"))</f>
        <v>Reverse: 6-response</v>
      </c>
      <c r="H118" s="15"/>
    </row>
    <row r="119" ht="17.45" customHeight="1">
      <c r="A119" t="str" s="13" cm="1">
        <f t="array" ref="A119">'Question_Bank'!A119</f>
        <v>NPI0115</v>
      </c>
      <c r="B119" t="str" s="14" cm="1">
        <f t="array" ref="B119">'Question_Bank'!C119</f>
        <v>Big Five Personality</v>
      </c>
      <c r="C119" t="str" s="14" cm="1">
        <f t="array" ref="C119">'Question_Bank'!D119</f>
        <v>Openness</v>
      </c>
      <c r="D119" t="str" s="14" cm="1">
        <f t="array" ref="D119">'Question_Bank'!F119</f>
        <v>Likert</v>
      </c>
      <c r="E119" s="172" cm="1">
        <f t="array" ref="E119">'Question_Bank'!L119</f>
        <v>0</v>
      </c>
      <c r="F119" t="str" s="14" cm="1">
        <f t="array" ref="F119">'Question_Bank'!N119</f>
        <v>Yes</v>
      </c>
      <c r="G119" t="str" s="14" cm="1">
        <f t="array" ref="G119">IF(D119="MCQ","Correct=1, Incorrect=0",IF(F119="Yes","Reverse: 6-response","Direct: response score"))</f>
        <v>Reverse: 6-response</v>
      </c>
      <c r="H119" s="15"/>
    </row>
    <row r="120" ht="17.45" customHeight="1">
      <c r="A120" t="str" s="13" cm="1">
        <f t="array" ref="A120">'Question_Bank'!A120</f>
        <v>NPI0116</v>
      </c>
      <c r="B120" t="str" s="14" cm="1">
        <f t="array" ref="B120">'Question_Bank'!C120</f>
        <v>Big Five Personality</v>
      </c>
      <c r="C120" t="str" s="14" cm="1">
        <f t="array" ref="C120">'Question_Bank'!D120</f>
        <v>Conscientiousness</v>
      </c>
      <c r="D120" t="str" s="14" cm="1">
        <f t="array" ref="D120">'Question_Bank'!F120</f>
        <v>Likert</v>
      </c>
      <c r="E120" s="172" cm="1">
        <f t="array" ref="E120">'Question_Bank'!L120</f>
        <v>0</v>
      </c>
      <c r="F120" t="str" s="14" cm="1">
        <f t="array" ref="F120">'Question_Bank'!N120</f>
        <v>No</v>
      </c>
      <c r="G120" t="str" s="14" cm="1">
        <f t="array" ref="G120">IF(D120="MCQ","Correct=1, Incorrect=0",IF(F120="Yes","Reverse: 6-response","Direct: response score"))</f>
        <v>Direct: response score</v>
      </c>
      <c r="H120" s="15"/>
    </row>
    <row r="121" ht="17.45" customHeight="1">
      <c r="A121" t="str" s="13" cm="1">
        <f t="array" ref="A121">'Question_Bank'!A121</f>
        <v>NPI0117</v>
      </c>
      <c r="B121" t="str" s="14" cm="1">
        <f t="array" ref="B121">'Question_Bank'!C121</f>
        <v>Big Five Personality</v>
      </c>
      <c r="C121" t="str" s="14" cm="1">
        <f t="array" ref="C121">'Question_Bank'!D121</f>
        <v>Conscientiousness</v>
      </c>
      <c r="D121" t="str" s="14" cm="1">
        <f t="array" ref="D121">'Question_Bank'!F121</f>
        <v>Likert</v>
      </c>
      <c r="E121" s="172" cm="1">
        <f t="array" ref="E121">'Question_Bank'!L121</f>
        <v>0</v>
      </c>
      <c r="F121" t="str" s="14" cm="1">
        <f t="array" ref="F121">'Question_Bank'!N121</f>
        <v>No</v>
      </c>
      <c r="G121" t="str" s="14" cm="1">
        <f t="array" ref="G121">IF(D121="MCQ","Correct=1, Incorrect=0",IF(F121="Yes","Reverse: 6-response","Direct: response score"))</f>
        <v>Direct: response score</v>
      </c>
      <c r="H121" s="15"/>
    </row>
    <row r="122" ht="17.45" customHeight="1">
      <c r="A122" t="str" s="13" cm="1">
        <f t="array" ref="A122">'Question_Bank'!A122</f>
        <v>NPI0118</v>
      </c>
      <c r="B122" t="str" s="14" cm="1">
        <f t="array" ref="B122">'Question_Bank'!C122</f>
        <v>Big Five Personality</v>
      </c>
      <c r="C122" t="str" s="14" cm="1">
        <f t="array" ref="C122">'Question_Bank'!D122</f>
        <v>Conscientiousness</v>
      </c>
      <c r="D122" t="str" s="14" cm="1">
        <f t="array" ref="D122">'Question_Bank'!F122</f>
        <v>Likert</v>
      </c>
      <c r="E122" s="172" cm="1">
        <f t="array" ref="E122">'Question_Bank'!L122</f>
        <v>0</v>
      </c>
      <c r="F122" t="str" s="14" cm="1">
        <f t="array" ref="F122">'Question_Bank'!N122</f>
        <v>No</v>
      </c>
      <c r="G122" t="str" s="14" cm="1">
        <f t="array" ref="G122">IF(D122="MCQ","Correct=1, Incorrect=0",IF(F122="Yes","Reverse: 6-response","Direct: response score"))</f>
        <v>Direct: response score</v>
      </c>
      <c r="H122" s="15"/>
    </row>
    <row r="123" ht="17.45" customHeight="1">
      <c r="A123" t="str" s="13" cm="1">
        <f t="array" ref="A123">'Question_Bank'!A123</f>
        <v>NPI0119</v>
      </c>
      <c r="B123" t="str" s="14" cm="1">
        <f t="array" ref="B123">'Question_Bank'!C123</f>
        <v>Big Five Personality</v>
      </c>
      <c r="C123" t="str" s="14" cm="1">
        <f t="array" ref="C123">'Question_Bank'!D123</f>
        <v>Conscientiousness</v>
      </c>
      <c r="D123" t="str" s="14" cm="1">
        <f t="array" ref="D123">'Question_Bank'!F123</f>
        <v>Likert</v>
      </c>
      <c r="E123" s="172" cm="1">
        <f t="array" ref="E123">'Question_Bank'!L123</f>
        <v>0</v>
      </c>
      <c r="F123" t="str" s="14" cm="1">
        <f t="array" ref="F123">'Question_Bank'!N123</f>
        <v>No</v>
      </c>
      <c r="G123" t="str" s="14" cm="1">
        <f t="array" ref="G123">IF(D123="MCQ","Correct=1, Incorrect=0",IF(F123="Yes","Reverse: 6-response","Direct: response score"))</f>
        <v>Direct: response score</v>
      </c>
      <c r="H123" s="15"/>
    </row>
    <row r="124" ht="17.45" customHeight="1">
      <c r="A124" t="str" s="13" cm="1">
        <f t="array" ref="A124">'Question_Bank'!A124</f>
        <v>NPI0120</v>
      </c>
      <c r="B124" t="str" s="14" cm="1">
        <f t="array" ref="B124">'Question_Bank'!C124</f>
        <v>Big Five Personality</v>
      </c>
      <c r="C124" t="str" s="14" cm="1">
        <f t="array" ref="C124">'Question_Bank'!D124</f>
        <v>Conscientiousness</v>
      </c>
      <c r="D124" t="str" s="14" cm="1">
        <f t="array" ref="D124">'Question_Bank'!F124</f>
        <v>Likert</v>
      </c>
      <c r="E124" s="172" cm="1">
        <f t="array" ref="E124">'Question_Bank'!L124</f>
        <v>0</v>
      </c>
      <c r="F124" t="str" s="14" cm="1">
        <f t="array" ref="F124">'Question_Bank'!N124</f>
        <v>No</v>
      </c>
      <c r="G124" t="str" s="14" cm="1">
        <f t="array" ref="G124">IF(D124="MCQ","Correct=1, Incorrect=0",IF(F124="Yes","Reverse: 6-response","Direct: response score"))</f>
        <v>Direct: response score</v>
      </c>
      <c r="H124" s="15"/>
    </row>
    <row r="125" ht="17.45" customHeight="1">
      <c r="A125" t="str" s="13" cm="1">
        <f t="array" ref="A125">'Question_Bank'!A125</f>
        <v>NPI0121</v>
      </c>
      <c r="B125" t="str" s="14" cm="1">
        <f t="array" ref="B125">'Question_Bank'!C125</f>
        <v>Big Five Personality</v>
      </c>
      <c r="C125" t="str" s="14" cm="1">
        <f t="array" ref="C125">'Question_Bank'!D125</f>
        <v>Conscientiousness</v>
      </c>
      <c r="D125" t="str" s="14" cm="1">
        <f t="array" ref="D125">'Question_Bank'!F125</f>
        <v>Likert</v>
      </c>
      <c r="E125" s="172" cm="1">
        <f t="array" ref="E125">'Question_Bank'!L125</f>
        <v>0</v>
      </c>
      <c r="F125" t="str" s="14" cm="1">
        <f t="array" ref="F125">'Question_Bank'!N125</f>
        <v>No</v>
      </c>
      <c r="G125" t="str" s="14" cm="1">
        <f t="array" ref="G125">IF(D125="MCQ","Correct=1, Incorrect=0",IF(F125="Yes","Reverse: 6-response","Direct: response score"))</f>
        <v>Direct: response score</v>
      </c>
      <c r="H125" s="15"/>
    </row>
    <row r="126" ht="17.45" customHeight="1">
      <c r="A126" t="str" s="13" cm="1">
        <f t="array" ref="A126">'Question_Bank'!A126</f>
        <v>NPI0122</v>
      </c>
      <c r="B126" t="str" s="14" cm="1">
        <f t="array" ref="B126">'Question_Bank'!C126</f>
        <v>Big Five Personality</v>
      </c>
      <c r="C126" t="str" s="14" cm="1">
        <f t="array" ref="C126">'Question_Bank'!D126</f>
        <v>Conscientiousness</v>
      </c>
      <c r="D126" t="str" s="14" cm="1">
        <f t="array" ref="D126">'Question_Bank'!F126</f>
        <v>Likert</v>
      </c>
      <c r="E126" s="172" cm="1">
        <f t="array" ref="E126">'Question_Bank'!L126</f>
        <v>0</v>
      </c>
      <c r="F126" t="str" s="14" cm="1">
        <f t="array" ref="F126">'Question_Bank'!N126</f>
        <v>No</v>
      </c>
      <c r="G126" t="str" s="14" cm="1">
        <f t="array" ref="G126">IF(D126="MCQ","Correct=1, Incorrect=0",IF(F126="Yes","Reverse: 6-response","Direct: response score"))</f>
        <v>Direct: response score</v>
      </c>
      <c r="H126" s="15"/>
    </row>
    <row r="127" ht="17.45" customHeight="1">
      <c r="A127" t="str" s="13" cm="1">
        <f t="array" ref="A127">'Question_Bank'!A127</f>
        <v>NPI0123</v>
      </c>
      <c r="B127" t="str" s="14" cm="1">
        <f t="array" ref="B127">'Question_Bank'!C127</f>
        <v>Big Five Personality</v>
      </c>
      <c r="C127" t="str" s="14" cm="1">
        <f t="array" ref="C127">'Question_Bank'!D127</f>
        <v>Conscientiousness</v>
      </c>
      <c r="D127" t="str" s="14" cm="1">
        <f t="array" ref="D127">'Question_Bank'!F127</f>
        <v>Likert</v>
      </c>
      <c r="E127" s="172" cm="1">
        <f t="array" ref="E127">'Question_Bank'!L127</f>
        <v>0</v>
      </c>
      <c r="F127" t="str" s="14" cm="1">
        <f t="array" ref="F127">'Question_Bank'!N127</f>
        <v>No</v>
      </c>
      <c r="G127" t="str" s="14" cm="1">
        <f t="array" ref="G127">IF(D127="MCQ","Correct=1, Incorrect=0",IF(F127="Yes","Reverse: 6-response","Direct: response score"))</f>
        <v>Direct: response score</v>
      </c>
      <c r="H127" s="15"/>
    </row>
    <row r="128" ht="17.45" customHeight="1">
      <c r="A128" t="str" s="13" cm="1">
        <f t="array" ref="A128">'Question_Bank'!A128</f>
        <v>NPI0124</v>
      </c>
      <c r="B128" t="str" s="14" cm="1">
        <f t="array" ref="B128">'Question_Bank'!C128</f>
        <v>Big Five Personality</v>
      </c>
      <c r="C128" t="str" s="14" cm="1">
        <f t="array" ref="C128">'Question_Bank'!D128</f>
        <v>Conscientiousness</v>
      </c>
      <c r="D128" t="str" s="14" cm="1">
        <f t="array" ref="D128">'Question_Bank'!F128</f>
        <v>Likert</v>
      </c>
      <c r="E128" s="172" cm="1">
        <f t="array" ref="E128">'Question_Bank'!L128</f>
        <v>0</v>
      </c>
      <c r="F128" t="str" s="14" cm="1">
        <f t="array" ref="F128">'Question_Bank'!N128</f>
        <v>No</v>
      </c>
      <c r="G128" t="str" s="14" cm="1">
        <f t="array" ref="G128">IF(D128="MCQ","Correct=1, Incorrect=0",IF(F128="Yes","Reverse: 6-response","Direct: response score"))</f>
        <v>Direct: response score</v>
      </c>
      <c r="H128" s="15"/>
    </row>
    <row r="129" ht="17.45" customHeight="1">
      <c r="A129" t="str" s="13" cm="1">
        <f t="array" ref="A129">'Question_Bank'!A129</f>
        <v>NPI0125</v>
      </c>
      <c r="B129" t="str" s="14" cm="1">
        <f t="array" ref="B129">'Question_Bank'!C129</f>
        <v>Big Five Personality</v>
      </c>
      <c r="C129" t="str" s="14" cm="1">
        <f t="array" ref="C129">'Question_Bank'!D129</f>
        <v>Conscientiousness</v>
      </c>
      <c r="D129" t="str" s="14" cm="1">
        <f t="array" ref="D129">'Question_Bank'!F129</f>
        <v>Likert</v>
      </c>
      <c r="E129" s="172" cm="1">
        <f t="array" ref="E129">'Question_Bank'!L129</f>
        <v>0</v>
      </c>
      <c r="F129" t="str" s="14" cm="1">
        <f t="array" ref="F129">'Question_Bank'!N129</f>
        <v>No</v>
      </c>
      <c r="G129" t="str" s="14" cm="1">
        <f t="array" ref="G129">IF(D129="MCQ","Correct=1, Incorrect=0",IF(F129="Yes","Reverse: 6-response","Direct: response score"))</f>
        <v>Direct: response score</v>
      </c>
      <c r="H129" s="15"/>
    </row>
    <row r="130" ht="17.45" customHeight="1">
      <c r="A130" t="str" s="13" cm="1">
        <f t="array" ref="A130">'Question_Bank'!A130</f>
        <v>NPI0126</v>
      </c>
      <c r="B130" t="str" s="14" cm="1">
        <f t="array" ref="B130">'Question_Bank'!C130</f>
        <v>Big Five Personality</v>
      </c>
      <c r="C130" t="str" s="14" cm="1">
        <f t="array" ref="C130">'Question_Bank'!D130</f>
        <v>Conscientiousness</v>
      </c>
      <c r="D130" t="str" s="14" cm="1">
        <f t="array" ref="D130">'Question_Bank'!F130</f>
        <v>Likert</v>
      </c>
      <c r="E130" s="172" cm="1">
        <f t="array" ref="E130">'Question_Bank'!L130</f>
        <v>0</v>
      </c>
      <c r="F130" t="str" s="14" cm="1">
        <f t="array" ref="F130">'Question_Bank'!N130</f>
        <v>No</v>
      </c>
      <c r="G130" t="str" s="14" cm="1">
        <f t="array" ref="G130">IF(D130="MCQ","Correct=1, Incorrect=0",IF(F130="Yes","Reverse: 6-response","Direct: response score"))</f>
        <v>Direct: response score</v>
      </c>
      <c r="H130" s="15"/>
    </row>
    <row r="131" ht="17.45" customHeight="1">
      <c r="A131" t="str" s="13" cm="1">
        <f t="array" ref="A131">'Question_Bank'!A131</f>
        <v>NPI0127</v>
      </c>
      <c r="B131" t="str" s="14" cm="1">
        <f t="array" ref="B131">'Question_Bank'!C131</f>
        <v>Big Five Personality</v>
      </c>
      <c r="C131" t="str" s="14" cm="1">
        <f t="array" ref="C131">'Question_Bank'!D131</f>
        <v>Conscientiousness</v>
      </c>
      <c r="D131" t="str" s="14" cm="1">
        <f t="array" ref="D131">'Question_Bank'!F131</f>
        <v>Likert</v>
      </c>
      <c r="E131" s="172" cm="1">
        <f t="array" ref="E131">'Question_Bank'!L131</f>
        <v>0</v>
      </c>
      <c r="F131" t="str" s="14" cm="1">
        <f t="array" ref="F131">'Question_Bank'!N131</f>
        <v>No</v>
      </c>
      <c r="G131" t="str" s="14" cm="1">
        <f t="array" ref="G131">IF(D131="MCQ","Correct=1, Incorrect=0",IF(F131="Yes","Reverse: 6-response","Direct: response score"))</f>
        <v>Direct: response score</v>
      </c>
      <c r="H131" s="15"/>
    </row>
    <row r="132" ht="17.45" customHeight="1">
      <c r="A132" t="str" s="13" cm="1">
        <f t="array" ref="A132">'Question_Bank'!A132</f>
        <v>NPI0128</v>
      </c>
      <c r="B132" t="str" s="14" cm="1">
        <f t="array" ref="B132">'Question_Bank'!C132</f>
        <v>Big Five Personality</v>
      </c>
      <c r="C132" t="str" s="14" cm="1">
        <f t="array" ref="C132">'Question_Bank'!D132</f>
        <v>Conscientiousness</v>
      </c>
      <c r="D132" t="str" s="14" cm="1">
        <f t="array" ref="D132">'Question_Bank'!F132</f>
        <v>Likert</v>
      </c>
      <c r="E132" s="172" cm="1">
        <f t="array" ref="E132">'Question_Bank'!L132</f>
        <v>0</v>
      </c>
      <c r="F132" t="str" s="14" cm="1">
        <f t="array" ref="F132">'Question_Bank'!N132</f>
        <v>No</v>
      </c>
      <c r="G132" t="str" s="14" cm="1">
        <f t="array" ref="G132">IF(D132="MCQ","Correct=1, Incorrect=0",IF(F132="Yes","Reverse: 6-response","Direct: response score"))</f>
        <v>Direct: response score</v>
      </c>
      <c r="H132" s="15"/>
    </row>
    <row r="133" ht="17.45" customHeight="1">
      <c r="A133" t="str" s="13" cm="1">
        <f t="array" ref="A133">'Question_Bank'!A133</f>
        <v>NPI0129</v>
      </c>
      <c r="B133" t="str" s="14" cm="1">
        <f t="array" ref="B133">'Question_Bank'!C133</f>
        <v>Big Five Personality</v>
      </c>
      <c r="C133" t="str" s="14" cm="1">
        <f t="array" ref="C133">'Question_Bank'!D133</f>
        <v>Conscientiousness</v>
      </c>
      <c r="D133" t="str" s="14" cm="1">
        <f t="array" ref="D133">'Question_Bank'!F133</f>
        <v>Likert</v>
      </c>
      <c r="E133" s="172" cm="1">
        <f t="array" ref="E133">'Question_Bank'!L133</f>
        <v>0</v>
      </c>
      <c r="F133" t="str" s="14" cm="1">
        <f t="array" ref="F133">'Question_Bank'!N133</f>
        <v>No</v>
      </c>
      <c r="G133" t="str" s="14" cm="1">
        <f t="array" ref="G133">IF(D133="MCQ","Correct=1, Incorrect=0",IF(F133="Yes","Reverse: 6-response","Direct: response score"))</f>
        <v>Direct: response score</v>
      </c>
      <c r="H133" s="15"/>
    </row>
    <row r="134" ht="17.45" customHeight="1">
      <c r="A134" t="str" s="13" cm="1">
        <f t="array" ref="A134">'Question_Bank'!A134</f>
        <v>NPI0130</v>
      </c>
      <c r="B134" t="str" s="14" cm="1">
        <f t="array" ref="B134">'Question_Bank'!C134</f>
        <v>Big Five Personality</v>
      </c>
      <c r="C134" t="str" s="14" cm="1">
        <f t="array" ref="C134">'Question_Bank'!D134</f>
        <v>Conscientiousness</v>
      </c>
      <c r="D134" t="str" s="14" cm="1">
        <f t="array" ref="D134">'Question_Bank'!F134</f>
        <v>Likert</v>
      </c>
      <c r="E134" s="172" cm="1">
        <f t="array" ref="E134">'Question_Bank'!L134</f>
        <v>0</v>
      </c>
      <c r="F134" t="str" s="14" cm="1">
        <f t="array" ref="F134">'Question_Bank'!N134</f>
        <v>No</v>
      </c>
      <c r="G134" t="str" s="14" cm="1">
        <f t="array" ref="G134">IF(D134="MCQ","Correct=1, Incorrect=0",IF(F134="Yes","Reverse: 6-response","Direct: response score"))</f>
        <v>Direct: response score</v>
      </c>
      <c r="H134" s="15"/>
    </row>
    <row r="135" ht="17.45" customHeight="1">
      <c r="A135" t="str" s="13" cm="1">
        <f t="array" ref="A135">'Question_Bank'!A135</f>
        <v>NPI0131</v>
      </c>
      <c r="B135" t="str" s="14" cm="1">
        <f t="array" ref="B135">'Question_Bank'!C135</f>
        <v>Big Five Personality</v>
      </c>
      <c r="C135" t="str" s="14" cm="1">
        <f t="array" ref="C135">'Question_Bank'!D135</f>
        <v>Conscientiousness</v>
      </c>
      <c r="D135" t="str" s="14" cm="1">
        <f t="array" ref="D135">'Question_Bank'!F135</f>
        <v>Likert</v>
      </c>
      <c r="E135" s="172" cm="1">
        <f t="array" ref="E135">'Question_Bank'!L135</f>
        <v>0</v>
      </c>
      <c r="F135" t="str" s="14" cm="1">
        <f t="array" ref="F135">'Question_Bank'!N135</f>
        <v>No</v>
      </c>
      <c r="G135" t="str" s="14" cm="1">
        <f t="array" ref="G135">IF(D135="MCQ","Correct=1, Incorrect=0",IF(F135="Yes","Reverse: 6-response","Direct: response score"))</f>
        <v>Direct: response score</v>
      </c>
      <c r="H135" s="15"/>
    </row>
    <row r="136" ht="17.45" customHeight="1">
      <c r="A136" t="str" s="13" cm="1">
        <f t="array" ref="A136">'Question_Bank'!A136</f>
        <v>NPI0132</v>
      </c>
      <c r="B136" t="str" s="14" cm="1">
        <f t="array" ref="B136">'Question_Bank'!C136</f>
        <v>Big Five Personality</v>
      </c>
      <c r="C136" t="str" s="14" cm="1">
        <f t="array" ref="C136">'Question_Bank'!D136</f>
        <v>Conscientiousness</v>
      </c>
      <c r="D136" t="str" s="14" cm="1">
        <f t="array" ref="D136">'Question_Bank'!F136</f>
        <v>Likert</v>
      </c>
      <c r="E136" s="172" cm="1">
        <f t="array" ref="E136">'Question_Bank'!L136</f>
        <v>0</v>
      </c>
      <c r="F136" t="str" s="14" cm="1">
        <f t="array" ref="F136">'Question_Bank'!N136</f>
        <v>No</v>
      </c>
      <c r="G136" t="str" s="14" cm="1">
        <f t="array" ref="G136">IF(D136="MCQ","Correct=1, Incorrect=0",IF(F136="Yes","Reverse: 6-response","Direct: response score"))</f>
        <v>Direct: response score</v>
      </c>
      <c r="H136" s="15"/>
    </row>
    <row r="137" ht="17.45" customHeight="1">
      <c r="A137" t="str" s="13" cm="1">
        <f t="array" ref="A137">'Question_Bank'!A137</f>
        <v>NPI0133</v>
      </c>
      <c r="B137" t="str" s="14" cm="1">
        <f t="array" ref="B137">'Question_Bank'!C137</f>
        <v>Big Five Personality</v>
      </c>
      <c r="C137" t="str" s="14" cm="1">
        <f t="array" ref="C137">'Question_Bank'!D137</f>
        <v>Conscientiousness</v>
      </c>
      <c r="D137" t="str" s="14" cm="1">
        <f t="array" ref="D137">'Question_Bank'!F137</f>
        <v>Likert</v>
      </c>
      <c r="E137" s="172" cm="1">
        <f t="array" ref="E137">'Question_Bank'!L137</f>
        <v>0</v>
      </c>
      <c r="F137" t="str" s="14" cm="1">
        <f t="array" ref="F137">'Question_Bank'!N137</f>
        <v>No</v>
      </c>
      <c r="G137" t="str" s="14" cm="1">
        <f t="array" ref="G137">IF(D137="MCQ","Correct=1, Incorrect=0",IF(F137="Yes","Reverse: 6-response","Direct: response score"))</f>
        <v>Direct: response score</v>
      </c>
      <c r="H137" s="15"/>
    </row>
    <row r="138" ht="17.45" customHeight="1">
      <c r="A138" t="str" s="13" cm="1">
        <f t="array" ref="A138">'Question_Bank'!A138</f>
        <v>NPI0134</v>
      </c>
      <c r="B138" t="str" s="14" cm="1">
        <f t="array" ref="B138">'Question_Bank'!C138</f>
        <v>Big Five Personality</v>
      </c>
      <c r="C138" t="str" s="14" cm="1">
        <f t="array" ref="C138">'Question_Bank'!D138</f>
        <v>Conscientiousness</v>
      </c>
      <c r="D138" t="str" s="14" cm="1">
        <f t="array" ref="D138">'Question_Bank'!F138</f>
        <v>Likert</v>
      </c>
      <c r="E138" s="172" cm="1">
        <f t="array" ref="E138">'Question_Bank'!L138</f>
        <v>0</v>
      </c>
      <c r="F138" t="str" s="14" cm="1">
        <f t="array" ref="F138">'Question_Bank'!N138</f>
        <v>Yes</v>
      </c>
      <c r="G138" t="str" s="14" cm="1">
        <f t="array" ref="G138">IF(D138="MCQ","Correct=1, Incorrect=0",IF(F138="Yes","Reverse: 6-response","Direct: response score"))</f>
        <v>Reverse: 6-response</v>
      </c>
      <c r="H138" s="15"/>
    </row>
    <row r="139" ht="17.45" customHeight="1">
      <c r="A139" t="str" s="13" cm="1">
        <f t="array" ref="A139">'Question_Bank'!A139</f>
        <v>NPI0135</v>
      </c>
      <c r="B139" t="str" s="14" cm="1">
        <f t="array" ref="B139">'Question_Bank'!C139</f>
        <v>Big Five Personality</v>
      </c>
      <c r="C139" t="str" s="14" cm="1">
        <f t="array" ref="C139">'Question_Bank'!D139</f>
        <v>Conscientiousness</v>
      </c>
      <c r="D139" t="str" s="14" cm="1">
        <f t="array" ref="D139">'Question_Bank'!F139</f>
        <v>Likert</v>
      </c>
      <c r="E139" s="172" cm="1">
        <f t="array" ref="E139">'Question_Bank'!L139</f>
        <v>0</v>
      </c>
      <c r="F139" t="str" s="14" cm="1">
        <f t="array" ref="F139">'Question_Bank'!N139</f>
        <v>Yes</v>
      </c>
      <c r="G139" t="str" s="14" cm="1">
        <f t="array" ref="G139">IF(D139="MCQ","Correct=1, Incorrect=0",IF(F139="Yes","Reverse: 6-response","Direct: response score"))</f>
        <v>Reverse: 6-response</v>
      </c>
      <c r="H139" s="15"/>
    </row>
    <row r="140" ht="17.45" customHeight="1">
      <c r="A140" t="str" s="13" cm="1">
        <f t="array" ref="A140">'Question_Bank'!A140</f>
        <v>NPI0136</v>
      </c>
      <c r="B140" t="str" s="14" cm="1">
        <f t="array" ref="B140">'Question_Bank'!C140</f>
        <v>Big Five Personality</v>
      </c>
      <c r="C140" t="str" s="14" cm="1">
        <f t="array" ref="C140">'Question_Bank'!D140</f>
        <v>Conscientiousness</v>
      </c>
      <c r="D140" t="str" s="14" cm="1">
        <f t="array" ref="D140">'Question_Bank'!F140</f>
        <v>Likert</v>
      </c>
      <c r="E140" s="172" cm="1">
        <f t="array" ref="E140">'Question_Bank'!L140</f>
        <v>0</v>
      </c>
      <c r="F140" t="str" s="14" cm="1">
        <f t="array" ref="F140">'Question_Bank'!N140</f>
        <v>Yes</v>
      </c>
      <c r="G140" t="str" s="14" cm="1">
        <f t="array" ref="G140">IF(D140="MCQ","Correct=1, Incorrect=0",IF(F140="Yes","Reverse: 6-response","Direct: response score"))</f>
        <v>Reverse: 6-response</v>
      </c>
      <c r="H140" s="15"/>
    </row>
    <row r="141" ht="17.45" customHeight="1">
      <c r="A141" t="str" s="13" cm="1">
        <f t="array" ref="A141">'Question_Bank'!A141</f>
        <v>NPI0137</v>
      </c>
      <c r="B141" t="str" s="14" cm="1">
        <f t="array" ref="B141">'Question_Bank'!C141</f>
        <v>Big Five Personality</v>
      </c>
      <c r="C141" t="str" s="14" cm="1">
        <f t="array" ref="C141">'Question_Bank'!D141</f>
        <v>Conscientiousness</v>
      </c>
      <c r="D141" t="str" s="14" cm="1">
        <f t="array" ref="D141">'Question_Bank'!F141</f>
        <v>Likert</v>
      </c>
      <c r="E141" s="172" cm="1">
        <f t="array" ref="E141">'Question_Bank'!L141</f>
        <v>0</v>
      </c>
      <c r="F141" t="str" s="14" cm="1">
        <f t="array" ref="F141">'Question_Bank'!N141</f>
        <v>Yes</v>
      </c>
      <c r="G141" t="str" s="14" cm="1">
        <f t="array" ref="G141">IF(D141="MCQ","Correct=1, Incorrect=0",IF(F141="Yes","Reverse: 6-response","Direct: response score"))</f>
        <v>Reverse: 6-response</v>
      </c>
      <c r="H141" s="15"/>
    </row>
    <row r="142" ht="17.45" customHeight="1">
      <c r="A142" t="str" s="13" cm="1">
        <f t="array" ref="A142">'Question_Bank'!A142</f>
        <v>NPI0138</v>
      </c>
      <c r="B142" t="str" s="14" cm="1">
        <f t="array" ref="B142">'Question_Bank'!C142</f>
        <v>Big Five Personality</v>
      </c>
      <c r="C142" t="str" s="14" cm="1">
        <f t="array" ref="C142">'Question_Bank'!D142</f>
        <v>Conscientiousness</v>
      </c>
      <c r="D142" t="str" s="14" cm="1">
        <f t="array" ref="D142">'Question_Bank'!F142</f>
        <v>Likert</v>
      </c>
      <c r="E142" s="172" cm="1">
        <f t="array" ref="E142">'Question_Bank'!L142</f>
        <v>0</v>
      </c>
      <c r="F142" t="str" s="14" cm="1">
        <f t="array" ref="F142">'Question_Bank'!N142</f>
        <v>Yes</v>
      </c>
      <c r="G142" t="str" s="14" cm="1">
        <f t="array" ref="G142">IF(D142="MCQ","Correct=1, Incorrect=0",IF(F142="Yes","Reverse: 6-response","Direct: response score"))</f>
        <v>Reverse: 6-response</v>
      </c>
      <c r="H142" s="15"/>
    </row>
    <row r="143" ht="17.45" customHeight="1">
      <c r="A143" t="str" s="13" cm="1">
        <f t="array" ref="A143">'Question_Bank'!A143</f>
        <v>NPI0139</v>
      </c>
      <c r="B143" t="str" s="14" cm="1">
        <f t="array" ref="B143">'Question_Bank'!C143</f>
        <v>Big Five Personality</v>
      </c>
      <c r="C143" t="str" s="14" cm="1">
        <f t="array" ref="C143">'Question_Bank'!D143</f>
        <v>Conscientiousness</v>
      </c>
      <c r="D143" t="str" s="14" cm="1">
        <f t="array" ref="D143">'Question_Bank'!F143</f>
        <v>Likert</v>
      </c>
      <c r="E143" s="172" cm="1">
        <f t="array" ref="E143">'Question_Bank'!L143</f>
        <v>0</v>
      </c>
      <c r="F143" t="str" s="14" cm="1">
        <f t="array" ref="F143">'Question_Bank'!N143</f>
        <v>Yes</v>
      </c>
      <c r="G143" t="str" s="14" cm="1">
        <f t="array" ref="G143">IF(D143="MCQ","Correct=1, Incorrect=0",IF(F143="Yes","Reverse: 6-response","Direct: response score"))</f>
        <v>Reverse: 6-response</v>
      </c>
      <c r="H143" s="15"/>
    </row>
    <row r="144" ht="17.45" customHeight="1">
      <c r="A144" t="str" s="13" cm="1">
        <f t="array" ref="A144">'Question_Bank'!A144</f>
        <v>NPI0140</v>
      </c>
      <c r="B144" t="str" s="14" cm="1">
        <f t="array" ref="B144">'Question_Bank'!C144</f>
        <v>Big Five Personality</v>
      </c>
      <c r="C144" t="str" s="14" cm="1">
        <f t="array" ref="C144">'Question_Bank'!D144</f>
        <v>Conscientiousness</v>
      </c>
      <c r="D144" t="str" s="14" cm="1">
        <f t="array" ref="D144">'Question_Bank'!F144</f>
        <v>Likert</v>
      </c>
      <c r="E144" s="172" cm="1">
        <f t="array" ref="E144">'Question_Bank'!L144</f>
        <v>0</v>
      </c>
      <c r="F144" t="str" s="14" cm="1">
        <f t="array" ref="F144">'Question_Bank'!N144</f>
        <v>Yes</v>
      </c>
      <c r="G144" t="str" s="14" cm="1">
        <f t="array" ref="G144">IF(D144="MCQ","Correct=1, Incorrect=0",IF(F144="Yes","Reverse: 6-response","Direct: response score"))</f>
        <v>Reverse: 6-response</v>
      </c>
      <c r="H144" s="15"/>
    </row>
    <row r="145" ht="17.45" customHeight="1">
      <c r="A145" t="str" s="13" cm="1">
        <f t="array" ref="A145">'Question_Bank'!A145</f>
        <v>NPI0141</v>
      </c>
      <c r="B145" t="str" s="14" cm="1">
        <f t="array" ref="B145">'Question_Bank'!C145</f>
        <v>Big Five Personality</v>
      </c>
      <c r="C145" t="str" s="14" cm="1">
        <f t="array" ref="C145">'Question_Bank'!D145</f>
        <v>Extraversion</v>
      </c>
      <c r="D145" t="str" s="14" cm="1">
        <f t="array" ref="D145">'Question_Bank'!F145</f>
        <v>Likert</v>
      </c>
      <c r="E145" s="172" cm="1">
        <f t="array" ref="E145">'Question_Bank'!L145</f>
        <v>0</v>
      </c>
      <c r="F145" t="str" s="14" cm="1">
        <f t="array" ref="F145">'Question_Bank'!N145</f>
        <v>No</v>
      </c>
      <c r="G145" t="str" s="14" cm="1">
        <f t="array" ref="G145">IF(D145="MCQ","Correct=1, Incorrect=0",IF(F145="Yes","Reverse: 6-response","Direct: response score"))</f>
        <v>Direct: response score</v>
      </c>
      <c r="H145" s="15"/>
    </row>
    <row r="146" ht="17.45" customHeight="1">
      <c r="A146" t="str" s="13" cm="1">
        <f t="array" ref="A146">'Question_Bank'!A146</f>
        <v>NPI0142</v>
      </c>
      <c r="B146" t="str" s="14" cm="1">
        <f t="array" ref="B146">'Question_Bank'!C146</f>
        <v>Big Five Personality</v>
      </c>
      <c r="C146" t="str" s="14" cm="1">
        <f t="array" ref="C146">'Question_Bank'!D146</f>
        <v>Extraversion</v>
      </c>
      <c r="D146" t="str" s="14" cm="1">
        <f t="array" ref="D146">'Question_Bank'!F146</f>
        <v>Likert</v>
      </c>
      <c r="E146" s="172" cm="1">
        <f t="array" ref="E146">'Question_Bank'!L146</f>
        <v>0</v>
      </c>
      <c r="F146" t="str" s="14" cm="1">
        <f t="array" ref="F146">'Question_Bank'!N146</f>
        <v>No</v>
      </c>
      <c r="G146" t="str" s="14" cm="1">
        <f t="array" ref="G146">IF(D146="MCQ","Correct=1, Incorrect=0",IF(F146="Yes","Reverse: 6-response","Direct: response score"))</f>
        <v>Direct: response score</v>
      </c>
      <c r="H146" s="15"/>
    </row>
    <row r="147" ht="17.45" customHeight="1">
      <c r="A147" t="str" s="13" cm="1">
        <f t="array" ref="A147">'Question_Bank'!A147</f>
        <v>NPI0143</v>
      </c>
      <c r="B147" t="str" s="14" cm="1">
        <f t="array" ref="B147">'Question_Bank'!C147</f>
        <v>Big Five Personality</v>
      </c>
      <c r="C147" t="str" s="14" cm="1">
        <f t="array" ref="C147">'Question_Bank'!D147</f>
        <v>Extraversion</v>
      </c>
      <c r="D147" t="str" s="14" cm="1">
        <f t="array" ref="D147">'Question_Bank'!F147</f>
        <v>Likert</v>
      </c>
      <c r="E147" s="172" cm="1">
        <f t="array" ref="E147">'Question_Bank'!L147</f>
        <v>0</v>
      </c>
      <c r="F147" t="str" s="14" cm="1">
        <f t="array" ref="F147">'Question_Bank'!N147</f>
        <v>No</v>
      </c>
      <c r="G147" t="str" s="14" cm="1">
        <f t="array" ref="G147">IF(D147="MCQ","Correct=1, Incorrect=0",IF(F147="Yes","Reverse: 6-response","Direct: response score"))</f>
        <v>Direct: response score</v>
      </c>
      <c r="H147" s="15"/>
    </row>
    <row r="148" ht="17.45" customHeight="1">
      <c r="A148" t="str" s="13" cm="1">
        <f t="array" ref="A148">'Question_Bank'!A148</f>
        <v>NPI0144</v>
      </c>
      <c r="B148" t="str" s="14" cm="1">
        <f t="array" ref="B148">'Question_Bank'!C148</f>
        <v>Big Five Personality</v>
      </c>
      <c r="C148" t="str" s="14" cm="1">
        <f t="array" ref="C148">'Question_Bank'!D148</f>
        <v>Extraversion</v>
      </c>
      <c r="D148" t="str" s="14" cm="1">
        <f t="array" ref="D148">'Question_Bank'!F148</f>
        <v>Likert</v>
      </c>
      <c r="E148" s="172" cm="1">
        <f t="array" ref="E148">'Question_Bank'!L148</f>
        <v>0</v>
      </c>
      <c r="F148" t="str" s="14" cm="1">
        <f t="array" ref="F148">'Question_Bank'!N148</f>
        <v>No</v>
      </c>
      <c r="G148" t="str" s="14" cm="1">
        <f t="array" ref="G148">IF(D148="MCQ","Correct=1, Incorrect=0",IF(F148="Yes","Reverse: 6-response","Direct: response score"))</f>
        <v>Direct: response score</v>
      </c>
      <c r="H148" s="15"/>
    </row>
    <row r="149" ht="17.45" customHeight="1">
      <c r="A149" t="str" s="13" cm="1">
        <f t="array" ref="A149">'Question_Bank'!A149</f>
        <v>NPI0145</v>
      </c>
      <c r="B149" t="str" s="14" cm="1">
        <f t="array" ref="B149">'Question_Bank'!C149</f>
        <v>Big Five Personality</v>
      </c>
      <c r="C149" t="str" s="14" cm="1">
        <f t="array" ref="C149">'Question_Bank'!D149</f>
        <v>Extraversion</v>
      </c>
      <c r="D149" t="str" s="14" cm="1">
        <f t="array" ref="D149">'Question_Bank'!F149</f>
        <v>Likert</v>
      </c>
      <c r="E149" s="172" cm="1">
        <f t="array" ref="E149">'Question_Bank'!L149</f>
        <v>0</v>
      </c>
      <c r="F149" t="str" s="14" cm="1">
        <f t="array" ref="F149">'Question_Bank'!N149</f>
        <v>No</v>
      </c>
      <c r="G149" t="str" s="14" cm="1">
        <f t="array" ref="G149">IF(D149="MCQ","Correct=1, Incorrect=0",IF(F149="Yes","Reverse: 6-response","Direct: response score"))</f>
        <v>Direct: response score</v>
      </c>
      <c r="H149" s="15"/>
    </row>
    <row r="150" ht="17.45" customHeight="1">
      <c r="A150" t="str" s="13" cm="1">
        <f t="array" ref="A150">'Question_Bank'!A150</f>
        <v>NPI0146</v>
      </c>
      <c r="B150" t="str" s="14" cm="1">
        <f t="array" ref="B150">'Question_Bank'!C150</f>
        <v>Big Five Personality</v>
      </c>
      <c r="C150" t="str" s="14" cm="1">
        <f t="array" ref="C150">'Question_Bank'!D150</f>
        <v>Extraversion</v>
      </c>
      <c r="D150" t="str" s="14" cm="1">
        <f t="array" ref="D150">'Question_Bank'!F150</f>
        <v>Likert</v>
      </c>
      <c r="E150" s="172" cm="1">
        <f t="array" ref="E150">'Question_Bank'!L150</f>
        <v>0</v>
      </c>
      <c r="F150" t="str" s="14" cm="1">
        <f t="array" ref="F150">'Question_Bank'!N150</f>
        <v>No</v>
      </c>
      <c r="G150" t="str" s="14" cm="1">
        <f t="array" ref="G150">IF(D150="MCQ","Correct=1, Incorrect=0",IF(F150="Yes","Reverse: 6-response","Direct: response score"))</f>
        <v>Direct: response score</v>
      </c>
      <c r="H150" s="15"/>
    </row>
    <row r="151" ht="17.45" customHeight="1">
      <c r="A151" t="str" s="13" cm="1">
        <f t="array" ref="A151">'Question_Bank'!A151</f>
        <v>NPI0147</v>
      </c>
      <c r="B151" t="str" s="14" cm="1">
        <f t="array" ref="B151">'Question_Bank'!C151</f>
        <v>Big Five Personality</v>
      </c>
      <c r="C151" t="str" s="14" cm="1">
        <f t="array" ref="C151">'Question_Bank'!D151</f>
        <v>Extraversion</v>
      </c>
      <c r="D151" t="str" s="14" cm="1">
        <f t="array" ref="D151">'Question_Bank'!F151</f>
        <v>Likert</v>
      </c>
      <c r="E151" s="172" cm="1">
        <f t="array" ref="E151">'Question_Bank'!L151</f>
        <v>0</v>
      </c>
      <c r="F151" t="str" s="14" cm="1">
        <f t="array" ref="F151">'Question_Bank'!N151</f>
        <v>No</v>
      </c>
      <c r="G151" t="str" s="14" cm="1">
        <f t="array" ref="G151">IF(D151="MCQ","Correct=1, Incorrect=0",IF(F151="Yes","Reverse: 6-response","Direct: response score"))</f>
        <v>Direct: response score</v>
      </c>
      <c r="H151" s="15"/>
    </row>
    <row r="152" ht="17.45" customHeight="1">
      <c r="A152" t="str" s="13" cm="1">
        <f t="array" ref="A152">'Question_Bank'!A152</f>
        <v>NPI0148</v>
      </c>
      <c r="B152" t="str" s="14" cm="1">
        <f t="array" ref="B152">'Question_Bank'!C152</f>
        <v>Big Five Personality</v>
      </c>
      <c r="C152" t="str" s="14" cm="1">
        <f t="array" ref="C152">'Question_Bank'!D152</f>
        <v>Extraversion</v>
      </c>
      <c r="D152" t="str" s="14" cm="1">
        <f t="array" ref="D152">'Question_Bank'!F152</f>
        <v>Likert</v>
      </c>
      <c r="E152" s="172" cm="1">
        <f t="array" ref="E152">'Question_Bank'!L152</f>
        <v>0</v>
      </c>
      <c r="F152" t="str" s="14" cm="1">
        <f t="array" ref="F152">'Question_Bank'!N152</f>
        <v>No</v>
      </c>
      <c r="G152" t="str" s="14" cm="1">
        <f t="array" ref="G152">IF(D152="MCQ","Correct=1, Incorrect=0",IF(F152="Yes","Reverse: 6-response","Direct: response score"))</f>
        <v>Direct: response score</v>
      </c>
      <c r="H152" s="15"/>
    </row>
    <row r="153" ht="17.45" customHeight="1">
      <c r="A153" t="str" s="13" cm="1">
        <f t="array" ref="A153">'Question_Bank'!A153</f>
        <v>NPI0149</v>
      </c>
      <c r="B153" t="str" s="14" cm="1">
        <f t="array" ref="B153">'Question_Bank'!C153</f>
        <v>Big Five Personality</v>
      </c>
      <c r="C153" t="str" s="14" cm="1">
        <f t="array" ref="C153">'Question_Bank'!D153</f>
        <v>Extraversion</v>
      </c>
      <c r="D153" t="str" s="14" cm="1">
        <f t="array" ref="D153">'Question_Bank'!F153</f>
        <v>Likert</v>
      </c>
      <c r="E153" s="172" cm="1">
        <f t="array" ref="E153">'Question_Bank'!L153</f>
        <v>0</v>
      </c>
      <c r="F153" t="str" s="14" cm="1">
        <f t="array" ref="F153">'Question_Bank'!N153</f>
        <v>No</v>
      </c>
      <c r="G153" t="str" s="14" cm="1">
        <f t="array" ref="G153">IF(D153="MCQ","Correct=1, Incorrect=0",IF(F153="Yes","Reverse: 6-response","Direct: response score"))</f>
        <v>Direct: response score</v>
      </c>
      <c r="H153" s="15"/>
    </row>
    <row r="154" ht="17.45" customHeight="1">
      <c r="A154" t="str" s="13" cm="1">
        <f t="array" ref="A154">'Question_Bank'!A154</f>
        <v>NPI0150</v>
      </c>
      <c r="B154" t="str" s="14" cm="1">
        <f t="array" ref="B154">'Question_Bank'!C154</f>
        <v>Big Five Personality</v>
      </c>
      <c r="C154" t="str" s="14" cm="1">
        <f t="array" ref="C154">'Question_Bank'!D154</f>
        <v>Extraversion</v>
      </c>
      <c r="D154" t="str" s="14" cm="1">
        <f t="array" ref="D154">'Question_Bank'!F154</f>
        <v>Likert</v>
      </c>
      <c r="E154" s="172" cm="1">
        <f t="array" ref="E154">'Question_Bank'!L154</f>
        <v>0</v>
      </c>
      <c r="F154" t="str" s="14" cm="1">
        <f t="array" ref="F154">'Question_Bank'!N154</f>
        <v>No</v>
      </c>
      <c r="G154" t="str" s="14" cm="1">
        <f t="array" ref="G154">IF(D154="MCQ","Correct=1, Incorrect=0",IF(F154="Yes","Reverse: 6-response","Direct: response score"))</f>
        <v>Direct: response score</v>
      </c>
      <c r="H154" s="15"/>
    </row>
    <row r="155" ht="17.45" customHeight="1">
      <c r="A155" t="str" s="13" cm="1">
        <f t="array" ref="A155">'Question_Bank'!A155</f>
        <v>NPI0151</v>
      </c>
      <c r="B155" t="str" s="14" cm="1">
        <f t="array" ref="B155">'Question_Bank'!C155</f>
        <v>Big Five Personality</v>
      </c>
      <c r="C155" t="str" s="14" cm="1">
        <f t="array" ref="C155">'Question_Bank'!D155</f>
        <v>Extraversion</v>
      </c>
      <c r="D155" t="str" s="14" cm="1">
        <f t="array" ref="D155">'Question_Bank'!F155</f>
        <v>Likert</v>
      </c>
      <c r="E155" s="172" cm="1">
        <f t="array" ref="E155">'Question_Bank'!L155</f>
        <v>0</v>
      </c>
      <c r="F155" t="str" s="14" cm="1">
        <f t="array" ref="F155">'Question_Bank'!N155</f>
        <v>No</v>
      </c>
      <c r="G155" t="str" s="14" cm="1">
        <f t="array" ref="G155">IF(D155="MCQ","Correct=1, Incorrect=0",IF(F155="Yes","Reverse: 6-response","Direct: response score"))</f>
        <v>Direct: response score</v>
      </c>
      <c r="H155" s="15"/>
    </row>
    <row r="156" ht="17.45" customHeight="1">
      <c r="A156" t="str" s="13" cm="1">
        <f t="array" ref="A156">'Question_Bank'!A156</f>
        <v>NPI0152</v>
      </c>
      <c r="B156" t="str" s="14" cm="1">
        <f t="array" ref="B156">'Question_Bank'!C156</f>
        <v>Big Five Personality</v>
      </c>
      <c r="C156" t="str" s="14" cm="1">
        <f t="array" ref="C156">'Question_Bank'!D156</f>
        <v>Extraversion</v>
      </c>
      <c r="D156" t="str" s="14" cm="1">
        <f t="array" ref="D156">'Question_Bank'!F156</f>
        <v>Likert</v>
      </c>
      <c r="E156" s="172" cm="1">
        <f t="array" ref="E156">'Question_Bank'!L156</f>
        <v>0</v>
      </c>
      <c r="F156" t="str" s="14" cm="1">
        <f t="array" ref="F156">'Question_Bank'!N156</f>
        <v>No</v>
      </c>
      <c r="G156" t="str" s="14" cm="1">
        <f t="array" ref="G156">IF(D156="MCQ","Correct=1, Incorrect=0",IF(F156="Yes","Reverse: 6-response","Direct: response score"))</f>
        <v>Direct: response score</v>
      </c>
      <c r="H156" s="15"/>
    </row>
    <row r="157" ht="17.45" customHeight="1">
      <c r="A157" t="str" s="13" cm="1">
        <f t="array" ref="A157">'Question_Bank'!A157</f>
        <v>NPI0153</v>
      </c>
      <c r="B157" t="str" s="14" cm="1">
        <f t="array" ref="B157">'Question_Bank'!C157</f>
        <v>Big Five Personality</v>
      </c>
      <c r="C157" t="str" s="14" cm="1">
        <f t="array" ref="C157">'Question_Bank'!D157</f>
        <v>Extraversion</v>
      </c>
      <c r="D157" t="str" s="14" cm="1">
        <f t="array" ref="D157">'Question_Bank'!F157</f>
        <v>Likert</v>
      </c>
      <c r="E157" s="172" cm="1">
        <f t="array" ref="E157">'Question_Bank'!L157</f>
        <v>0</v>
      </c>
      <c r="F157" t="str" s="14" cm="1">
        <f t="array" ref="F157">'Question_Bank'!N157</f>
        <v>No</v>
      </c>
      <c r="G157" t="str" s="14" cm="1">
        <f t="array" ref="G157">IF(D157="MCQ","Correct=1, Incorrect=0",IF(F157="Yes","Reverse: 6-response","Direct: response score"))</f>
        <v>Direct: response score</v>
      </c>
      <c r="H157" s="15"/>
    </row>
    <row r="158" ht="17.45" customHeight="1">
      <c r="A158" t="str" s="13" cm="1">
        <f t="array" ref="A158">'Question_Bank'!A158</f>
        <v>NPI0154</v>
      </c>
      <c r="B158" t="str" s="14" cm="1">
        <f t="array" ref="B158">'Question_Bank'!C158</f>
        <v>Big Five Personality</v>
      </c>
      <c r="C158" t="str" s="14" cm="1">
        <f t="array" ref="C158">'Question_Bank'!D158</f>
        <v>Extraversion</v>
      </c>
      <c r="D158" t="str" s="14" cm="1">
        <f t="array" ref="D158">'Question_Bank'!F158</f>
        <v>Likert</v>
      </c>
      <c r="E158" s="172" cm="1">
        <f t="array" ref="E158">'Question_Bank'!L158</f>
        <v>0</v>
      </c>
      <c r="F158" t="str" s="14" cm="1">
        <f t="array" ref="F158">'Question_Bank'!N158</f>
        <v>No</v>
      </c>
      <c r="G158" t="str" s="14" cm="1">
        <f t="array" ref="G158">IF(D158="MCQ","Correct=1, Incorrect=0",IF(F158="Yes","Reverse: 6-response","Direct: response score"))</f>
        <v>Direct: response score</v>
      </c>
      <c r="H158" s="15"/>
    </row>
    <row r="159" ht="17.45" customHeight="1">
      <c r="A159" t="str" s="13" cm="1">
        <f t="array" ref="A159">'Question_Bank'!A159</f>
        <v>NPI0155</v>
      </c>
      <c r="B159" t="str" s="14" cm="1">
        <f t="array" ref="B159">'Question_Bank'!C159</f>
        <v>Big Five Personality</v>
      </c>
      <c r="C159" t="str" s="14" cm="1">
        <f t="array" ref="C159">'Question_Bank'!D159</f>
        <v>Extraversion</v>
      </c>
      <c r="D159" t="str" s="14" cm="1">
        <f t="array" ref="D159">'Question_Bank'!F159</f>
        <v>Likert</v>
      </c>
      <c r="E159" s="172" cm="1">
        <f t="array" ref="E159">'Question_Bank'!L159</f>
        <v>0</v>
      </c>
      <c r="F159" t="str" s="14" cm="1">
        <f t="array" ref="F159">'Question_Bank'!N159</f>
        <v>No</v>
      </c>
      <c r="G159" t="str" s="14" cm="1">
        <f t="array" ref="G159">IF(D159="MCQ","Correct=1, Incorrect=0",IF(F159="Yes","Reverse: 6-response","Direct: response score"))</f>
        <v>Direct: response score</v>
      </c>
      <c r="H159" s="15"/>
    </row>
    <row r="160" ht="17.45" customHeight="1">
      <c r="A160" t="str" s="13" cm="1">
        <f t="array" ref="A160">'Question_Bank'!A160</f>
        <v>NPI0156</v>
      </c>
      <c r="B160" t="str" s="14" cm="1">
        <f t="array" ref="B160">'Question_Bank'!C160</f>
        <v>Big Five Personality</v>
      </c>
      <c r="C160" t="str" s="14" cm="1">
        <f t="array" ref="C160">'Question_Bank'!D160</f>
        <v>Extraversion</v>
      </c>
      <c r="D160" t="str" s="14" cm="1">
        <f t="array" ref="D160">'Question_Bank'!F160</f>
        <v>Likert</v>
      </c>
      <c r="E160" s="172" cm="1">
        <f t="array" ref="E160">'Question_Bank'!L160</f>
        <v>0</v>
      </c>
      <c r="F160" t="str" s="14" cm="1">
        <f t="array" ref="F160">'Question_Bank'!N160</f>
        <v>No</v>
      </c>
      <c r="G160" t="str" s="14" cm="1">
        <f t="array" ref="G160">IF(D160="MCQ","Correct=1, Incorrect=0",IF(F160="Yes","Reverse: 6-response","Direct: response score"))</f>
        <v>Direct: response score</v>
      </c>
      <c r="H160" s="15"/>
    </row>
    <row r="161" ht="17.45" customHeight="1">
      <c r="A161" t="str" s="13" cm="1">
        <f t="array" ref="A161">'Question_Bank'!A161</f>
        <v>NPI0157</v>
      </c>
      <c r="B161" t="str" s="14" cm="1">
        <f t="array" ref="B161">'Question_Bank'!C161</f>
        <v>Big Five Personality</v>
      </c>
      <c r="C161" t="str" s="14" cm="1">
        <f t="array" ref="C161">'Question_Bank'!D161</f>
        <v>Extraversion</v>
      </c>
      <c r="D161" t="str" s="14" cm="1">
        <f t="array" ref="D161">'Question_Bank'!F161</f>
        <v>Likert</v>
      </c>
      <c r="E161" s="172" cm="1">
        <f t="array" ref="E161">'Question_Bank'!L161</f>
        <v>0</v>
      </c>
      <c r="F161" t="str" s="14" cm="1">
        <f t="array" ref="F161">'Question_Bank'!N161</f>
        <v>No</v>
      </c>
      <c r="G161" t="str" s="14" cm="1">
        <f t="array" ref="G161">IF(D161="MCQ","Correct=1, Incorrect=0",IF(F161="Yes","Reverse: 6-response","Direct: response score"))</f>
        <v>Direct: response score</v>
      </c>
      <c r="H161" s="15"/>
    </row>
    <row r="162" ht="17.45" customHeight="1">
      <c r="A162" t="str" s="13" cm="1">
        <f t="array" ref="A162">'Question_Bank'!A162</f>
        <v>NPI0158</v>
      </c>
      <c r="B162" t="str" s="14" cm="1">
        <f t="array" ref="B162">'Question_Bank'!C162</f>
        <v>Big Five Personality</v>
      </c>
      <c r="C162" t="str" s="14" cm="1">
        <f t="array" ref="C162">'Question_Bank'!D162</f>
        <v>Extraversion</v>
      </c>
      <c r="D162" t="str" s="14" cm="1">
        <f t="array" ref="D162">'Question_Bank'!F162</f>
        <v>Likert</v>
      </c>
      <c r="E162" s="172" cm="1">
        <f t="array" ref="E162">'Question_Bank'!L162</f>
        <v>0</v>
      </c>
      <c r="F162" t="str" s="14" cm="1">
        <f t="array" ref="F162">'Question_Bank'!N162</f>
        <v>No</v>
      </c>
      <c r="G162" t="str" s="14" cm="1">
        <f t="array" ref="G162">IF(D162="MCQ","Correct=1, Incorrect=0",IF(F162="Yes","Reverse: 6-response","Direct: response score"))</f>
        <v>Direct: response score</v>
      </c>
      <c r="H162" s="15"/>
    </row>
    <row r="163" ht="17.45" customHeight="1">
      <c r="A163" t="str" s="13" cm="1">
        <f t="array" ref="A163">'Question_Bank'!A163</f>
        <v>NPI0159</v>
      </c>
      <c r="B163" t="str" s="14" cm="1">
        <f t="array" ref="B163">'Question_Bank'!C163</f>
        <v>Big Five Personality</v>
      </c>
      <c r="C163" t="str" s="14" cm="1">
        <f t="array" ref="C163">'Question_Bank'!D163</f>
        <v>Extraversion</v>
      </c>
      <c r="D163" t="str" s="14" cm="1">
        <f t="array" ref="D163">'Question_Bank'!F163</f>
        <v>Likert</v>
      </c>
      <c r="E163" s="172" cm="1">
        <f t="array" ref="E163">'Question_Bank'!L163</f>
        <v>0</v>
      </c>
      <c r="F163" t="str" s="14" cm="1">
        <f t="array" ref="F163">'Question_Bank'!N163</f>
        <v>Yes</v>
      </c>
      <c r="G163" t="str" s="14" cm="1">
        <f t="array" ref="G163">IF(D163="MCQ","Correct=1, Incorrect=0",IF(F163="Yes","Reverse: 6-response","Direct: response score"))</f>
        <v>Reverse: 6-response</v>
      </c>
      <c r="H163" s="15"/>
    </row>
    <row r="164" ht="17.45" customHeight="1">
      <c r="A164" t="str" s="13" cm="1">
        <f t="array" ref="A164">'Question_Bank'!A164</f>
        <v>NPI0160</v>
      </c>
      <c r="B164" t="str" s="14" cm="1">
        <f t="array" ref="B164">'Question_Bank'!C164</f>
        <v>Big Five Personality</v>
      </c>
      <c r="C164" t="str" s="14" cm="1">
        <f t="array" ref="C164">'Question_Bank'!D164</f>
        <v>Extraversion</v>
      </c>
      <c r="D164" t="str" s="14" cm="1">
        <f t="array" ref="D164">'Question_Bank'!F164</f>
        <v>Likert</v>
      </c>
      <c r="E164" s="172" cm="1">
        <f t="array" ref="E164">'Question_Bank'!L164</f>
        <v>0</v>
      </c>
      <c r="F164" t="str" s="14" cm="1">
        <f t="array" ref="F164">'Question_Bank'!N164</f>
        <v>Yes</v>
      </c>
      <c r="G164" t="str" s="14" cm="1">
        <f t="array" ref="G164">IF(D164="MCQ","Correct=1, Incorrect=0",IF(F164="Yes","Reverse: 6-response","Direct: response score"))</f>
        <v>Reverse: 6-response</v>
      </c>
      <c r="H164" s="15"/>
    </row>
    <row r="165" ht="17.45" customHeight="1">
      <c r="A165" t="str" s="13" cm="1">
        <f t="array" ref="A165">'Question_Bank'!A165</f>
        <v>NPI0161</v>
      </c>
      <c r="B165" t="str" s="14" cm="1">
        <f t="array" ref="B165">'Question_Bank'!C165</f>
        <v>Big Five Personality</v>
      </c>
      <c r="C165" t="str" s="14" cm="1">
        <f t="array" ref="C165">'Question_Bank'!D165</f>
        <v>Extraversion</v>
      </c>
      <c r="D165" t="str" s="14" cm="1">
        <f t="array" ref="D165">'Question_Bank'!F165</f>
        <v>Likert</v>
      </c>
      <c r="E165" s="172" cm="1">
        <f t="array" ref="E165">'Question_Bank'!L165</f>
        <v>0</v>
      </c>
      <c r="F165" t="str" s="14" cm="1">
        <f t="array" ref="F165">'Question_Bank'!N165</f>
        <v>Yes</v>
      </c>
      <c r="G165" t="str" s="14" cm="1">
        <f t="array" ref="G165">IF(D165="MCQ","Correct=1, Incorrect=0",IF(F165="Yes","Reverse: 6-response","Direct: response score"))</f>
        <v>Reverse: 6-response</v>
      </c>
      <c r="H165" s="15"/>
    </row>
    <row r="166" ht="17.45" customHeight="1">
      <c r="A166" t="str" s="13" cm="1">
        <f t="array" ref="A166">'Question_Bank'!A166</f>
        <v>NPI0162</v>
      </c>
      <c r="B166" t="str" s="14" cm="1">
        <f t="array" ref="B166">'Question_Bank'!C166</f>
        <v>Big Five Personality</v>
      </c>
      <c r="C166" t="str" s="14" cm="1">
        <f t="array" ref="C166">'Question_Bank'!D166</f>
        <v>Extraversion</v>
      </c>
      <c r="D166" t="str" s="14" cm="1">
        <f t="array" ref="D166">'Question_Bank'!F166</f>
        <v>Likert</v>
      </c>
      <c r="E166" s="172" cm="1">
        <f t="array" ref="E166">'Question_Bank'!L166</f>
        <v>0</v>
      </c>
      <c r="F166" t="str" s="14" cm="1">
        <f t="array" ref="F166">'Question_Bank'!N166</f>
        <v>Yes</v>
      </c>
      <c r="G166" t="str" s="14" cm="1">
        <f t="array" ref="G166">IF(D166="MCQ","Correct=1, Incorrect=0",IF(F166="Yes","Reverse: 6-response","Direct: response score"))</f>
        <v>Reverse: 6-response</v>
      </c>
      <c r="H166" s="15"/>
    </row>
    <row r="167" ht="17.45" customHeight="1">
      <c r="A167" t="str" s="13" cm="1">
        <f t="array" ref="A167">'Question_Bank'!A167</f>
        <v>NPI0163</v>
      </c>
      <c r="B167" t="str" s="14" cm="1">
        <f t="array" ref="B167">'Question_Bank'!C167</f>
        <v>Big Five Personality</v>
      </c>
      <c r="C167" t="str" s="14" cm="1">
        <f t="array" ref="C167">'Question_Bank'!D167</f>
        <v>Extraversion</v>
      </c>
      <c r="D167" t="str" s="14" cm="1">
        <f t="array" ref="D167">'Question_Bank'!F167</f>
        <v>Likert</v>
      </c>
      <c r="E167" s="172" cm="1">
        <f t="array" ref="E167">'Question_Bank'!L167</f>
        <v>0</v>
      </c>
      <c r="F167" t="str" s="14" cm="1">
        <f t="array" ref="F167">'Question_Bank'!N167</f>
        <v>Yes</v>
      </c>
      <c r="G167" t="str" s="14" cm="1">
        <f t="array" ref="G167">IF(D167="MCQ","Correct=1, Incorrect=0",IF(F167="Yes","Reverse: 6-response","Direct: response score"))</f>
        <v>Reverse: 6-response</v>
      </c>
      <c r="H167" s="15"/>
    </row>
    <row r="168" ht="17.45" customHeight="1">
      <c r="A168" t="str" s="13" cm="1">
        <f t="array" ref="A168">'Question_Bank'!A168</f>
        <v>NPI0164</v>
      </c>
      <c r="B168" t="str" s="14" cm="1">
        <f t="array" ref="B168">'Question_Bank'!C168</f>
        <v>Big Five Personality</v>
      </c>
      <c r="C168" t="str" s="14" cm="1">
        <f t="array" ref="C168">'Question_Bank'!D168</f>
        <v>Extraversion</v>
      </c>
      <c r="D168" t="str" s="14" cm="1">
        <f t="array" ref="D168">'Question_Bank'!F168</f>
        <v>Likert</v>
      </c>
      <c r="E168" s="172" cm="1">
        <f t="array" ref="E168">'Question_Bank'!L168</f>
        <v>0</v>
      </c>
      <c r="F168" t="str" s="14" cm="1">
        <f t="array" ref="F168">'Question_Bank'!N168</f>
        <v>Yes</v>
      </c>
      <c r="G168" t="str" s="14" cm="1">
        <f t="array" ref="G168">IF(D168="MCQ","Correct=1, Incorrect=0",IF(F168="Yes","Reverse: 6-response","Direct: response score"))</f>
        <v>Reverse: 6-response</v>
      </c>
      <c r="H168" s="15"/>
    </row>
    <row r="169" ht="17.45" customHeight="1">
      <c r="A169" t="str" s="13" cm="1">
        <f t="array" ref="A169">'Question_Bank'!A169</f>
        <v>NPI0165</v>
      </c>
      <c r="B169" t="str" s="14" cm="1">
        <f t="array" ref="B169">'Question_Bank'!C169</f>
        <v>Big Five Personality</v>
      </c>
      <c r="C169" t="str" s="14" cm="1">
        <f t="array" ref="C169">'Question_Bank'!D169</f>
        <v>Extraversion</v>
      </c>
      <c r="D169" t="str" s="14" cm="1">
        <f t="array" ref="D169">'Question_Bank'!F169</f>
        <v>Likert</v>
      </c>
      <c r="E169" s="172" cm="1">
        <f t="array" ref="E169">'Question_Bank'!L169</f>
        <v>0</v>
      </c>
      <c r="F169" t="str" s="14" cm="1">
        <f t="array" ref="F169">'Question_Bank'!N169</f>
        <v>Yes</v>
      </c>
      <c r="G169" t="str" s="14" cm="1">
        <f t="array" ref="G169">IF(D169="MCQ","Correct=1, Incorrect=0",IF(F169="Yes","Reverse: 6-response","Direct: response score"))</f>
        <v>Reverse: 6-response</v>
      </c>
      <c r="H169" s="15"/>
    </row>
    <row r="170" ht="17.45" customHeight="1">
      <c r="A170" t="str" s="13" cm="1">
        <f t="array" ref="A170">'Question_Bank'!A170</f>
        <v>NPI0166</v>
      </c>
      <c r="B170" t="str" s="14" cm="1">
        <f t="array" ref="B170">'Question_Bank'!C170</f>
        <v>Big Five Personality</v>
      </c>
      <c r="C170" t="str" s="14" cm="1">
        <f t="array" ref="C170">'Question_Bank'!D170</f>
        <v>Agreeableness</v>
      </c>
      <c r="D170" t="str" s="14" cm="1">
        <f t="array" ref="D170">'Question_Bank'!F170</f>
        <v>Likert</v>
      </c>
      <c r="E170" s="172" cm="1">
        <f t="array" ref="E170">'Question_Bank'!L170</f>
        <v>0</v>
      </c>
      <c r="F170" t="str" s="14" cm="1">
        <f t="array" ref="F170">'Question_Bank'!N170</f>
        <v>No</v>
      </c>
      <c r="G170" t="str" s="14" cm="1">
        <f t="array" ref="G170">IF(D170="MCQ","Correct=1, Incorrect=0",IF(F170="Yes","Reverse: 6-response","Direct: response score"))</f>
        <v>Direct: response score</v>
      </c>
      <c r="H170" s="15"/>
    </row>
    <row r="171" ht="17.45" customHeight="1">
      <c r="A171" t="str" s="13" cm="1">
        <f t="array" ref="A171">'Question_Bank'!A171</f>
        <v>NPI0167</v>
      </c>
      <c r="B171" t="str" s="14" cm="1">
        <f t="array" ref="B171">'Question_Bank'!C171</f>
        <v>Big Five Personality</v>
      </c>
      <c r="C171" t="str" s="14" cm="1">
        <f t="array" ref="C171">'Question_Bank'!D171</f>
        <v>Agreeableness</v>
      </c>
      <c r="D171" t="str" s="14" cm="1">
        <f t="array" ref="D171">'Question_Bank'!F171</f>
        <v>Likert</v>
      </c>
      <c r="E171" s="172" cm="1">
        <f t="array" ref="E171">'Question_Bank'!L171</f>
        <v>0</v>
      </c>
      <c r="F171" t="str" s="14" cm="1">
        <f t="array" ref="F171">'Question_Bank'!N171</f>
        <v>No</v>
      </c>
      <c r="G171" t="str" s="14" cm="1">
        <f t="array" ref="G171">IF(D171="MCQ","Correct=1, Incorrect=0",IF(F171="Yes","Reverse: 6-response","Direct: response score"))</f>
        <v>Direct: response score</v>
      </c>
      <c r="H171" s="15"/>
    </row>
    <row r="172" ht="17.45" customHeight="1">
      <c r="A172" t="str" s="13" cm="1">
        <f t="array" ref="A172">'Question_Bank'!A172</f>
        <v>NPI0168</v>
      </c>
      <c r="B172" t="str" s="14" cm="1">
        <f t="array" ref="B172">'Question_Bank'!C172</f>
        <v>Big Five Personality</v>
      </c>
      <c r="C172" t="str" s="14" cm="1">
        <f t="array" ref="C172">'Question_Bank'!D172</f>
        <v>Agreeableness</v>
      </c>
      <c r="D172" t="str" s="14" cm="1">
        <f t="array" ref="D172">'Question_Bank'!F172</f>
        <v>Likert</v>
      </c>
      <c r="E172" s="172" cm="1">
        <f t="array" ref="E172">'Question_Bank'!L172</f>
        <v>0</v>
      </c>
      <c r="F172" t="str" s="14" cm="1">
        <f t="array" ref="F172">'Question_Bank'!N172</f>
        <v>No</v>
      </c>
      <c r="G172" t="str" s="14" cm="1">
        <f t="array" ref="G172">IF(D172="MCQ","Correct=1, Incorrect=0",IF(F172="Yes","Reverse: 6-response","Direct: response score"))</f>
        <v>Direct: response score</v>
      </c>
      <c r="H172" s="15"/>
    </row>
    <row r="173" ht="17.45" customHeight="1">
      <c r="A173" t="str" s="13" cm="1">
        <f t="array" ref="A173">'Question_Bank'!A173</f>
        <v>NPI0169</v>
      </c>
      <c r="B173" t="str" s="14" cm="1">
        <f t="array" ref="B173">'Question_Bank'!C173</f>
        <v>Big Five Personality</v>
      </c>
      <c r="C173" t="str" s="14" cm="1">
        <f t="array" ref="C173">'Question_Bank'!D173</f>
        <v>Agreeableness</v>
      </c>
      <c r="D173" t="str" s="14" cm="1">
        <f t="array" ref="D173">'Question_Bank'!F173</f>
        <v>Likert</v>
      </c>
      <c r="E173" s="172" cm="1">
        <f t="array" ref="E173">'Question_Bank'!L173</f>
        <v>0</v>
      </c>
      <c r="F173" t="str" s="14" cm="1">
        <f t="array" ref="F173">'Question_Bank'!N173</f>
        <v>No</v>
      </c>
      <c r="G173" t="str" s="14" cm="1">
        <f t="array" ref="G173">IF(D173="MCQ","Correct=1, Incorrect=0",IF(F173="Yes","Reverse: 6-response","Direct: response score"))</f>
        <v>Direct: response score</v>
      </c>
      <c r="H173" s="15"/>
    </row>
    <row r="174" ht="17.45" customHeight="1">
      <c r="A174" t="str" s="13" cm="1">
        <f t="array" ref="A174">'Question_Bank'!A174</f>
        <v>NPI0170</v>
      </c>
      <c r="B174" t="str" s="14" cm="1">
        <f t="array" ref="B174">'Question_Bank'!C174</f>
        <v>Big Five Personality</v>
      </c>
      <c r="C174" t="str" s="14" cm="1">
        <f t="array" ref="C174">'Question_Bank'!D174</f>
        <v>Agreeableness</v>
      </c>
      <c r="D174" t="str" s="14" cm="1">
        <f t="array" ref="D174">'Question_Bank'!F174</f>
        <v>Likert</v>
      </c>
      <c r="E174" s="172" cm="1">
        <f t="array" ref="E174">'Question_Bank'!L174</f>
        <v>0</v>
      </c>
      <c r="F174" t="str" s="14" cm="1">
        <f t="array" ref="F174">'Question_Bank'!N174</f>
        <v>No</v>
      </c>
      <c r="G174" t="str" s="14" cm="1">
        <f t="array" ref="G174">IF(D174="MCQ","Correct=1, Incorrect=0",IF(F174="Yes","Reverse: 6-response","Direct: response score"))</f>
        <v>Direct: response score</v>
      </c>
      <c r="H174" s="15"/>
    </row>
    <row r="175" ht="17.45" customHeight="1">
      <c r="A175" t="str" s="13" cm="1">
        <f t="array" ref="A175">'Question_Bank'!A175</f>
        <v>NPI0171</v>
      </c>
      <c r="B175" t="str" s="14" cm="1">
        <f t="array" ref="B175">'Question_Bank'!C175</f>
        <v>Big Five Personality</v>
      </c>
      <c r="C175" t="str" s="14" cm="1">
        <f t="array" ref="C175">'Question_Bank'!D175</f>
        <v>Agreeableness</v>
      </c>
      <c r="D175" t="str" s="14" cm="1">
        <f t="array" ref="D175">'Question_Bank'!F175</f>
        <v>Likert</v>
      </c>
      <c r="E175" s="172" cm="1">
        <f t="array" ref="E175">'Question_Bank'!L175</f>
        <v>0</v>
      </c>
      <c r="F175" t="str" s="14" cm="1">
        <f t="array" ref="F175">'Question_Bank'!N175</f>
        <v>No</v>
      </c>
      <c r="G175" t="str" s="14" cm="1">
        <f t="array" ref="G175">IF(D175="MCQ","Correct=1, Incorrect=0",IF(F175="Yes","Reverse: 6-response","Direct: response score"))</f>
        <v>Direct: response score</v>
      </c>
      <c r="H175" s="15"/>
    </row>
    <row r="176" ht="17.45" customHeight="1">
      <c r="A176" t="str" s="13" cm="1">
        <f t="array" ref="A176">'Question_Bank'!A176</f>
        <v>NPI0172</v>
      </c>
      <c r="B176" t="str" s="14" cm="1">
        <f t="array" ref="B176">'Question_Bank'!C176</f>
        <v>Big Five Personality</v>
      </c>
      <c r="C176" t="str" s="14" cm="1">
        <f t="array" ref="C176">'Question_Bank'!D176</f>
        <v>Agreeableness</v>
      </c>
      <c r="D176" t="str" s="14" cm="1">
        <f t="array" ref="D176">'Question_Bank'!F176</f>
        <v>Likert</v>
      </c>
      <c r="E176" s="172" cm="1">
        <f t="array" ref="E176">'Question_Bank'!L176</f>
        <v>0</v>
      </c>
      <c r="F176" t="str" s="14" cm="1">
        <f t="array" ref="F176">'Question_Bank'!N176</f>
        <v>No</v>
      </c>
      <c r="G176" t="str" s="14" cm="1">
        <f t="array" ref="G176">IF(D176="MCQ","Correct=1, Incorrect=0",IF(F176="Yes","Reverse: 6-response","Direct: response score"))</f>
        <v>Direct: response score</v>
      </c>
      <c r="H176" s="15"/>
    </row>
    <row r="177" ht="17.45" customHeight="1">
      <c r="A177" t="str" s="13" cm="1">
        <f t="array" ref="A177">'Question_Bank'!A177</f>
        <v>NPI0173</v>
      </c>
      <c r="B177" t="str" s="14" cm="1">
        <f t="array" ref="B177">'Question_Bank'!C177</f>
        <v>Big Five Personality</v>
      </c>
      <c r="C177" t="str" s="14" cm="1">
        <f t="array" ref="C177">'Question_Bank'!D177</f>
        <v>Agreeableness</v>
      </c>
      <c r="D177" t="str" s="14" cm="1">
        <f t="array" ref="D177">'Question_Bank'!F177</f>
        <v>Likert</v>
      </c>
      <c r="E177" s="172" cm="1">
        <f t="array" ref="E177">'Question_Bank'!L177</f>
        <v>0</v>
      </c>
      <c r="F177" t="str" s="14" cm="1">
        <f t="array" ref="F177">'Question_Bank'!N177</f>
        <v>No</v>
      </c>
      <c r="G177" t="str" s="14" cm="1">
        <f t="array" ref="G177">IF(D177="MCQ","Correct=1, Incorrect=0",IF(F177="Yes","Reverse: 6-response","Direct: response score"))</f>
        <v>Direct: response score</v>
      </c>
      <c r="H177" s="15"/>
    </row>
    <row r="178" ht="17.45" customHeight="1">
      <c r="A178" t="str" s="13" cm="1">
        <f t="array" ref="A178">'Question_Bank'!A178</f>
        <v>NPI0174</v>
      </c>
      <c r="B178" t="str" s="14" cm="1">
        <f t="array" ref="B178">'Question_Bank'!C178</f>
        <v>Big Five Personality</v>
      </c>
      <c r="C178" t="str" s="14" cm="1">
        <f t="array" ref="C178">'Question_Bank'!D178</f>
        <v>Agreeableness</v>
      </c>
      <c r="D178" t="str" s="14" cm="1">
        <f t="array" ref="D178">'Question_Bank'!F178</f>
        <v>Likert</v>
      </c>
      <c r="E178" s="172" cm="1">
        <f t="array" ref="E178">'Question_Bank'!L178</f>
        <v>0</v>
      </c>
      <c r="F178" t="str" s="14" cm="1">
        <f t="array" ref="F178">'Question_Bank'!N178</f>
        <v>No</v>
      </c>
      <c r="G178" t="str" s="14" cm="1">
        <f t="array" ref="G178">IF(D178="MCQ","Correct=1, Incorrect=0",IF(F178="Yes","Reverse: 6-response","Direct: response score"))</f>
        <v>Direct: response score</v>
      </c>
      <c r="H178" s="15"/>
    </row>
    <row r="179" ht="17.45" customHeight="1">
      <c r="A179" t="str" s="13" cm="1">
        <f t="array" ref="A179">'Question_Bank'!A179</f>
        <v>NPI0175</v>
      </c>
      <c r="B179" t="str" s="14" cm="1">
        <f t="array" ref="B179">'Question_Bank'!C179</f>
        <v>Big Five Personality</v>
      </c>
      <c r="C179" t="str" s="14" cm="1">
        <f t="array" ref="C179">'Question_Bank'!D179</f>
        <v>Agreeableness</v>
      </c>
      <c r="D179" t="str" s="14" cm="1">
        <f t="array" ref="D179">'Question_Bank'!F179</f>
        <v>Likert</v>
      </c>
      <c r="E179" s="172" cm="1">
        <f t="array" ref="E179">'Question_Bank'!L179</f>
        <v>0</v>
      </c>
      <c r="F179" t="str" s="14" cm="1">
        <f t="array" ref="F179">'Question_Bank'!N179</f>
        <v>No</v>
      </c>
      <c r="G179" t="str" s="14" cm="1">
        <f t="array" ref="G179">IF(D179="MCQ","Correct=1, Incorrect=0",IF(F179="Yes","Reverse: 6-response","Direct: response score"))</f>
        <v>Direct: response score</v>
      </c>
      <c r="H179" s="15"/>
    </row>
    <row r="180" ht="17.45" customHeight="1">
      <c r="A180" t="str" s="13" cm="1">
        <f t="array" ref="A180">'Question_Bank'!A180</f>
        <v>NPI0176</v>
      </c>
      <c r="B180" t="str" s="14" cm="1">
        <f t="array" ref="B180">'Question_Bank'!C180</f>
        <v>Big Five Personality</v>
      </c>
      <c r="C180" t="str" s="14" cm="1">
        <f t="array" ref="C180">'Question_Bank'!D180</f>
        <v>Agreeableness</v>
      </c>
      <c r="D180" t="str" s="14" cm="1">
        <f t="array" ref="D180">'Question_Bank'!F180</f>
        <v>Likert</v>
      </c>
      <c r="E180" s="172" cm="1">
        <f t="array" ref="E180">'Question_Bank'!L180</f>
        <v>0</v>
      </c>
      <c r="F180" t="str" s="14" cm="1">
        <f t="array" ref="F180">'Question_Bank'!N180</f>
        <v>No</v>
      </c>
      <c r="G180" t="str" s="14" cm="1">
        <f t="array" ref="G180">IF(D180="MCQ","Correct=1, Incorrect=0",IF(F180="Yes","Reverse: 6-response","Direct: response score"))</f>
        <v>Direct: response score</v>
      </c>
      <c r="H180" s="15"/>
    </row>
    <row r="181" ht="17.45" customHeight="1">
      <c r="A181" t="str" s="13" cm="1">
        <f t="array" ref="A181">'Question_Bank'!A181</f>
        <v>NPI0177</v>
      </c>
      <c r="B181" t="str" s="14" cm="1">
        <f t="array" ref="B181">'Question_Bank'!C181</f>
        <v>Big Five Personality</v>
      </c>
      <c r="C181" t="str" s="14" cm="1">
        <f t="array" ref="C181">'Question_Bank'!D181</f>
        <v>Agreeableness</v>
      </c>
      <c r="D181" t="str" s="14" cm="1">
        <f t="array" ref="D181">'Question_Bank'!F181</f>
        <v>Likert</v>
      </c>
      <c r="E181" s="172" cm="1">
        <f t="array" ref="E181">'Question_Bank'!L181</f>
        <v>0</v>
      </c>
      <c r="F181" t="str" s="14" cm="1">
        <f t="array" ref="F181">'Question_Bank'!N181</f>
        <v>No</v>
      </c>
      <c r="G181" t="str" s="14" cm="1">
        <f t="array" ref="G181">IF(D181="MCQ","Correct=1, Incorrect=0",IF(F181="Yes","Reverse: 6-response","Direct: response score"))</f>
        <v>Direct: response score</v>
      </c>
      <c r="H181" s="15"/>
    </row>
    <row r="182" ht="17.45" customHeight="1">
      <c r="A182" t="str" s="13" cm="1">
        <f t="array" ref="A182">'Question_Bank'!A182</f>
        <v>NPI0178</v>
      </c>
      <c r="B182" t="str" s="14" cm="1">
        <f t="array" ref="B182">'Question_Bank'!C182</f>
        <v>Big Five Personality</v>
      </c>
      <c r="C182" t="str" s="14" cm="1">
        <f t="array" ref="C182">'Question_Bank'!D182</f>
        <v>Agreeableness</v>
      </c>
      <c r="D182" t="str" s="14" cm="1">
        <f t="array" ref="D182">'Question_Bank'!F182</f>
        <v>Likert</v>
      </c>
      <c r="E182" s="172" cm="1">
        <f t="array" ref="E182">'Question_Bank'!L182</f>
        <v>0</v>
      </c>
      <c r="F182" t="str" s="14" cm="1">
        <f t="array" ref="F182">'Question_Bank'!N182</f>
        <v>No</v>
      </c>
      <c r="G182" t="str" s="14" cm="1">
        <f t="array" ref="G182">IF(D182="MCQ","Correct=1, Incorrect=0",IF(F182="Yes","Reverse: 6-response","Direct: response score"))</f>
        <v>Direct: response score</v>
      </c>
      <c r="H182" s="15"/>
    </row>
    <row r="183" ht="17.45" customHeight="1">
      <c r="A183" t="str" s="13" cm="1">
        <f t="array" ref="A183">'Question_Bank'!A183</f>
        <v>NPI0179</v>
      </c>
      <c r="B183" t="str" s="14" cm="1">
        <f t="array" ref="B183">'Question_Bank'!C183</f>
        <v>Big Five Personality</v>
      </c>
      <c r="C183" t="str" s="14" cm="1">
        <f t="array" ref="C183">'Question_Bank'!D183</f>
        <v>Agreeableness</v>
      </c>
      <c r="D183" t="str" s="14" cm="1">
        <f t="array" ref="D183">'Question_Bank'!F183</f>
        <v>Likert</v>
      </c>
      <c r="E183" s="172" cm="1">
        <f t="array" ref="E183">'Question_Bank'!L183</f>
        <v>0</v>
      </c>
      <c r="F183" t="str" s="14" cm="1">
        <f t="array" ref="F183">'Question_Bank'!N183</f>
        <v>No</v>
      </c>
      <c r="G183" t="str" s="14" cm="1">
        <f t="array" ref="G183">IF(D183="MCQ","Correct=1, Incorrect=0",IF(F183="Yes","Reverse: 6-response","Direct: response score"))</f>
        <v>Direct: response score</v>
      </c>
      <c r="H183" s="15"/>
    </row>
    <row r="184" ht="17.45" customHeight="1">
      <c r="A184" t="str" s="13" cm="1">
        <f t="array" ref="A184">'Question_Bank'!A184</f>
        <v>NPI0180</v>
      </c>
      <c r="B184" t="str" s="14" cm="1">
        <f t="array" ref="B184">'Question_Bank'!C184</f>
        <v>Big Five Personality</v>
      </c>
      <c r="C184" t="str" s="14" cm="1">
        <f t="array" ref="C184">'Question_Bank'!D184</f>
        <v>Agreeableness</v>
      </c>
      <c r="D184" t="str" s="14" cm="1">
        <f t="array" ref="D184">'Question_Bank'!F184</f>
        <v>Likert</v>
      </c>
      <c r="E184" s="172" cm="1">
        <f t="array" ref="E184">'Question_Bank'!L184</f>
        <v>0</v>
      </c>
      <c r="F184" t="str" s="14" cm="1">
        <f t="array" ref="F184">'Question_Bank'!N184</f>
        <v>No</v>
      </c>
      <c r="G184" t="str" s="14" cm="1">
        <f t="array" ref="G184">IF(D184="MCQ","Correct=1, Incorrect=0",IF(F184="Yes","Reverse: 6-response","Direct: response score"))</f>
        <v>Direct: response score</v>
      </c>
      <c r="H184" s="15"/>
    </row>
    <row r="185" ht="17.45" customHeight="1">
      <c r="A185" t="str" s="13" cm="1">
        <f t="array" ref="A185">'Question_Bank'!A185</f>
        <v>NPI0181</v>
      </c>
      <c r="B185" t="str" s="14" cm="1">
        <f t="array" ref="B185">'Question_Bank'!C185</f>
        <v>Big Five Personality</v>
      </c>
      <c r="C185" t="str" s="14" cm="1">
        <f t="array" ref="C185">'Question_Bank'!D185</f>
        <v>Agreeableness</v>
      </c>
      <c r="D185" t="str" s="14" cm="1">
        <f t="array" ref="D185">'Question_Bank'!F185</f>
        <v>Likert</v>
      </c>
      <c r="E185" s="172" cm="1">
        <f t="array" ref="E185">'Question_Bank'!L185</f>
        <v>0</v>
      </c>
      <c r="F185" t="str" s="14" cm="1">
        <f t="array" ref="F185">'Question_Bank'!N185</f>
        <v>No</v>
      </c>
      <c r="G185" t="str" s="14" cm="1">
        <f t="array" ref="G185">IF(D185="MCQ","Correct=1, Incorrect=0",IF(F185="Yes","Reverse: 6-response","Direct: response score"))</f>
        <v>Direct: response score</v>
      </c>
      <c r="H185" s="15"/>
    </row>
    <row r="186" ht="17.45" customHeight="1">
      <c r="A186" t="str" s="13" cm="1">
        <f t="array" ref="A186">'Question_Bank'!A186</f>
        <v>NPI0182</v>
      </c>
      <c r="B186" t="str" s="14" cm="1">
        <f t="array" ref="B186">'Question_Bank'!C186</f>
        <v>Big Five Personality</v>
      </c>
      <c r="C186" t="str" s="14" cm="1">
        <f t="array" ref="C186">'Question_Bank'!D186</f>
        <v>Agreeableness</v>
      </c>
      <c r="D186" t="str" s="14" cm="1">
        <f t="array" ref="D186">'Question_Bank'!F186</f>
        <v>Likert</v>
      </c>
      <c r="E186" s="172" cm="1">
        <f t="array" ref="E186">'Question_Bank'!L186</f>
        <v>0</v>
      </c>
      <c r="F186" t="str" s="14" cm="1">
        <f t="array" ref="F186">'Question_Bank'!N186</f>
        <v>No</v>
      </c>
      <c r="G186" t="str" s="14" cm="1">
        <f t="array" ref="G186">IF(D186="MCQ","Correct=1, Incorrect=0",IF(F186="Yes","Reverse: 6-response","Direct: response score"))</f>
        <v>Direct: response score</v>
      </c>
      <c r="H186" s="15"/>
    </row>
    <row r="187" ht="17.45" customHeight="1">
      <c r="A187" t="str" s="13" cm="1">
        <f t="array" ref="A187">'Question_Bank'!A187</f>
        <v>NPI0183</v>
      </c>
      <c r="B187" t="str" s="14" cm="1">
        <f t="array" ref="B187">'Question_Bank'!C187</f>
        <v>Big Five Personality</v>
      </c>
      <c r="C187" t="str" s="14" cm="1">
        <f t="array" ref="C187">'Question_Bank'!D187</f>
        <v>Agreeableness</v>
      </c>
      <c r="D187" t="str" s="14" cm="1">
        <f t="array" ref="D187">'Question_Bank'!F187</f>
        <v>Likert</v>
      </c>
      <c r="E187" s="172" cm="1">
        <f t="array" ref="E187">'Question_Bank'!L187</f>
        <v>0</v>
      </c>
      <c r="F187" t="str" s="14" cm="1">
        <f t="array" ref="F187">'Question_Bank'!N187</f>
        <v>No</v>
      </c>
      <c r="G187" t="str" s="14" cm="1">
        <f t="array" ref="G187">IF(D187="MCQ","Correct=1, Incorrect=0",IF(F187="Yes","Reverse: 6-response","Direct: response score"))</f>
        <v>Direct: response score</v>
      </c>
      <c r="H187" s="15"/>
    </row>
    <row r="188" ht="17.45" customHeight="1">
      <c r="A188" t="str" s="13" cm="1">
        <f t="array" ref="A188">'Question_Bank'!A188</f>
        <v>NPI0184</v>
      </c>
      <c r="B188" t="str" s="14" cm="1">
        <f t="array" ref="B188">'Question_Bank'!C188</f>
        <v>Big Five Personality</v>
      </c>
      <c r="C188" t="str" s="14" cm="1">
        <f t="array" ref="C188">'Question_Bank'!D188</f>
        <v>Agreeableness</v>
      </c>
      <c r="D188" t="str" s="14" cm="1">
        <f t="array" ref="D188">'Question_Bank'!F188</f>
        <v>Likert</v>
      </c>
      <c r="E188" s="172" cm="1">
        <f t="array" ref="E188">'Question_Bank'!L188</f>
        <v>0</v>
      </c>
      <c r="F188" t="str" s="14" cm="1">
        <f t="array" ref="F188">'Question_Bank'!N188</f>
        <v>Yes</v>
      </c>
      <c r="G188" t="str" s="14" cm="1">
        <f t="array" ref="G188">IF(D188="MCQ","Correct=1, Incorrect=0",IF(F188="Yes","Reverse: 6-response","Direct: response score"))</f>
        <v>Reverse: 6-response</v>
      </c>
      <c r="H188" s="15"/>
    </row>
    <row r="189" ht="17.45" customHeight="1">
      <c r="A189" t="str" s="13" cm="1">
        <f t="array" ref="A189">'Question_Bank'!A189</f>
        <v>NPI0185</v>
      </c>
      <c r="B189" t="str" s="14" cm="1">
        <f t="array" ref="B189">'Question_Bank'!C189</f>
        <v>Big Five Personality</v>
      </c>
      <c r="C189" t="str" s="14" cm="1">
        <f t="array" ref="C189">'Question_Bank'!D189</f>
        <v>Agreeableness</v>
      </c>
      <c r="D189" t="str" s="14" cm="1">
        <f t="array" ref="D189">'Question_Bank'!F189</f>
        <v>Likert</v>
      </c>
      <c r="E189" s="172" cm="1">
        <f t="array" ref="E189">'Question_Bank'!L189</f>
        <v>0</v>
      </c>
      <c r="F189" t="str" s="14" cm="1">
        <f t="array" ref="F189">'Question_Bank'!N189</f>
        <v>Yes</v>
      </c>
      <c r="G189" t="str" s="14" cm="1">
        <f t="array" ref="G189">IF(D189="MCQ","Correct=1, Incorrect=0",IF(F189="Yes","Reverse: 6-response","Direct: response score"))</f>
        <v>Reverse: 6-response</v>
      </c>
      <c r="H189" s="15"/>
    </row>
    <row r="190" ht="17.45" customHeight="1">
      <c r="A190" t="str" s="13" cm="1">
        <f t="array" ref="A190">'Question_Bank'!A190</f>
        <v>NPI0186</v>
      </c>
      <c r="B190" t="str" s="14" cm="1">
        <f t="array" ref="B190">'Question_Bank'!C190</f>
        <v>Big Five Personality</v>
      </c>
      <c r="C190" t="str" s="14" cm="1">
        <f t="array" ref="C190">'Question_Bank'!D190</f>
        <v>Agreeableness</v>
      </c>
      <c r="D190" t="str" s="14" cm="1">
        <f t="array" ref="D190">'Question_Bank'!F190</f>
        <v>Likert</v>
      </c>
      <c r="E190" s="172" cm="1">
        <f t="array" ref="E190">'Question_Bank'!L190</f>
        <v>0</v>
      </c>
      <c r="F190" t="str" s="14" cm="1">
        <f t="array" ref="F190">'Question_Bank'!N190</f>
        <v>Yes</v>
      </c>
      <c r="G190" t="str" s="14" cm="1">
        <f t="array" ref="G190">IF(D190="MCQ","Correct=1, Incorrect=0",IF(F190="Yes","Reverse: 6-response","Direct: response score"))</f>
        <v>Reverse: 6-response</v>
      </c>
      <c r="H190" s="15"/>
    </row>
    <row r="191" ht="17.45" customHeight="1">
      <c r="A191" t="str" s="13" cm="1">
        <f t="array" ref="A191">'Question_Bank'!A191</f>
        <v>NPI0187</v>
      </c>
      <c r="B191" t="str" s="14" cm="1">
        <f t="array" ref="B191">'Question_Bank'!C191</f>
        <v>Big Five Personality</v>
      </c>
      <c r="C191" t="str" s="14" cm="1">
        <f t="array" ref="C191">'Question_Bank'!D191</f>
        <v>Agreeableness</v>
      </c>
      <c r="D191" t="str" s="14" cm="1">
        <f t="array" ref="D191">'Question_Bank'!F191</f>
        <v>Likert</v>
      </c>
      <c r="E191" s="172" cm="1">
        <f t="array" ref="E191">'Question_Bank'!L191</f>
        <v>0</v>
      </c>
      <c r="F191" t="str" s="14" cm="1">
        <f t="array" ref="F191">'Question_Bank'!N191</f>
        <v>Yes</v>
      </c>
      <c r="G191" t="str" s="14" cm="1">
        <f t="array" ref="G191">IF(D191="MCQ","Correct=1, Incorrect=0",IF(F191="Yes","Reverse: 6-response","Direct: response score"))</f>
        <v>Reverse: 6-response</v>
      </c>
      <c r="H191" s="15"/>
    </row>
    <row r="192" ht="17.45" customHeight="1">
      <c r="A192" t="str" s="13" cm="1">
        <f t="array" ref="A192">'Question_Bank'!A192</f>
        <v>NPI0188</v>
      </c>
      <c r="B192" t="str" s="14" cm="1">
        <f t="array" ref="B192">'Question_Bank'!C192</f>
        <v>Big Five Personality</v>
      </c>
      <c r="C192" t="str" s="14" cm="1">
        <f t="array" ref="C192">'Question_Bank'!D192</f>
        <v>Agreeableness</v>
      </c>
      <c r="D192" t="str" s="14" cm="1">
        <f t="array" ref="D192">'Question_Bank'!F192</f>
        <v>Likert</v>
      </c>
      <c r="E192" s="172" cm="1">
        <f t="array" ref="E192">'Question_Bank'!L192</f>
        <v>0</v>
      </c>
      <c r="F192" t="str" s="14" cm="1">
        <f t="array" ref="F192">'Question_Bank'!N192</f>
        <v>Yes</v>
      </c>
      <c r="G192" t="str" s="14" cm="1">
        <f t="array" ref="G192">IF(D192="MCQ","Correct=1, Incorrect=0",IF(F192="Yes","Reverse: 6-response","Direct: response score"))</f>
        <v>Reverse: 6-response</v>
      </c>
      <c r="H192" s="15"/>
    </row>
    <row r="193" ht="17.45" customHeight="1">
      <c r="A193" t="str" s="13" cm="1">
        <f t="array" ref="A193">'Question_Bank'!A193</f>
        <v>NPI0189</v>
      </c>
      <c r="B193" t="str" s="14" cm="1">
        <f t="array" ref="B193">'Question_Bank'!C193</f>
        <v>Big Five Personality</v>
      </c>
      <c r="C193" t="str" s="14" cm="1">
        <f t="array" ref="C193">'Question_Bank'!D193</f>
        <v>Agreeableness</v>
      </c>
      <c r="D193" t="str" s="14" cm="1">
        <f t="array" ref="D193">'Question_Bank'!F193</f>
        <v>Likert</v>
      </c>
      <c r="E193" s="172" cm="1">
        <f t="array" ref="E193">'Question_Bank'!L193</f>
        <v>0</v>
      </c>
      <c r="F193" t="str" s="14" cm="1">
        <f t="array" ref="F193">'Question_Bank'!N193</f>
        <v>Yes</v>
      </c>
      <c r="G193" t="str" s="14" cm="1">
        <f t="array" ref="G193">IF(D193="MCQ","Correct=1, Incorrect=0",IF(F193="Yes","Reverse: 6-response","Direct: response score"))</f>
        <v>Reverse: 6-response</v>
      </c>
      <c r="H193" s="15"/>
    </row>
    <row r="194" ht="17.45" customHeight="1">
      <c r="A194" t="str" s="13" cm="1">
        <f t="array" ref="A194">'Question_Bank'!A194</f>
        <v>NPI0190</v>
      </c>
      <c r="B194" t="str" s="14" cm="1">
        <f t="array" ref="B194">'Question_Bank'!C194</f>
        <v>Big Five Personality</v>
      </c>
      <c r="C194" t="str" s="14" cm="1">
        <f t="array" ref="C194">'Question_Bank'!D194</f>
        <v>Agreeableness</v>
      </c>
      <c r="D194" t="str" s="14" cm="1">
        <f t="array" ref="D194">'Question_Bank'!F194</f>
        <v>Likert</v>
      </c>
      <c r="E194" s="172" cm="1">
        <f t="array" ref="E194">'Question_Bank'!L194</f>
        <v>0</v>
      </c>
      <c r="F194" t="str" s="14" cm="1">
        <f t="array" ref="F194">'Question_Bank'!N194</f>
        <v>Yes</v>
      </c>
      <c r="G194" t="str" s="14" cm="1">
        <f t="array" ref="G194">IF(D194="MCQ","Correct=1, Incorrect=0",IF(F194="Yes","Reverse: 6-response","Direct: response score"))</f>
        <v>Reverse: 6-response</v>
      </c>
      <c r="H194" s="15"/>
    </row>
    <row r="195" ht="17.45" customHeight="1">
      <c r="A195" t="str" s="13" cm="1">
        <f t="array" ref="A195">'Question_Bank'!A195</f>
        <v>NPI0191</v>
      </c>
      <c r="B195" t="str" s="14" cm="1">
        <f t="array" ref="B195">'Question_Bank'!C195</f>
        <v>Big Five Personality</v>
      </c>
      <c r="C195" t="str" s="14" cm="1">
        <f t="array" ref="C195">'Question_Bank'!D195</f>
        <v>Neuroticism</v>
      </c>
      <c r="D195" t="str" s="14" cm="1">
        <f t="array" ref="D195">'Question_Bank'!F195</f>
        <v>Likert</v>
      </c>
      <c r="E195" s="172" cm="1">
        <f t="array" ref="E195">'Question_Bank'!L195</f>
        <v>0</v>
      </c>
      <c r="F195" t="str" s="14" cm="1">
        <f t="array" ref="F195">'Question_Bank'!N195</f>
        <v>No</v>
      </c>
      <c r="G195" t="str" s="14" cm="1">
        <f t="array" ref="G195">IF(D195="MCQ","Correct=1, Incorrect=0",IF(F195="Yes","Reverse: 6-response","Direct: response score"))</f>
        <v>Direct: response score</v>
      </c>
      <c r="H195" s="15"/>
    </row>
    <row r="196" ht="17.45" customHeight="1">
      <c r="A196" t="str" s="13" cm="1">
        <f t="array" ref="A196">'Question_Bank'!A196</f>
        <v>NPI0192</v>
      </c>
      <c r="B196" t="str" s="14" cm="1">
        <f t="array" ref="B196">'Question_Bank'!C196</f>
        <v>Big Five Personality</v>
      </c>
      <c r="C196" t="str" s="14" cm="1">
        <f t="array" ref="C196">'Question_Bank'!D196</f>
        <v>Neuroticism</v>
      </c>
      <c r="D196" t="str" s="14" cm="1">
        <f t="array" ref="D196">'Question_Bank'!F196</f>
        <v>Likert</v>
      </c>
      <c r="E196" s="172" cm="1">
        <f t="array" ref="E196">'Question_Bank'!L196</f>
        <v>0</v>
      </c>
      <c r="F196" t="str" s="14" cm="1">
        <f t="array" ref="F196">'Question_Bank'!N196</f>
        <v>No</v>
      </c>
      <c r="G196" t="str" s="14" cm="1">
        <f t="array" ref="G196">IF(D196="MCQ","Correct=1, Incorrect=0",IF(F196="Yes","Reverse: 6-response","Direct: response score"))</f>
        <v>Direct: response score</v>
      </c>
      <c r="H196" s="15"/>
    </row>
    <row r="197" ht="17.45" customHeight="1">
      <c r="A197" t="str" s="13" cm="1">
        <f t="array" ref="A197">'Question_Bank'!A197</f>
        <v>NPI0193</v>
      </c>
      <c r="B197" t="str" s="14" cm="1">
        <f t="array" ref="B197">'Question_Bank'!C197</f>
        <v>Big Five Personality</v>
      </c>
      <c r="C197" t="str" s="14" cm="1">
        <f t="array" ref="C197">'Question_Bank'!D197</f>
        <v>Neuroticism</v>
      </c>
      <c r="D197" t="str" s="14" cm="1">
        <f t="array" ref="D197">'Question_Bank'!F197</f>
        <v>Likert</v>
      </c>
      <c r="E197" s="172" cm="1">
        <f t="array" ref="E197">'Question_Bank'!L197</f>
        <v>0</v>
      </c>
      <c r="F197" t="str" s="14" cm="1">
        <f t="array" ref="F197">'Question_Bank'!N197</f>
        <v>No</v>
      </c>
      <c r="G197" t="str" s="14" cm="1">
        <f t="array" ref="G197">IF(D197="MCQ","Correct=1, Incorrect=0",IF(F197="Yes","Reverse: 6-response","Direct: response score"))</f>
        <v>Direct: response score</v>
      </c>
      <c r="H197" s="15"/>
    </row>
    <row r="198" ht="17.45" customHeight="1">
      <c r="A198" t="str" s="13" cm="1">
        <f t="array" ref="A198">'Question_Bank'!A198</f>
        <v>NPI0194</v>
      </c>
      <c r="B198" t="str" s="14" cm="1">
        <f t="array" ref="B198">'Question_Bank'!C198</f>
        <v>Big Five Personality</v>
      </c>
      <c r="C198" t="str" s="14" cm="1">
        <f t="array" ref="C198">'Question_Bank'!D198</f>
        <v>Neuroticism</v>
      </c>
      <c r="D198" t="str" s="14" cm="1">
        <f t="array" ref="D198">'Question_Bank'!F198</f>
        <v>Likert</v>
      </c>
      <c r="E198" s="172" cm="1">
        <f t="array" ref="E198">'Question_Bank'!L198</f>
        <v>0</v>
      </c>
      <c r="F198" t="str" s="14" cm="1">
        <f t="array" ref="F198">'Question_Bank'!N198</f>
        <v>No</v>
      </c>
      <c r="G198" t="str" s="14" cm="1">
        <f t="array" ref="G198">IF(D198="MCQ","Correct=1, Incorrect=0",IF(F198="Yes","Reverse: 6-response","Direct: response score"))</f>
        <v>Direct: response score</v>
      </c>
      <c r="H198" s="15"/>
    </row>
    <row r="199" ht="17.45" customHeight="1">
      <c r="A199" t="str" s="13" cm="1">
        <f t="array" ref="A199">'Question_Bank'!A199</f>
        <v>NPI0195</v>
      </c>
      <c r="B199" t="str" s="14" cm="1">
        <f t="array" ref="B199">'Question_Bank'!C199</f>
        <v>Big Five Personality</v>
      </c>
      <c r="C199" t="str" s="14" cm="1">
        <f t="array" ref="C199">'Question_Bank'!D199</f>
        <v>Neuroticism</v>
      </c>
      <c r="D199" t="str" s="14" cm="1">
        <f t="array" ref="D199">'Question_Bank'!F199</f>
        <v>Likert</v>
      </c>
      <c r="E199" s="172" cm="1">
        <f t="array" ref="E199">'Question_Bank'!L199</f>
        <v>0</v>
      </c>
      <c r="F199" t="str" s="14" cm="1">
        <f t="array" ref="F199">'Question_Bank'!N199</f>
        <v>No</v>
      </c>
      <c r="G199" t="str" s="14" cm="1">
        <f t="array" ref="G199">IF(D199="MCQ","Correct=1, Incorrect=0",IF(F199="Yes","Reverse: 6-response","Direct: response score"))</f>
        <v>Direct: response score</v>
      </c>
      <c r="H199" s="15"/>
    </row>
    <row r="200" ht="17.45" customHeight="1">
      <c r="A200" t="str" s="13" cm="1">
        <f t="array" ref="A200">'Question_Bank'!A200</f>
        <v>NPI0196</v>
      </c>
      <c r="B200" t="str" s="14" cm="1">
        <f t="array" ref="B200">'Question_Bank'!C200</f>
        <v>Big Five Personality</v>
      </c>
      <c r="C200" t="str" s="14" cm="1">
        <f t="array" ref="C200">'Question_Bank'!D200</f>
        <v>Neuroticism</v>
      </c>
      <c r="D200" t="str" s="14" cm="1">
        <f t="array" ref="D200">'Question_Bank'!F200</f>
        <v>Likert</v>
      </c>
      <c r="E200" s="172" cm="1">
        <f t="array" ref="E200">'Question_Bank'!L200</f>
        <v>0</v>
      </c>
      <c r="F200" t="str" s="14" cm="1">
        <f t="array" ref="F200">'Question_Bank'!N200</f>
        <v>No</v>
      </c>
      <c r="G200" t="str" s="14" cm="1">
        <f t="array" ref="G200">IF(D200="MCQ","Correct=1, Incorrect=0",IF(F200="Yes","Reverse: 6-response","Direct: response score"))</f>
        <v>Direct: response score</v>
      </c>
      <c r="H200" s="15"/>
    </row>
    <row r="201" ht="17.45" customHeight="1">
      <c r="A201" t="str" s="13" cm="1">
        <f t="array" ref="A201">'Question_Bank'!A201</f>
        <v>NPI0197</v>
      </c>
      <c r="B201" t="str" s="14" cm="1">
        <f t="array" ref="B201">'Question_Bank'!C201</f>
        <v>Big Five Personality</v>
      </c>
      <c r="C201" t="str" s="14" cm="1">
        <f t="array" ref="C201">'Question_Bank'!D201</f>
        <v>Neuroticism</v>
      </c>
      <c r="D201" t="str" s="14" cm="1">
        <f t="array" ref="D201">'Question_Bank'!F201</f>
        <v>Likert</v>
      </c>
      <c r="E201" s="172" cm="1">
        <f t="array" ref="E201">'Question_Bank'!L201</f>
        <v>0</v>
      </c>
      <c r="F201" t="str" s="14" cm="1">
        <f t="array" ref="F201">'Question_Bank'!N201</f>
        <v>No</v>
      </c>
      <c r="G201" t="str" s="14" cm="1">
        <f t="array" ref="G201">IF(D201="MCQ","Correct=1, Incorrect=0",IF(F201="Yes","Reverse: 6-response","Direct: response score"))</f>
        <v>Direct: response score</v>
      </c>
      <c r="H201" s="15"/>
    </row>
    <row r="202" ht="17.45" customHeight="1">
      <c r="A202" t="str" s="13" cm="1">
        <f t="array" ref="A202">'Question_Bank'!A202</f>
        <v>NPI0198</v>
      </c>
      <c r="B202" t="str" s="14" cm="1">
        <f t="array" ref="B202">'Question_Bank'!C202</f>
        <v>Big Five Personality</v>
      </c>
      <c r="C202" t="str" s="14" cm="1">
        <f t="array" ref="C202">'Question_Bank'!D202</f>
        <v>Neuroticism</v>
      </c>
      <c r="D202" t="str" s="14" cm="1">
        <f t="array" ref="D202">'Question_Bank'!F202</f>
        <v>Likert</v>
      </c>
      <c r="E202" s="172" cm="1">
        <f t="array" ref="E202">'Question_Bank'!L202</f>
        <v>0</v>
      </c>
      <c r="F202" t="str" s="14" cm="1">
        <f t="array" ref="F202">'Question_Bank'!N202</f>
        <v>No</v>
      </c>
      <c r="G202" t="str" s="14" cm="1">
        <f t="array" ref="G202">IF(D202="MCQ","Correct=1, Incorrect=0",IF(F202="Yes","Reverse: 6-response","Direct: response score"))</f>
        <v>Direct: response score</v>
      </c>
      <c r="H202" s="15"/>
    </row>
    <row r="203" ht="17.45" customHeight="1">
      <c r="A203" t="str" s="13" cm="1">
        <f t="array" ref="A203">'Question_Bank'!A203</f>
        <v>NPI0199</v>
      </c>
      <c r="B203" t="str" s="14" cm="1">
        <f t="array" ref="B203">'Question_Bank'!C203</f>
        <v>Big Five Personality</v>
      </c>
      <c r="C203" t="str" s="14" cm="1">
        <f t="array" ref="C203">'Question_Bank'!D203</f>
        <v>Neuroticism</v>
      </c>
      <c r="D203" t="str" s="14" cm="1">
        <f t="array" ref="D203">'Question_Bank'!F203</f>
        <v>Likert</v>
      </c>
      <c r="E203" s="172" cm="1">
        <f t="array" ref="E203">'Question_Bank'!L203</f>
        <v>0</v>
      </c>
      <c r="F203" t="str" s="14" cm="1">
        <f t="array" ref="F203">'Question_Bank'!N203</f>
        <v>No</v>
      </c>
      <c r="G203" t="str" s="14" cm="1">
        <f t="array" ref="G203">IF(D203="MCQ","Correct=1, Incorrect=0",IF(F203="Yes","Reverse: 6-response","Direct: response score"))</f>
        <v>Direct: response score</v>
      </c>
      <c r="H203" s="15"/>
    </row>
    <row r="204" ht="17.45" customHeight="1">
      <c r="A204" t="str" s="13" cm="1">
        <f t="array" ref="A204">'Question_Bank'!A204</f>
        <v>NPI0200</v>
      </c>
      <c r="B204" t="str" s="14" cm="1">
        <f t="array" ref="B204">'Question_Bank'!C204</f>
        <v>Big Five Personality</v>
      </c>
      <c r="C204" t="str" s="14" cm="1">
        <f t="array" ref="C204">'Question_Bank'!D204</f>
        <v>Neuroticism</v>
      </c>
      <c r="D204" t="str" s="14" cm="1">
        <f t="array" ref="D204">'Question_Bank'!F204</f>
        <v>Likert</v>
      </c>
      <c r="E204" s="172" cm="1">
        <f t="array" ref="E204">'Question_Bank'!L204</f>
        <v>0</v>
      </c>
      <c r="F204" t="str" s="14" cm="1">
        <f t="array" ref="F204">'Question_Bank'!N204</f>
        <v>No</v>
      </c>
      <c r="G204" t="str" s="14" cm="1">
        <f t="array" ref="G204">IF(D204="MCQ","Correct=1, Incorrect=0",IF(F204="Yes","Reverse: 6-response","Direct: response score"))</f>
        <v>Direct: response score</v>
      </c>
      <c r="H204" s="15"/>
    </row>
    <row r="205" ht="17.45" customHeight="1">
      <c r="A205" t="str" s="13" cm="1">
        <f t="array" ref="A205">'Question_Bank'!A205</f>
        <v>NPI0201</v>
      </c>
      <c r="B205" t="str" s="14" cm="1">
        <f t="array" ref="B205">'Question_Bank'!C205</f>
        <v>Big Five Personality</v>
      </c>
      <c r="C205" t="str" s="14" cm="1">
        <f t="array" ref="C205">'Question_Bank'!D205</f>
        <v>Neuroticism</v>
      </c>
      <c r="D205" t="str" s="14" cm="1">
        <f t="array" ref="D205">'Question_Bank'!F205</f>
        <v>Likert</v>
      </c>
      <c r="E205" s="172" cm="1">
        <f t="array" ref="E205">'Question_Bank'!L205</f>
        <v>0</v>
      </c>
      <c r="F205" t="str" s="14" cm="1">
        <f t="array" ref="F205">'Question_Bank'!N205</f>
        <v>No</v>
      </c>
      <c r="G205" t="str" s="14" cm="1">
        <f t="array" ref="G205">IF(D205="MCQ","Correct=1, Incorrect=0",IF(F205="Yes","Reverse: 6-response","Direct: response score"))</f>
        <v>Direct: response score</v>
      </c>
      <c r="H205" s="15"/>
    </row>
    <row r="206" ht="17.45" customHeight="1">
      <c r="A206" t="str" s="13" cm="1">
        <f t="array" ref="A206">'Question_Bank'!A206</f>
        <v>NPI0202</v>
      </c>
      <c r="B206" t="str" s="14" cm="1">
        <f t="array" ref="B206">'Question_Bank'!C206</f>
        <v>Big Five Personality</v>
      </c>
      <c r="C206" t="str" s="14" cm="1">
        <f t="array" ref="C206">'Question_Bank'!D206</f>
        <v>Neuroticism</v>
      </c>
      <c r="D206" t="str" s="14" cm="1">
        <f t="array" ref="D206">'Question_Bank'!F206</f>
        <v>Likert</v>
      </c>
      <c r="E206" s="172" cm="1">
        <f t="array" ref="E206">'Question_Bank'!L206</f>
        <v>0</v>
      </c>
      <c r="F206" t="str" s="14" cm="1">
        <f t="array" ref="F206">'Question_Bank'!N206</f>
        <v>No</v>
      </c>
      <c r="G206" t="str" s="14" cm="1">
        <f t="array" ref="G206">IF(D206="MCQ","Correct=1, Incorrect=0",IF(F206="Yes","Reverse: 6-response","Direct: response score"))</f>
        <v>Direct: response score</v>
      </c>
      <c r="H206" s="15"/>
    </row>
    <row r="207" ht="17.45" customHeight="1">
      <c r="A207" t="str" s="13" cm="1">
        <f t="array" ref="A207">'Question_Bank'!A207</f>
        <v>NPI0203</v>
      </c>
      <c r="B207" t="str" s="14" cm="1">
        <f t="array" ref="B207">'Question_Bank'!C207</f>
        <v>Big Five Personality</v>
      </c>
      <c r="C207" t="str" s="14" cm="1">
        <f t="array" ref="C207">'Question_Bank'!D207</f>
        <v>Neuroticism</v>
      </c>
      <c r="D207" t="str" s="14" cm="1">
        <f t="array" ref="D207">'Question_Bank'!F207</f>
        <v>Likert</v>
      </c>
      <c r="E207" s="172" cm="1">
        <f t="array" ref="E207">'Question_Bank'!L207</f>
        <v>0</v>
      </c>
      <c r="F207" t="str" s="14" cm="1">
        <f t="array" ref="F207">'Question_Bank'!N207</f>
        <v>No</v>
      </c>
      <c r="G207" t="str" s="14" cm="1">
        <f t="array" ref="G207">IF(D207="MCQ","Correct=1, Incorrect=0",IF(F207="Yes","Reverse: 6-response","Direct: response score"))</f>
        <v>Direct: response score</v>
      </c>
      <c r="H207" s="15"/>
    </row>
    <row r="208" ht="17.45" customHeight="1">
      <c r="A208" t="str" s="13" cm="1">
        <f t="array" ref="A208">'Question_Bank'!A208</f>
        <v>NPI0204</v>
      </c>
      <c r="B208" t="str" s="14" cm="1">
        <f t="array" ref="B208">'Question_Bank'!C208</f>
        <v>Big Five Personality</v>
      </c>
      <c r="C208" t="str" s="14" cm="1">
        <f t="array" ref="C208">'Question_Bank'!D208</f>
        <v>Neuroticism</v>
      </c>
      <c r="D208" t="str" s="14" cm="1">
        <f t="array" ref="D208">'Question_Bank'!F208</f>
        <v>Likert</v>
      </c>
      <c r="E208" s="172" cm="1">
        <f t="array" ref="E208">'Question_Bank'!L208</f>
        <v>0</v>
      </c>
      <c r="F208" t="str" s="14" cm="1">
        <f t="array" ref="F208">'Question_Bank'!N208</f>
        <v>No</v>
      </c>
      <c r="G208" t="str" s="14" cm="1">
        <f t="array" ref="G208">IF(D208="MCQ","Correct=1, Incorrect=0",IF(F208="Yes","Reverse: 6-response","Direct: response score"))</f>
        <v>Direct: response score</v>
      </c>
      <c r="H208" s="15"/>
    </row>
    <row r="209" ht="17.45" customHeight="1">
      <c r="A209" t="str" s="13" cm="1">
        <f t="array" ref="A209">'Question_Bank'!A209</f>
        <v>NPI0205</v>
      </c>
      <c r="B209" t="str" s="14" cm="1">
        <f t="array" ref="B209">'Question_Bank'!C209</f>
        <v>Big Five Personality</v>
      </c>
      <c r="C209" t="str" s="14" cm="1">
        <f t="array" ref="C209">'Question_Bank'!D209</f>
        <v>Neuroticism</v>
      </c>
      <c r="D209" t="str" s="14" cm="1">
        <f t="array" ref="D209">'Question_Bank'!F209</f>
        <v>Likert</v>
      </c>
      <c r="E209" s="172" cm="1">
        <f t="array" ref="E209">'Question_Bank'!L209</f>
        <v>0</v>
      </c>
      <c r="F209" t="str" s="14" cm="1">
        <f t="array" ref="F209">'Question_Bank'!N209</f>
        <v>No</v>
      </c>
      <c r="G209" t="str" s="14" cm="1">
        <f t="array" ref="G209">IF(D209="MCQ","Correct=1, Incorrect=0",IF(F209="Yes","Reverse: 6-response","Direct: response score"))</f>
        <v>Direct: response score</v>
      </c>
      <c r="H209" s="15"/>
    </row>
    <row r="210" ht="17.45" customHeight="1">
      <c r="A210" t="str" s="13" cm="1">
        <f t="array" ref="A210">'Question_Bank'!A210</f>
        <v>NPI0206</v>
      </c>
      <c r="B210" t="str" s="14" cm="1">
        <f t="array" ref="B210">'Question_Bank'!C210</f>
        <v>Big Five Personality</v>
      </c>
      <c r="C210" t="str" s="14" cm="1">
        <f t="array" ref="C210">'Question_Bank'!D210</f>
        <v>Neuroticism</v>
      </c>
      <c r="D210" t="str" s="14" cm="1">
        <f t="array" ref="D210">'Question_Bank'!F210</f>
        <v>Likert</v>
      </c>
      <c r="E210" s="172" cm="1">
        <f t="array" ref="E210">'Question_Bank'!L210</f>
        <v>0</v>
      </c>
      <c r="F210" t="str" s="14" cm="1">
        <f t="array" ref="F210">'Question_Bank'!N210</f>
        <v>No</v>
      </c>
      <c r="G210" t="str" s="14" cm="1">
        <f t="array" ref="G210">IF(D210="MCQ","Correct=1, Incorrect=0",IF(F210="Yes","Reverse: 6-response","Direct: response score"))</f>
        <v>Direct: response score</v>
      </c>
      <c r="H210" s="15"/>
    </row>
    <row r="211" ht="17.45" customHeight="1">
      <c r="A211" t="str" s="13" cm="1">
        <f t="array" ref="A211">'Question_Bank'!A211</f>
        <v>NPI0207</v>
      </c>
      <c r="B211" t="str" s="14" cm="1">
        <f t="array" ref="B211">'Question_Bank'!C211</f>
        <v>Big Five Personality</v>
      </c>
      <c r="C211" t="str" s="14" cm="1">
        <f t="array" ref="C211">'Question_Bank'!D211</f>
        <v>Neuroticism</v>
      </c>
      <c r="D211" t="str" s="14" cm="1">
        <f t="array" ref="D211">'Question_Bank'!F211</f>
        <v>Likert</v>
      </c>
      <c r="E211" s="172" cm="1">
        <f t="array" ref="E211">'Question_Bank'!L211</f>
        <v>0</v>
      </c>
      <c r="F211" t="str" s="14" cm="1">
        <f t="array" ref="F211">'Question_Bank'!N211</f>
        <v>No</v>
      </c>
      <c r="G211" t="str" s="14" cm="1">
        <f t="array" ref="G211">IF(D211="MCQ","Correct=1, Incorrect=0",IF(F211="Yes","Reverse: 6-response","Direct: response score"))</f>
        <v>Direct: response score</v>
      </c>
      <c r="H211" s="15"/>
    </row>
    <row r="212" ht="17.45" customHeight="1">
      <c r="A212" t="str" s="13" cm="1">
        <f t="array" ref="A212">'Question_Bank'!A212</f>
        <v>NPI0208</v>
      </c>
      <c r="B212" t="str" s="14" cm="1">
        <f t="array" ref="B212">'Question_Bank'!C212</f>
        <v>Big Five Personality</v>
      </c>
      <c r="C212" t="str" s="14" cm="1">
        <f t="array" ref="C212">'Question_Bank'!D212</f>
        <v>Neuroticism</v>
      </c>
      <c r="D212" t="str" s="14" cm="1">
        <f t="array" ref="D212">'Question_Bank'!F212</f>
        <v>Likert</v>
      </c>
      <c r="E212" s="172" cm="1">
        <f t="array" ref="E212">'Question_Bank'!L212</f>
        <v>0</v>
      </c>
      <c r="F212" t="str" s="14" cm="1">
        <f t="array" ref="F212">'Question_Bank'!N212</f>
        <v>No</v>
      </c>
      <c r="G212" t="str" s="14" cm="1">
        <f t="array" ref="G212">IF(D212="MCQ","Correct=1, Incorrect=0",IF(F212="Yes","Reverse: 6-response","Direct: response score"))</f>
        <v>Direct: response score</v>
      </c>
      <c r="H212" s="15"/>
    </row>
    <row r="213" ht="17.45" customHeight="1">
      <c r="A213" t="str" s="13" cm="1">
        <f t="array" ref="A213">'Question_Bank'!A213</f>
        <v>NPI0209</v>
      </c>
      <c r="B213" t="str" s="14" cm="1">
        <f t="array" ref="B213">'Question_Bank'!C213</f>
        <v>Big Five Personality</v>
      </c>
      <c r="C213" t="str" s="14" cm="1">
        <f t="array" ref="C213">'Question_Bank'!D213</f>
        <v>Neuroticism</v>
      </c>
      <c r="D213" t="str" s="14" cm="1">
        <f t="array" ref="D213">'Question_Bank'!F213</f>
        <v>Likert</v>
      </c>
      <c r="E213" s="172" cm="1">
        <f t="array" ref="E213">'Question_Bank'!L213</f>
        <v>0</v>
      </c>
      <c r="F213" t="str" s="14" cm="1">
        <f t="array" ref="F213">'Question_Bank'!N213</f>
        <v>Yes</v>
      </c>
      <c r="G213" t="str" s="14" cm="1">
        <f t="array" ref="G213">IF(D213="MCQ","Correct=1, Incorrect=0",IF(F213="Yes","Reverse: 6-response","Direct: response score"))</f>
        <v>Reverse: 6-response</v>
      </c>
      <c r="H213" s="15"/>
    </row>
    <row r="214" ht="17.45" customHeight="1">
      <c r="A214" t="str" s="13" cm="1">
        <f t="array" ref="A214">'Question_Bank'!A214</f>
        <v>NPI0210</v>
      </c>
      <c r="B214" t="str" s="14" cm="1">
        <f t="array" ref="B214">'Question_Bank'!C214</f>
        <v>Big Five Personality</v>
      </c>
      <c r="C214" t="str" s="14" cm="1">
        <f t="array" ref="C214">'Question_Bank'!D214</f>
        <v>Neuroticism</v>
      </c>
      <c r="D214" t="str" s="14" cm="1">
        <f t="array" ref="D214">'Question_Bank'!F214</f>
        <v>Likert</v>
      </c>
      <c r="E214" s="172" cm="1">
        <f t="array" ref="E214">'Question_Bank'!L214</f>
        <v>0</v>
      </c>
      <c r="F214" t="str" s="14" cm="1">
        <f t="array" ref="F214">'Question_Bank'!N214</f>
        <v>Yes</v>
      </c>
      <c r="G214" t="str" s="14" cm="1">
        <f t="array" ref="G214">IF(D214="MCQ","Correct=1, Incorrect=0",IF(F214="Yes","Reverse: 6-response","Direct: response score"))</f>
        <v>Reverse: 6-response</v>
      </c>
      <c r="H214" s="15"/>
    </row>
    <row r="215" ht="17.45" customHeight="1">
      <c r="A215" t="str" s="13" cm="1">
        <f t="array" ref="A215">'Question_Bank'!A215</f>
        <v>NPI0211</v>
      </c>
      <c r="B215" t="str" s="14" cm="1">
        <f t="array" ref="B215">'Question_Bank'!C215</f>
        <v>Big Five Personality</v>
      </c>
      <c r="C215" t="str" s="14" cm="1">
        <f t="array" ref="C215">'Question_Bank'!D215</f>
        <v>Neuroticism</v>
      </c>
      <c r="D215" t="str" s="14" cm="1">
        <f t="array" ref="D215">'Question_Bank'!F215</f>
        <v>Likert</v>
      </c>
      <c r="E215" s="172" cm="1">
        <f t="array" ref="E215">'Question_Bank'!L215</f>
        <v>0</v>
      </c>
      <c r="F215" t="str" s="14" cm="1">
        <f t="array" ref="F215">'Question_Bank'!N215</f>
        <v>Yes</v>
      </c>
      <c r="G215" t="str" s="14" cm="1">
        <f t="array" ref="G215">IF(D215="MCQ","Correct=1, Incorrect=0",IF(F215="Yes","Reverse: 6-response","Direct: response score"))</f>
        <v>Reverse: 6-response</v>
      </c>
      <c r="H215" s="15"/>
    </row>
    <row r="216" ht="17.45" customHeight="1">
      <c r="A216" t="str" s="13" cm="1">
        <f t="array" ref="A216">'Question_Bank'!A216</f>
        <v>NPI0212</v>
      </c>
      <c r="B216" t="str" s="14" cm="1">
        <f t="array" ref="B216">'Question_Bank'!C216</f>
        <v>Big Five Personality</v>
      </c>
      <c r="C216" t="str" s="14" cm="1">
        <f t="array" ref="C216">'Question_Bank'!D216</f>
        <v>Neuroticism</v>
      </c>
      <c r="D216" t="str" s="14" cm="1">
        <f t="array" ref="D216">'Question_Bank'!F216</f>
        <v>Likert</v>
      </c>
      <c r="E216" s="172" cm="1">
        <f t="array" ref="E216">'Question_Bank'!L216</f>
        <v>0</v>
      </c>
      <c r="F216" t="str" s="14" cm="1">
        <f t="array" ref="F216">'Question_Bank'!N216</f>
        <v>Yes</v>
      </c>
      <c r="G216" t="str" s="14" cm="1">
        <f t="array" ref="G216">IF(D216="MCQ","Correct=1, Incorrect=0",IF(F216="Yes","Reverse: 6-response","Direct: response score"))</f>
        <v>Reverse: 6-response</v>
      </c>
      <c r="H216" s="15"/>
    </row>
    <row r="217" ht="17.45" customHeight="1">
      <c r="A217" t="str" s="13" cm="1">
        <f t="array" ref="A217">'Question_Bank'!A217</f>
        <v>NPI0213</v>
      </c>
      <c r="B217" t="str" s="14" cm="1">
        <f t="array" ref="B217">'Question_Bank'!C217</f>
        <v>Big Five Personality</v>
      </c>
      <c r="C217" t="str" s="14" cm="1">
        <f t="array" ref="C217">'Question_Bank'!D217</f>
        <v>Neuroticism</v>
      </c>
      <c r="D217" t="str" s="14" cm="1">
        <f t="array" ref="D217">'Question_Bank'!F217</f>
        <v>Likert</v>
      </c>
      <c r="E217" s="172" cm="1">
        <f t="array" ref="E217">'Question_Bank'!L217</f>
        <v>0</v>
      </c>
      <c r="F217" t="str" s="14" cm="1">
        <f t="array" ref="F217">'Question_Bank'!N217</f>
        <v>Yes</v>
      </c>
      <c r="G217" t="str" s="14" cm="1">
        <f t="array" ref="G217">IF(D217="MCQ","Correct=1, Incorrect=0",IF(F217="Yes","Reverse: 6-response","Direct: response score"))</f>
        <v>Reverse: 6-response</v>
      </c>
      <c r="H217" s="15"/>
    </row>
    <row r="218" ht="17.45" customHeight="1">
      <c r="A218" t="str" s="13" cm="1">
        <f t="array" ref="A218">'Question_Bank'!A218</f>
        <v>NPI0214</v>
      </c>
      <c r="B218" t="str" s="14" cm="1">
        <f t="array" ref="B218">'Question_Bank'!C218</f>
        <v>Big Five Personality</v>
      </c>
      <c r="C218" t="str" s="14" cm="1">
        <f t="array" ref="C218">'Question_Bank'!D218</f>
        <v>Neuroticism</v>
      </c>
      <c r="D218" t="str" s="14" cm="1">
        <f t="array" ref="D218">'Question_Bank'!F218</f>
        <v>Likert</v>
      </c>
      <c r="E218" s="172" cm="1">
        <f t="array" ref="E218">'Question_Bank'!L218</f>
        <v>0</v>
      </c>
      <c r="F218" t="str" s="14" cm="1">
        <f t="array" ref="F218">'Question_Bank'!N218</f>
        <v>Yes</v>
      </c>
      <c r="G218" t="str" s="14" cm="1">
        <f t="array" ref="G218">IF(D218="MCQ","Correct=1, Incorrect=0",IF(F218="Yes","Reverse: 6-response","Direct: response score"))</f>
        <v>Reverse: 6-response</v>
      </c>
      <c r="H218" s="15"/>
    </row>
    <row r="219" ht="17.45" customHeight="1">
      <c r="A219" t="str" s="13" cm="1">
        <f t="array" ref="A219">'Question_Bank'!A219</f>
        <v>NPI0215</v>
      </c>
      <c r="B219" t="str" s="14" cm="1">
        <f t="array" ref="B219">'Question_Bank'!C219</f>
        <v>Big Five Personality</v>
      </c>
      <c r="C219" t="str" s="14" cm="1">
        <f t="array" ref="C219">'Question_Bank'!D219</f>
        <v>Neuroticism</v>
      </c>
      <c r="D219" t="str" s="14" cm="1">
        <f t="array" ref="D219">'Question_Bank'!F219</f>
        <v>Likert</v>
      </c>
      <c r="E219" s="172" cm="1">
        <f t="array" ref="E219">'Question_Bank'!L219</f>
        <v>0</v>
      </c>
      <c r="F219" t="str" s="14" cm="1">
        <f t="array" ref="F219">'Question_Bank'!N219</f>
        <v>Yes</v>
      </c>
      <c r="G219" t="str" s="14" cm="1">
        <f t="array" ref="G219">IF(D219="MCQ","Correct=1, Incorrect=0",IF(F219="Yes","Reverse: 6-response","Direct: response score"))</f>
        <v>Reverse: 6-response</v>
      </c>
      <c r="H219" s="15"/>
    </row>
    <row r="220" ht="17.45" customHeight="1">
      <c r="A220" t="str" s="13" cm="1">
        <f t="array" ref="A220">'Question_Bank'!A220</f>
        <v>NPI0216</v>
      </c>
      <c r="B220" t="str" s="14" cm="1">
        <f t="array" ref="B220">'Question_Bank'!C220</f>
        <v>Cognitive Ability</v>
      </c>
      <c r="C220" t="str" s="14" cm="1">
        <f t="array" ref="C220">'Question_Bank'!D220</f>
        <v>Numerical</v>
      </c>
      <c r="D220" t="str" s="14" cm="1">
        <f t="array" ref="D220">'Question_Bank'!F220</f>
        <v>MCQ</v>
      </c>
      <c r="E220" t="str" s="14" cm="1">
        <f t="array" ref="E220">'Question_Bank'!L220</f>
        <v>C</v>
      </c>
      <c r="F220" t="str" s="14" cm="1">
        <f t="array" ref="F220">'Question_Bank'!N220</f>
        <v>No</v>
      </c>
      <c r="G220" t="str" s="14" cm="1">
        <f t="array" ref="G220">IF(D220="MCQ","Correct=1, Incorrect=0",IF(F220="Yes","Reverse: 6-response","Direct: response score"))</f>
        <v>Correct=1, Incorrect=0</v>
      </c>
      <c r="H220" s="15"/>
    </row>
    <row r="221" ht="17.45" customHeight="1">
      <c r="A221" t="str" s="13" cm="1">
        <f t="array" ref="A221">'Question_Bank'!A221</f>
        <v>NPI0217</v>
      </c>
      <c r="B221" t="str" s="14" cm="1">
        <f t="array" ref="B221">'Question_Bank'!C221</f>
        <v>Cognitive Ability</v>
      </c>
      <c r="C221" t="str" s="14" cm="1">
        <f t="array" ref="C221">'Question_Bank'!D221</f>
        <v>Numerical</v>
      </c>
      <c r="D221" t="str" s="14" cm="1">
        <f t="array" ref="D221">'Question_Bank'!F221</f>
        <v>MCQ</v>
      </c>
      <c r="E221" t="str" s="14" cm="1">
        <f t="array" ref="E221">'Question_Bank'!L221</f>
        <v>C</v>
      </c>
      <c r="F221" t="str" s="14" cm="1">
        <f t="array" ref="F221">'Question_Bank'!N221</f>
        <v>No</v>
      </c>
      <c r="G221" t="str" s="14" cm="1">
        <f t="array" ref="G221">IF(D221="MCQ","Correct=1, Incorrect=0",IF(F221="Yes","Reverse: 6-response","Direct: response score"))</f>
        <v>Correct=1, Incorrect=0</v>
      </c>
      <c r="H221" s="15"/>
    </row>
    <row r="222" ht="17.45" customHeight="1">
      <c r="A222" t="str" s="13" cm="1">
        <f t="array" ref="A222">'Question_Bank'!A222</f>
        <v>NPI0218</v>
      </c>
      <c r="B222" t="str" s="14" cm="1">
        <f t="array" ref="B222">'Question_Bank'!C222</f>
        <v>Cognitive Ability</v>
      </c>
      <c r="C222" t="str" s="14" cm="1">
        <f t="array" ref="C222">'Question_Bank'!D222</f>
        <v>Numerical</v>
      </c>
      <c r="D222" t="str" s="14" cm="1">
        <f t="array" ref="D222">'Question_Bank'!F222</f>
        <v>MCQ</v>
      </c>
      <c r="E222" t="str" s="14" cm="1">
        <f t="array" ref="E222">'Question_Bank'!L222</f>
        <v>C</v>
      </c>
      <c r="F222" t="str" s="14" cm="1">
        <f t="array" ref="F222">'Question_Bank'!N222</f>
        <v>No</v>
      </c>
      <c r="G222" t="str" s="14" cm="1">
        <f t="array" ref="G222">IF(D222="MCQ","Correct=1, Incorrect=0",IF(F222="Yes","Reverse: 6-response","Direct: response score"))</f>
        <v>Correct=1, Incorrect=0</v>
      </c>
      <c r="H222" s="15"/>
    </row>
    <row r="223" ht="17.45" customHeight="1">
      <c r="A223" t="str" s="13" cm="1">
        <f t="array" ref="A223">'Question_Bank'!A223</f>
        <v>NPI0219</v>
      </c>
      <c r="B223" t="str" s="14" cm="1">
        <f t="array" ref="B223">'Question_Bank'!C223</f>
        <v>Cognitive Ability</v>
      </c>
      <c r="C223" t="str" s="14" cm="1">
        <f t="array" ref="C223">'Question_Bank'!D223</f>
        <v>Numerical</v>
      </c>
      <c r="D223" t="str" s="14" cm="1">
        <f t="array" ref="D223">'Question_Bank'!F223</f>
        <v>MCQ</v>
      </c>
      <c r="E223" t="str" s="14" cm="1">
        <f t="array" ref="E223">'Question_Bank'!L223</f>
        <v>C</v>
      </c>
      <c r="F223" t="str" s="14" cm="1">
        <f t="array" ref="F223">'Question_Bank'!N223</f>
        <v>No</v>
      </c>
      <c r="G223" t="str" s="14" cm="1">
        <f t="array" ref="G223">IF(D223="MCQ","Correct=1, Incorrect=0",IF(F223="Yes","Reverse: 6-response","Direct: response score"))</f>
        <v>Correct=1, Incorrect=0</v>
      </c>
      <c r="H223" s="15"/>
    </row>
    <row r="224" ht="17.45" customHeight="1">
      <c r="A224" t="str" s="13" cm="1">
        <f t="array" ref="A224">'Question_Bank'!A224</f>
        <v>NPI0220</v>
      </c>
      <c r="B224" t="str" s="14" cm="1">
        <f t="array" ref="B224">'Question_Bank'!C224</f>
        <v>Cognitive Ability</v>
      </c>
      <c r="C224" t="str" s="14" cm="1">
        <f t="array" ref="C224">'Question_Bank'!D224</f>
        <v>Numerical</v>
      </c>
      <c r="D224" t="str" s="14" cm="1">
        <f t="array" ref="D224">'Question_Bank'!F224</f>
        <v>MCQ</v>
      </c>
      <c r="E224" t="str" s="14" cm="1">
        <f t="array" ref="E224">'Question_Bank'!L224</f>
        <v>C</v>
      </c>
      <c r="F224" t="str" s="14" cm="1">
        <f t="array" ref="F224">'Question_Bank'!N224</f>
        <v>No</v>
      </c>
      <c r="G224" t="str" s="14" cm="1">
        <f t="array" ref="G224">IF(D224="MCQ","Correct=1, Incorrect=0",IF(F224="Yes","Reverse: 6-response","Direct: response score"))</f>
        <v>Correct=1, Incorrect=0</v>
      </c>
      <c r="H224" s="15"/>
    </row>
    <row r="225" ht="17.45" customHeight="1">
      <c r="A225" t="str" s="13" cm="1">
        <f t="array" ref="A225">'Question_Bank'!A225</f>
        <v>NPI0221</v>
      </c>
      <c r="B225" t="str" s="14" cm="1">
        <f t="array" ref="B225">'Question_Bank'!C225</f>
        <v>Cognitive Ability</v>
      </c>
      <c r="C225" t="str" s="14" cm="1">
        <f t="array" ref="C225">'Question_Bank'!D225</f>
        <v>Numerical</v>
      </c>
      <c r="D225" t="str" s="14" cm="1">
        <f t="array" ref="D225">'Question_Bank'!F225</f>
        <v>MCQ</v>
      </c>
      <c r="E225" t="str" s="14" cm="1">
        <f t="array" ref="E225">'Question_Bank'!L225</f>
        <v>C</v>
      </c>
      <c r="F225" t="str" s="14" cm="1">
        <f t="array" ref="F225">'Question_Bank'!N225</f>
        <v>No</v>
      </c>
      <c r="G225" t="str" s="14" cm="1">
        <f t="array" ref="G225">IF(D225="MCQ","Correct=1, Incorrect=0",IF(F225="Yes","Reverse: 6-response","Direct: response score"))</f>
        <v>Correct=1, Incorrect=0</v>
      </c>
      <c r="H225" s="15"/>
    </row>
    <row r="226" ht="17.45" customHeight="1">
      <c r="A226" t="str" s="13" cm="1">
        <f t="array" ref="A226">'Question_Bank'!A226</f>
        <v>NPI0222</v>
      </c>
      <c r="B226" t="str" s="14" cm="1">
        <f t="array" ref="B226">'Question_Bank'!C226</f>
        <v>Cognitive Ability</v>
      </c>
      <c r="C226" t="str" s="14" cm="1">
        <f t="array" ref="C226">'Question_Bank'!D226</f>
        <v>Numerical</v>
      </c>
      <c r="D226" t="str" s="14" cm="1">
        <f t="array" ref="D226">'Question_Bank'!F226</f>
        <v>MCQ</v>
      </c>
      <c r="E226" t="str" s="14" cm="1">
        <f t="array" ref="E226">'Question_Bank'!L226</f>
        <v>B</v>
      </c>
      <c r="F226" t="str" s="14" cm="1">
        <f t="array" ref="F226">'Question_Bank'!N226</f>
        <v>No</v>
      </c>
      <c r="G226" t="str" s="14" cm="1">
        <f t="array" ref="G226">IF(D226="MCQ","Correct=1, Incorrect=0",IF(F226="Yes","Reverse: 6-response","Direct: response score"))</f>
        <v>Correct=1, Incorrect=0</v>
      </c>
      <c r="H226" s="15"/>
    </row>
    <row r="227" ht="17.45" customHeight="1">
      <c r="A227" t="str" s="13" cm="1">
        <f t="array" ref="A227">'Question_Bank'!A227</f>
        <v>NPI0223</v>
      </c>
      <c r="B227" t="str" s="14" cm="1">
        <f t="array" ref="B227">'Question_Bank'!C227</f>
        <v>Cognitive Ability</v>
      </c>
      <c r="C227" t="str" s="14" cm="1">
        <f t="array" ref="C227">'Question_Bank'!D227</f>
        <v>Numerical</v>
      </c>
      <c r="D227" t="str" s="14" cm="1">
        <f t="array" ref="D227">'Question_Bank'!F227</f>
        <v>MCQ</v>
      </c>
      <c r="E227" t="str" s="14" cm="1">
        <f t="array" ref="E227">'Question_Bank'!L227</f>
        <v>B</v>
      </c>
      <c r="F227" t="str" s="14" cm="1">
        <f t="array" ref="F227">'Question_Bank'!N227</f>
        <v>No</v>
      </c>
      <c r="G227" t="str" s="14" cm="1">
        <f t="array" ref="G227">IF(D227="MCQ","Correct=1, Incorrect=0",IF(F227="Yes","Reverse: 6-response","Direct: response score"))</f>
        <v>Correct=1, Incorrect=0</v>
      </c>
      <c r="H227" s="15"/>
    </row>
    <row r="228" ht="17.45" customHeight="1">
      <c r="A228" t="str" s="13" cm="1">
        <f t="array" ref="A228">'Question_Bank'!A228</f>
        <v>NPI0224</v>
      </c>
      <c r="B228" t="str" s="14" cm="1">
        <f t="array" ref="B228">'Question_Bank'!C228</f>
        <v>Cognitive Ability</v>
      </c>
      <c r="C228" t="str" s="14" cm="1">
        <f t="array" ref="C228">'Question_Bank'!D228</f>
        <v>Numerical</v>
      </c>
      <c r="D228" t="str" s="14" cm="1">
        <f t="array" ref="D228">'Question_Bank'!F228</f>
        <v>MCQ</v>
      </c>
      <c r="E228" t="str" s="14" cm="1">
        <f t="array" ref="E228">'Question_Bank'!L228</f>
        <v>C</v>
      </c>
      <c r="F228" t="str" s="14" cm="1">
        <f t="array" ref="F228">'Question_Bank'!N228</f>
        <v>No</v>
      </c>
      <c r="G228" t="str" s="14" cm="1">
        <f t="array" ref="G228">IF(D228="MCQ","Correct=1, Incorrect=0",IF(F228="Yes","Reverse: 6-response","Direct: response score"))</f>
        <v>Correct=1, Incorrect=0</v>
      </c>
      <c r="H228" s="15"/>
    </row>
    <row r="229" ht="17.45" customHeight="1">
      <c r="A229" t="str" s="13" cm="1">
        <f t="array" ref="A229">'Question_Bank'!A229</f>
        <v>NPI0225</v>
      </c>
      <c r="B229" t="str" s="14" cm="1">
        <f t="array" ref="B229">'Question_Bank'!C229</f>
        <v>Cognitive Ability</v>
      </c>
      <c r="C229" t="str" s="14" cm="1">
        <f t="array" ref="C229">'Question_Bank'!D229</f>
        <v>Numerical</v>
      </c>
      <c r="D229" t="str" s="14" cm="1">
        <f t="array" ref="D229">'Question_Bank'!F229</f>
        <v>MCQ</v>
      </c>
      <c r="E229" t="str" s="14" cm="1">
        <f t="array" ref="E229">'Question_Bank'!L229</f>
        <v>B</v>
      </c>
      <c r="F229" t="str" s="14" cm="1">
        <f t="array" ref="F229">'Question_Bank'!N229</f>
        <v>No</v>
      </c>
      <c r="G229" t="str" s="14" cm="1">
        <f t="array" ref="G229">IF(D229="MCQ","Correct=1, Incorrect=0",IF(F229="Yes","Reverse: 6-response","Direct: response score"))</f>
        <v>Correct=1, Incorrect=0</v>
      </c>
      <c r="H229" s="15"/>
    </row>
    <row r="230" ht="17.45" customHeight="1">
      <c r="A230" t="str" s="13" cm="1">
        <f t="array" ref="A230">'Question_Bank'!A230</f>
        <v>NPI0226</v>
      </c>
      <c r="B230" t="str" s="14" cm="1">
        <f t="array" ref="B230">'Question_Bank'!C230</f>
        <v>Cognitive Ability</v>
      </c>
      <c r="C230" t="str" s="14" cm="1">
        <f t="array" ref="C230">'Question_Bank'!D230</f>
        <v>Numerical</v>
      </c>
      <c r="D230" t="str" s="14" cm="1">
        <f t="array" ref="D230">'Question_Bank'!F230</f>
        <v>MCQ</v>
      </c>
      <c r="E230" t="str" s="14" cm="1">
        <f t="array" ref="E230">'Question_Bank'!L230</f>
        <v>C</v>
      </c>
      <c r="F230" t="str" s="14" cm="1">
        <f t="array" ref="F230">'Question_Bank'!N230</f>
        <v>No</v>
      </c>
      <c r="G230" t="str" s="14" cm="1">
        <f t="array" ref="G230">IF(D230="MCQ","Correct=1, Incorrect=0",IF(F230="Yes","Reverse: 6-response","Direct: response score"))</f>
        <v>Correct=1, Incorrect=0</v>
      </c>
      <c r="H230" s="15"/>
    </row>
    <row r="231" ht="17.45" customHeight="1">
      <c r="A231" t="str" s="13" cm="1">
        <f t="array" ref="A231">'Question_Bank'!A231</f>
        <v>NPI0227</v>
      </c>
      <c r="B231" t="str" s="14" cm="1">
        <f t="array" ref="B231">'Question_Bank'!C231</f>
        <v>Cognitive Ability</v>
      </c>
      <c r="C231" t="str" s="14" cm="1">
        <f t="array" ref="C231">'Question_Bank'!D231</f>
        <v>Numerical</v>
      </c>
      <c r="D231" t="str" s="14" cm="1">
        <f t="array" ref="D231">'Question_Bank'!F231</f>
        <v>MCQ</v>
      </c>
      <c r="E231" t="str" s="14" cm="1">
        <f t="array" ref="E231">'Question_Bank'!L231</f>
        <v>B</v>
      </c>
      <c r="F231" t="str" s="14" cm="1">
        <f t="array" ref="F231">'Question_Bank'!N231</f>
        <v>No</v>
      </c>
      <c r="G231" t="str" s="14" cm="1">
        <f t="array" ref="G231">IF(D231="MCQ","Correct=1, Incorrect=0",IF(F231="Yes","Reverse: 6-response","Direct: response score"))</f>
        <v>Correct=1, Incorrect=0</v>
      </c>
      <c r="H231" s="15"/>
    </row>
    <row r="232" ht="17.45" customHeight="1">
      <c r="A232" t="str" s="13" cm="1">
        <f t="array" ref="A232">'Question_Bank'!A232</f>
        <v>NPI0228</v>
      </c>
      <c r="B232" t="str" s="14" cm="1">
        <f t="array" ref="B232">'Question_Bank'!C232</f>
        <v>Cognitive Ability</v>
      </c>
      <c r="C232" t="str" s="14" cm="1">
        <f t="array" ref="C232">'Question_Bank'!D232</f>
        <v>Numerical</v>
      </c>
      <c r="D232" t="str" s="14" cm="1">
        <f t="array" ref="D232">'Question_Bank'!F232</f>
        <v>MCQ</v>
      </c>
      <c r="E232" t="str" s="14" cm="1">
        <f t="array" ref="E232">'Question_Bank'!L232</f>
        <v>B</v>
      </c>
      <c r="F232" t="str" s="14" cm="1">
        <f t="array" ref="F232">'Question_Bank'!N232</f>
        <v>No</v>
      </c>
      <c r="G232" t="str" s="14" cm="1">
        <f t="array" ref="G232">IF(D232="MCQ","Correct=1, Incorrect=0",IF(F232="Yes","Reverse: 6-response","Direct: response score"))</f>
        <v>Correct=1, Incorrect=0</v>
      </c>
      <c r="H232" s="15"/>
    </row>
    <row r="233" ht="17.45" customHeight="1">
      <c r="A233" t="str" s="13" cm="1">
        <f t="array" ref="A233">'Question_Bank'!A233</f>
        <v>NPI0229</v>
      </c>
      <c r="B233" t="str" s="14" cm="1">
        <f t="array" ref="B233">'Question_Bank'!C233</f>
        <v>Cognitive Ability</v>
      </c>
      <c r="C233" t="str" s="14" cm="1">
        <f t="array" ref="C233">'Question_Bank'!D233</f>
        <v>Numerical</v>
      </c>
      <c r="D233" t="str" s="14" cm="1">
        <f t="array" ref="D233">'Question_Bank'!F233</f>
        <v>MCQ</v>
      </c>
      <c r="E233" t="str" s="14" cm="1">
        <f t="array" ref="E233">'Question_Bank'!L233</f>
        <v>C</v>
      </c>
      <c r="F233" t="str" s="14" cm="1">
        <f t="array" ref="F233">'Question_Bank'!N233</f>
        <v>No</v>
      </c>
      <c r="G233" t="str" s="14" cm="1">
        <f t="array" ref="G233">IF(D233="MCQ","Correct=1, Incorrect=0",IF(F233="Yes","Reverse: 6-response","Direct: response score"))</f>
        <v>Correct=1, Incorrect=0</v>
      </c>
      <c r="H233" s="15"/>
    </row>
    <row r="234" ht="17.45" customHeight="1">
      <c r="A234" t="str" s="13" cm="1">
        <f t="array" ref="A234">'Question_Bank'!A234</f>
        <v>NPI0230</v>
      </c>
      <c r="B234" t="str" s="14" cm="1">
        <f t="array" ref="B234">'Question_Bank'!C234</f>
        <v>Cognitive Ability</v>
      </c>
      <c r="C234" t="str" s="14" cm="1">
        <f t="array" ref="C234">'Question_Bank'!D234</f>
        <v>Numerical</v>
      </c>
      <c r="D234" t="str" s="14" cm="1">
        <f t="array" ref="D234">'Question_Bank'!F234</f>
        <v>MCQ</v>
      </c>
      <c r="E234" t="str" s="14" cm="1">
        <f t="array" ref="E234">'Question_Bank'!L234</f>
        <v>C</v>
      </c>
      <c r="F234" t="str" s="14" cm="1">
        <f t="array" ref="F234">'Question_Bank'!N234</f>
        <v>No</v>
      </c>
      <c r="G234" t="str" s="14" cm="1">
        <f t="array" ref="G234">IF(D234="MCQ","Correct=1, Incorrect=0",IF(F234="Yes","Reverse: 6-response","Direct: response score"))</f>
        <v>Correct=1, Incorrect=0</v>
      </c>
      <c r="H234" s="15"/>
    </row>
    <row r="235" ht="17.45" customHeight="1">
      <c r="A235" t="str" s="13" cm="1">
        <f t="array" ref="A235">'Question_Bank'!A235</f>
        <v>NPI0231</v>
      </c>
      <c r="B235" t="str" s="14" cm="1">
        <f t="array" ref="B235">'Question_Bank'!C235</f>
        <v>Cognitive Ability</v>
      </c>
      <c r="C235" t="str" s="14" cm="1">
        <f t="array" ref="C235">'Question_Bank'!D235</f>
        <v>Numerical</v>
      </c>
      <c r="D235" t="str" s="14" cm="1">
        <f t="array" ref="D235">'Question_Bank'!F235</f>
        <v>MCQ</v>
      </c>
      <c r="E235" t="str" s="14" cm="1">
        <f t="array" ref="E235">'Question_Bank'!L235</f>
        <v>C</v>
      </c>
      <c r="F235" t="str" s="14" cm="1">
        <f t="array" ref="F235">'Question_Bank'!N235</f>
        <v>No</v>
      </c>
      <c r="G235" t="str" s="14" cm="1">
        <f t="array" ref="G235">IF(D235="MCQ","Correct=1, Incorrect=0",IF(F235="Yes","Reverse: 6-response","Direct: response score"))</f>
        <v>Correct=1, Incorrect=0</v>
      </c>
      <c r="H235" s="15"/>
    </row>
    <row r="236" ht="17.45" customHeight="1">
      <c r="A236" t="str" s="13" cm="1">
        <f t="array" ref="A236">'Question_Bank'!A236</f>
        <v>NPI0232</v>
      </c>
      <c r="B236" t="str" s="14" cm="1">
        <f t="array" ref="B236">'Question_Bank'!C236</f>
        <v>Cognitive Ability</v>
      </c>
      <c r="C236" t="str" s="14" cm="1">
        <f t="array" ref="C236">'Question_Bank'!D236</f>
        <v>Numerical</v>
      </c>
      <c r="D236" t="str" s="14" cm="1">
        <f t="array" ref="D236">'Question_Bank'!F236</f>
        <v>MCQ</v>
      </c>
      <c r="E236" t="str" s="14" cm="1">
        <f t="array" ref="E236">'Question_Bank'!L236</f>
        <v>C</v>
      </c>
      <c r="F236" t="str" s="14" cm="1">
        <f t="array" ref="F236">'Question_Bank'!N236</f>
        <v>No</v>
      </c>
      <c r="G236" t="str" s="14" cm="1">
        <f t="array" ref="G236">IF(D236="MCQ","Correct=1, Incorrect=0",IF(F236="Yes","Reverse: 6-response","Direct: response score"))</f>
        <v>Correct=1, Incorrect=0</v>
      </c>
      <c r="H236" s="15"/>
    </row>
    <row r="237" ht="17.45" customHeight="1">
      <c r="A237" t="str" s="13" cm="1">
        <f t="array" ref="A237">'Question_Bank'!A237</f>
        <v>NPI0233</v>
      </c>
      <c r="B237" t="str" s="14" cm="1">
        <f t="array" ref="B237">'Question_Bank'!C237</f>
        <v>Cognitive Ability</v>
      </c>
      <c r="C237" t="str" s="14" cm="1">
        <f t="array" ref="C237">'Question_Bank'!D237</f>
        <v>Numerical</v>
      </c>
      <c r="D237" t="str" s="14" cm="1">
        <f t="array" ref="D237">'Question_Bank'!F237</f>
        <v>MCQ</v>
      </c>
      <c r="E237" t="str" s="14" cm="1">
        <f t="array" ref="E237">'Question_Bank'!L237</f>
        <v>C</v>
      </c>
      <c r="F237" t="str" s="14" cm="1">
        <f t="array" ref="F237">'Question_Bank'!N237</f>
        <v>No</v>
      </c>
      <c r="G237" t="str" s="14" cm="1">
        <f t="array" ref="G237">IF(D237="MCQ","Correct=1, Incorrect=0",IF(F237="Yes","Reverse: 6-response","Direct: response score"))</f>
        <v>Correct=1, Incorrect=0</v>
      </c>
      <c r="H237" s="15"/>
    </row>
    <row r="238" ht="17.45" customHeight="1">
      <c r="A238" t="str" s="13" cm="1">
        <f t="array" ref="A238">'Question_Bank'!A238</f>
        <v>NPI0234</v>
      </c>
      <c r="B238" t="str" s="14" cm="1">
        <f t="array" ref="B238">'Question_Bank'!C238</f>
        <v>Cognitive Ability</v>
      </c>
      <c r="C238" t="str" s="14" cm="1">
        <f t="array" ref="C238">'Question_Bank'!D238</f>
        <v>Numerical</v>
      </c>
      <c r="D238" t="str" s="14" cm="1">
        <f t="array" ref="D238">'Question_Bank'!F238</f>
        <v>MCQ</v>
      </c>
      <c r="E238" t="str" s="14" cm="1">
        <f t="array" ref="E238">'Question_Bank'!L238</f>
        <v>C</v>
      </c>
      <c r="F238" t="str" s="14" cm="1">
        <f t="array" ref="F238">'Question_Bank'!N238</f>
        <v>No</v>
      </c>
      <c r="G238" t="str" s="14" cm="1">
        <f t="array" ref="G238">IF(D238="MCQ","Correct=1, Incorrect=0",IF(F238="Yes","Reverse: 6-response","Direct: response score"))</f>
        <v>Correct=1, Incorrect=0</v>
      </c>
      <c r="H238" s="15"/>
    </row>
    <row r="239" ht="17.45" customHeight="1">
      <c r="A239" t="str" s="13" cm="1">
        <f t="array" ref="A239">'Question_Bank'!A239</f>
        <v>NPI0235</v>
      </c>
      <c r="B239" t="str" s="14" cm="1">
        <f t="array" ref="B239">'Question_Bank'!C239</f>
        <v>Cognitive Ability</v>
      </c>
      <c r="C239" t="str" s="14" cm="1">
        <f t="array" ref="C239">'Question_Bank'!D239</f>
        <v>Numerical</v>
      </c>
      <c r="D239" t="str" s="14" cm="1">
        <f t="array" ref="D239">'Question_Bank'!F239</f>
        <v>MCQ</v>
      </c>
      <c r="E239" t="str" s="14" cm="1">
        <f t="array" ref="E239">'Question_Bank'!L239</f>
        <v>B</v>
      </c>
      <c r="F239" t="str" s="14" cm="1">
        <f t="array" ref="F239">'Question_Bank'!N239</f>
        <v>No</v>
      </c>
      <c r="G239" t="str" s="14" cm="1">
        <f t="array" ref="G239">IF(D239="MCQ","Correct=1, Incorrect=0",IF(F239="Yes","Reverse: 6-response","Direct: response score"))</f>
        <v>Correct=1, Incorrect=0</v>
      </c>
      <c r="H239" s="15"/>
    </row>
    <row r="240" ht="17.45" customHeight="1">
      <c r="A240" t="str" s="13" cm="1">
        <f t="array" ref="A240">'Question_Bank'!A240</f>
        <v>NPI0236</v>
      </c>
      <c r="B240" t="str" s="14" cm="1">
        <f t="array" ref="B240">'Question_Bank'!C240</f>
        <v>Cognitive Ability</v>
      </c>
      <c r="C240" t="str" s="14" cm="1">
        <f t="array" ref="C240">'Question_Bank'!D240</f>
        <v>Logic</v>
      </c>
      <c r="D240" t="str" s="14" cm="1">
        <f t="array" ref="D240">'Question_Bank'!F240</f>
        <v>MCQ</v>
      </c>
      <c r="E240" t="str" s="14" cm="1">
        <f t="array" ref="E240">'Question_Bank'!L240</f>
        <v>C</v>
      </c>
      <c r="F240" t="str" s="14" cm="1">
        <f t="array" ref="F240">'Question_Bank'!N240</f>
        <v>No</v>
      </c>
      <c r="G240" t="str" s="14" cm="1">
        <f t="array" ref="G240">IF(D240="MCQ","Correct=1, Incorrect=0",IF(F240="Yes","Reverse: 6-response","Direct: response score"))</f>
        <v>Correct=1, Incorrect=0</v>
      </c>
      <c r="H240" s="15"/>
    </row>
    <row r="241" ht="17.45" customHeight="1">
      <c r="A241" t="str" s="13" cm="1">
        <f t="array" ref="A241">'Question_Bank'!A241</f>
        <v>NPI0237</v>
      </c>
      <c r="B241" t="str" s="14" cm="1">
        <f t="array" ref="B241">'Question_Bank'!C241</f>
        <v>Cognitive Ability</v>
      </c>
      <c r="C241" t="str" s="14" cm="1">
        <f t="array" ref="C241">'Question_Bank'!D241</f>
        <v>Logic</v>
      </c>
      <c r="D241" t="str" s="14" cm="1">
        <f t="array" ref="D241">'Question_Bank'!F241</f>
        <v>MCQ</v>
      </c>
      <c r="E241" t="str" s="14" cm="1">
        <f t="array" ref="E241">'Question_Bank'!L241</f>
        <v>B</v>
      </c>
      <c r="F241" t="str" s="14" cm="1">
        <f t="array" ref="F241">'Question_Bank'!N241</f>
        <v>No</v>
      </c>
      <c r="G241" t="str" s="14" cm="1">
        <f t="array" ref="G241">IF(D241="MCQ","Correct=1, Incorrect=0",IF(F241="Yes","Reverse: 6-response","Direct: response score"))</f>
        <v>Correct=1, Incorrect=0</v>
      </c>
      <c r="H241" s="15"/>
    </row>
    <row r="242" ht="17.45" customHeight="1">
      <c r="A242" t="str" s="13" cm="1">
        <f t="array" ref="A242">'Question_Bank'!A242</f>
        <v>NPI0238</v>
      </c>
      <c r="B242" t="str" s="14" cm="1">
        <f t="array" ref="B242">'Question_Bank'!C242</f>
        <v>Cognitive Ability</v>
      </c>
      <c r="C242" t="str" s="14" cm="1">
        <f t="array" ref="C242">'Question_Bank'!D242</f>
        <v>Logic</v>
      </c>
      <c r="D242" t="str" s="14" cm="1">
        <f t="array" ref="D242">'Question_Bank'!F242</f>
        <v>MCQ</v>
      </c>
      <c r="E242" t="str" s="14" cm="1">
        <f t="array" ref="E242">'Question_Bank'!L242</f>
        <v>D</v>
      </c>
      <c r="F242" t="str" s="14" cm="1">
        <f t="array" ref="F242">'Question_Bank'!N242</f>
        <v>No</v>
      </c>
      <c r="G242" t="str" s="14" cm="1">
        <f t="array" ref="G242">IF(D242="MCQ","Correct=1, Incorrect=0",IF(F242="Yes","Reverse: 6-response","Direct: response score"))</f>
        <v>Correct=1, Incorrect=0</v>
      </c>
      <c r="H242" s="15"/>
    </row>
    <row r="243" ht="17.45" customHeight="1">
      <c r="A243" t="str" s="13" cm="1">
        <f t="array" ref="A243">'Question_Bank'!A243</f>
        <v>NPI0239</v>
      </c>
      <c r="B243" t="str" s="14" cm="1">
        <f t="array" ref="B243">'Question_Bank'!C243</f>
        <v>Cognitive Ability</v>
      </c>
      <c r="C243" t="str" s="14" cm="1">
        <f t="array" ref="C243">'Question_Bank'!D243</f>
        <v>Logic</v>
      </c>
      <c r="D243" t="str" s="14" cm="1">
        <f t="array" ref="D243">'Question_Bank'!F243</f>
        <v>MCQ</v>
      </c>
      <c r="E243" t="str" s="14" cm="1">
        <f t="array" ref="E243">'Question_Bank'!L243</f>
        <v>A</v>
      </c>
      <c r="F243" t="str" s="14" cm="1">
        <f t="array" ref="F243">'Question_Bank'!N243</f>
        <v>No</v>
      </c>
      <c r="G243" t="str" s="14" cm="1">
        <f t="array" ref="G243">IF(D243="MCQ","Correct=1, Incorrect=0",IF(F243="Yes","Reverse: 6-response","Direct: response score"))</f>
        <v>Correct=1, Incorrect=0</v>
      </c>
      <c r="H243" s="15"/>
    </row>
    <row r="244" ht="17.45" customHeight="1">
      <c r="A244" t="str" s="13" cm="1">
        <f t="array" ref="A244">'Question_Bank'!A244</f>
        <v>NPI0240</v>
      </c>
      <c r="B244" t="str" s="14" cm="1">
        <f t="array" ref="B244">'Question_Bank'!C244</f>
        <v>Cognitive Ability</v>
      </c>
      <c r="C244" t="str" s="14" cm="1">
        <f t="array" ref="C244">'Question_Bank'!D244</f>
        <v>Logic</v>
      </c>
      <c r="D244" t="str" s="14" cm="1">
        <f t="array" ref="D244">'Question_Bank'!F244</f>
        <v>MCQ</v>
      </c>
      <c r="E244" t="str" s="14" cm="1">
        <f t="array" ref="E244">'Question_Bank'!L244</f>
        <v>B</v>
      </c>
      <c r="F244" t="str" s="14" cm="1">
        <f t="array" ref="F244">'Question_Bank'!N244</f>
        <v>No</v>
      </c>
      <c r="G244" t="str" s="14" cm="1">
        <f t="array" ref="G244">IF(D244="MCQ","Correct=1, Incorrect=0",IF(F244="Yes","Reverse: 6-response","Direct: response score"))</f>
        <v>Correct=1, Incorrect=0</v>
      </c>
      <c r="H244" s="15"/>
    </row>
    <row r="245" ht="17.45" customHeight="1">
      <c r="A245" t="str" s="13" cm="1">
        <f t="array" ref="A245">'Question_Bank'!A245</f>
        <v>NPI0241</v>
      </c>
      <c r="B245" t="str" s="14" cm="1">
        <f t="array" ref="B245">'Question_Bank'!C245</f>
        <v>Cognitive Ability</v>
      </c>
      <c r="C245" t="str" s="14" cm="1">
        <f t="array" ref="C245">'Question_Bank'!D245</f>
        <v>Logic</v>
      </c>
      <c r="D245" t="str" s="14" cm="1">
        <f t="array" ref="D245">'Question_Bank'!F245</f>
        <v>MCQ</v>
      </c>
      <c r="E245" t="str" s="14" cm="1">
        <f t="array" ref="E245">'Question_Bank'!L245</f>
        <v>B</v>
      </c>
      <c r="F245" t="str" s="14" cm="1">
        <f t="array" ref="F245">'Question_Bank'!N245</f>
        <v>No</v>
      </c>
      <c r="G245" t="str" s="14" cm="1">
        <f t="array" ref="G245">IF(D245="MCQ","Correct=1, Incorrect=0",IF(F245="Yes","Reverse: 6-response","Direct: response score"))</f>
        <v>Correct=1, Incorrect=0</v>
      </c>
      <c r="H245" s="15"/>
    </row>
    <row r="246" ht="17.45" customHeight="1">
      <c r="A246" t="str" s="13" cm="1">
        <f t="array" ref="A246">'Question_Bank'!A246</f>
        <v>NPI0242</v>
      </c>
      <c r="B246" t="str" s="14" cm="1">
        <f t="array" ref="B246">'Question_Bank'!C246</f>
        <v>Cognitive Ability</v>
      </c>
      <c r="C246" t="str" s="14" cm="1">
        <f t="array" ref="C246">'Question_Bank'!D246</f>
        <v>Logic</v>
      </c>
      <c r="D246" t="str" s="14" cm="1">
        <f t="array" ref="D246">'Question_Bank'!F246</f>
        <v>MCQ</v>
      </c>
      <c r="E246" t="str" s="14" cm="1">
        <f t="array" ref="E246">'Question_Bank'!L246</f>
        <v>B</v>
      </c>
      <c r="F246" t="str" s="14" cm="1">
        <f t="array" ref="F246">'Question_Bank'!N246</f>
        <v>No</v>
      </c>
      <c r="G246" t="str" s="14" cm="1">
        <f t="array" ref="G246">IF(D246="MCQ","Correct=1, Incorrect=0",IF(F246="Yes","Reverse: 6-response","Direct: response score"))</f>
        <v>Correct=1, Incorrect=0</v>
      </c>
      <c r="H246" s="15"/>
    </row>
    <row r="247" ht="17.45" customHeight="1">
      <c r="A247" t="str" s="13" cm="1">
        <f t="array" ref="A247">'Question_Bank'!A247</f>
        <v>NPI0243</v>
      </c>
      <c r="B247" t="str" s="14" cm="1">
        <f t="array" ref="B247">'Question_Bank'!C247</f>
        <v>Cognitive Ability</v>
      </c>
      <c r="C247" t="str" s="14" cm="1">
        <f t="array" ref="C247">'Question_Bank'!D247</f>
        <v>Logic</v>
      </c>
      <c r="D247" t="str" s="14" cm="1">
        <f t="array" ref="D247">'Question_Bank'!F247</f>
        <v>MCQ</v>
      </c>
      <c r="E247" t="str" s="14" cm="1">
        <f t="array" ref="E247">'Question_Bank'!L247</f>
        <v>A</v>
      </c>
      <c r="F247" t="str" s="14" cm="1">
        <f t="array" ref="F247">'Question_Bank'!N247</f>
        <v>No</v>
      </c>
      <c r="G247" t="str" s="14" cm="1">
        <f t="array" ref="G247">IF(D247="MCQ","Correct=1, Incorrect=0",IF(F247="Yes","Reverse: 6-response","Direct: response score"))</f>
        <v>Correct=1, Incorrect=0</v>
      </c>
      <c r="H247" s="15"/>
    </row>
    <row r="248" ht="17.45" customHeight="1">
      <c r="A248" t="str" s="13" cm="1">
        <f t="array" ref="A248">'Question_Bank'!A248</f>
        <v>NPI0244</v>
      </c>
      <c r="B248" t="str" s="14" cm="1">
        <f t="array" ref="B248">'Question_Bank'!C248</f>
        <v>Cognitive Ability</v>
      </c>
      <c r="C248" t="str" s="14" cm="1">
        <f t="array" ref="C248">'Question_Bank'!D248</f>
        <v>Logic</v>
      </c>
      <c r="D248" t="str" s="14" cm="1">
        <f t="array" ref="D248">'Question_Bank'!F248</f>
        <v>MCQ</v>
      </c>
      <c r="E248" t="str" s="14" cm="1">
        <f t="array" ref="E248">'Question_Bank'!L248</f>
        <v>B</v>
      </c>
      <c r="F248" t="str" s="14" cm="1">
        <f t="array" ref="F248">'Question_Bank'!N248</f>
        <v>No</v>
      </c>
      <c r="G248" t="str" s="14" cm="1">
        <f t="array" ref="G248">IF(D248="MCQ","Correct=1, Incorrect=0",IF(F248="Yes","Reverse: 6-response","Direct: response score"))</f>
        <v>Correct=1, Incorrect=0</v>
      </c>
      <c r="H248" s="15"/>
    </row>
    <row r="249" ht="17.45" customHeight="1">
      <c r="A249" t="str" s="13" cm="1">
        <f t="array" ref="A249">'Question_Bank'!A249</f>
        <v>NPI0245</v>
      </c>
      <c r="B249" t="str" s="14" cm="1">
        <f t="array" ref="B249">'Question_Bank'!C249</f>
        <v>Cognitive Ability</v>
      </c>
      <c r="C249" t="str" s="14" cm="1">
        <f t="array" ref="C249">'Question_Bank'!D249</f>
        <v>Logic</v>
      </c>
      <c r="D249" t="str" s="14" cm="1">
        <f t="array" ref="D249">'Question_Bank'!F249</f>
        <v>MCQ</v>
      </c>
      <c r="E249" t="str" s="14" cm="1">
        <f t="array" ref="E249">'Question_Bank'!L249</f>
        <v>B</v>
      </c>
      <c r="F249" t="str" s="14" cm="1">
        <f t="array" ref="F249">'Question_Bank'!N249</f>
        <v>No</v>
      </c>
      <c r="G249" t="str" s="14" cm="1">
        <f t="array" ref="G249">IF(D249="MCQ","Correct=1, Incorrect=0",IF(F249="Yes","Reverse: 6-response","Direct: response score"))</f>
        <v>Correct=1, Incorrect=0</v>
      </c>
      <c r="H249" s="15"/>
    </row>
    <row r="250" ht="17.45" customHeight="1">
      <c r="A250" t="str" s="13" cm="1">
        <f t="array" ref="A250">'Question_Bank'!A250</f>
        <v>NPI0246</v>
      </c>
      <c r="B250" t="str" s="14" cm="1">
        <f t="array" ref="B250">'Question_Bank'!C250</f>
        <v>Cognitive Ability</v>
      </c>
      <c r="C250" t="str" s="14" cm="1">
        <f t="array" ref="C250">'Question_Bank'!D250</f>
        <v>Logic</v>
      </c>
      <c r="D250" t="str" s="14" cm="1">
        <f t="array" ref="D250">'Question_Bank'!F250</f>
        <v>MCQ</v>
      </c>
      <c r="E250" t="str" s="14" cm="1">
        <f t="array" ref="E250">'Question_Bank'!L250</f>
        <v>A</v>
      </c>
      <c r="F250" t="str" s="14" cm="1">
        <f t="array" ref="F250">'Question_Bank'!N250</f>
        <v>No</v>
      </c>
      <c r="G250" t="str" s="14" cm="1">
        <f t="array" ref="G250">IF(D250="MCQ","Correct=1, Incorrect=0",IF(F250="Yes","Reverse: 6-response","Direct: response score"))</f>
        <v>Correct=1, Incorrect=0</v>
      </c>
      <c r="H250" s="15"/>
    </row>
    <row r="251" ht="17.45" customHeight="1">
      <c r="A251" t="str" s="13" cm="1">
        <f t="array" ref="A251">'Question_Bank'!A251</f>
        <v>NPI0247</v>
      </c>
      <c r="B251" t="str" s="14" cm="1">
        <f t="array" ref="B251">'Question_Bank'!C251</f>
        <v>Cognitive Ability</v>
      </c>
      <c r="C251" t="str" s="14" cm="1">
        <f t="array" ref="C251">'Question_Bank'!D251</f>
        <v>Logic</v>
      </c>
      <c r="D251" t="str" s="14" cm="1">
        <f t="array" ref="D251">'Question_Bank'!F251</f>
        <v>MCQ</v>
      </c>
      <c r="E251" t="str" s="14" cm="1">
        <f t="array" ref="E251">'Question_Bank'!L251</f>
        <v>D</v>
      </c>
      <c r="F251" t="str" s="14" cm="1">
        <f t="array" ref="F251">'Question_Bank'!N251</f>
        <v>No</v>
      </c>
      <c r="G251" t="str" s="14" cm="1">
        <f t="array" ref="G251">IF(D251="MCQ","Correct=1, Incorrect=0",IF(F251="Yes","Reverse: 6-response","Direct: response score"))</f>
        <v>Correct=1, Incorrect=0</v>
      </c>
      <c r="H251" s="15"/>
    </row>
    <row r="252" ht="17.45" customHeight="1">
      <c r="A252" t="str" s="13" cm="1">
        <f t="array" ref="A252">'Question_Bank'!A252</f>
        <v>NPI0248</v>
      </c>
      <c r="B252" t="str" s="14" cm="1">
        <f t="array" ref="B252">'Question_Bank'!C252</f>
        <v>Cognitive Ability</v>
      </c>
      <c r="C252" t="str" s="14" cm="1">
        <f t="array" ref="C252">'Question_Bank'!D252</f>
        <v>Logic</v>
      </c>
      <c r="D252" t="str" s="14" cm="1">
        <f t="array" ref="D252">'Question_Bank'!F252</f>
        <v>MCQ</v>
      </c>
      <c r="E252" t="str" s="14" cm="1">
        <f t="array" ref="E252">'Question_Bank'!L252</f>
        <v>B</v>
      </c>
      <c r="F252" t="str" s="14" cm="1">
        <f t="array" ref="F252">'Question_Bank'!N252</f>
        <v>No</v>
      </c>
      <c r="G252" t="str" s="14" cm="1">
        <f t="array" ref="G252">IF(D252="MCQ","Correct=1, Incorrect=0",IF(F252="Yes","Reverse: 6-response","Direct: response score"))</f>
        <v>Correct=1, Incorrect=0</v>
      </c>
      <c r="H252" s="15"/>
    </row>
    <row r="253" ht="17.45" customHeight="1">
      <c r="A253" t="str" s="13" cm="1">
        <f t="array" ref="A253">'Question_Bank'!A253</f>
        <v>NPI0249</v>
      </c>
      <c r="B253" t="str" s="14" cm="1">
        <f t="array" ref="B253">'Question_Bank'!C253</f>
        <v>Cognitive Ability</v>
      </c>
      <c r="C253" t="str" s="14" cm="1">
        <f t="array" ref="C253">'Question_Bank'!D253</f>
        <v>Logic</v>
      </c>
      <c r="D253" t="str" s="14" cm="1">
        <f t="array" ref="D253">'Question_Bank'!F253</f>
        <v>MCQ</v>
      </c>
      <c r="E253" t="str" s="14" cm="1">
        <f t="array" ref="E253">'Question_Bank'!L253</f>
        <v>B</v>
      </c>
      <c r="F253" t="str" s="14" cm="1">
        <f t="array" ref="F253">'Question_Bank'!N253</f>
        <v>No</v>
      </c>
      <c r="G253" t="str" s="14" cm="1">
        <f t="array" ref="G253">IF(D253="MCQ","Correct=1, Incorrect=0",IF(F253="Yes","Reverse: 6-response","Direct: response score"))</f>
        <v>Correct=1, Incorrect=0</v>
      </c>
      <c r="H253" s="15"/>
    </row>
    <row r="254" ht="17.45" customHeight="1">
      <c r="A254" t="str" s="13" cm="1">
        <f t="array" ref="A254">'Question_Bank'!A254</f>
        <v>NPI0250</v>
      </c>
      <c r="B254" t="str" s="14" cm="1">
        <f t="array" ref="B254">'Question_Bank'!C254</f>
        <v>Cognitive Ability</v>
      </c>
      <c r="C254" t="str" s="14" cm="1">
        <f t="array" ref="C254">'Question_Bank'!D254</f>
        <v>Logic</v>
      </c>
      <c r="D254" t="str" s="14" cm="1">
        <f t="array" ref="D254">'Question_Bank'!F254</f>
        <v>MCQ</v>
      </c>
      <c r="E254" t="str" s="14" cm="1">
        <f t="array" ref="E254">'Question_Bank'!L254</f>
        <v>B</v>
      </c>
      <c r="F254" t="str" s="14" cm="1">
        <f t="array" ref="F254">'Question_Bank'!N254</f>
        <v>No</v>
      </c>
      <c r="G254" t="str" s="14" cm="1">
        <f t="array" ref="G254">IF(D254="MCQ","Correct=1, Incorrect=0",IF(F254="Yes","Reverse: 6-response","Direct: response score"))</f>
        <v>Correct=1, Incorrect=0</v>
      </c>
      <c r="H254" s="15"/>
    </row>
    <row r="255" ht="17.45" customHeight="1">
      <c r="A255" t="str" s="13" cm="1">
        <f t="array" ref="A255">'Question_Bank'!A255</f>
        <v>NPI0251</v>
      </c>
      <c r="B255" t="str" s="14" cm="1">
        <f t="array" ref="B255">'Question_Bank'!C255</f>
        <v>Cognitive Ability</v>
      </c>
      <c r="C255" t="str" s="14" cm="1">
        <f t="array" ref="C255">'Question_Bank'!D255</f>
        <v>Logic</v>
      </c>
      <c r="D255" t="str" s="14" cm="1">
        <f t="array" ref="D255">'Question_Bank'!F255</f>
        <v>MCQ</v>
      </c>
      <c r="E255" t="str" s="14" cm="1">
        <f t="array" ref="E255">'Question_Bank'!L255</f>
        <v>A</v>
      </c>
      <c r="F255" t="str" s="14" cm="1">
        <f t="array" ref="F255">'Question_Bank'!N255</f>
        <v>No</v>
      </c>
      <c r="G255" t="str" s="14" cm="1">
        <f t="array" ref="G255">IF(D255="MCQ","Correct=1, Incorrect=0",IF(F255="Yes","Reverse: 6-response","Direct: response score"))</f>
        <v>Correct=1, Incorrect=0</v>
      </c>
      <c r="H255" s="15"/>
    </row>
    <row r="256" ht="17.45" customHeight="1">
      <c r="A256" t="str" s="13" cm="1">
        <f t="array" ref="A256">'Question_Bank'!A256</f>
        <v>NPI0252</v>
      </c>
      <c r="B256" t="str" s="14" cm="1">
        <f t="array" ref="B256">'Question_Bank'!C256</f>
        <v>Cognitive Ability</v>
      </c>
      <c r="C256" t="str" s="14" cm="1">
        <f t="array" ref="C256">'Question_Bank'!D256</f>
        <v>Logic</v>
      </c>
      <c r="D256" t="str" s="14" cm="1">
        <f t="array" ref="D256">'Question_Bank'!F256</f>
        <v>MCQ</v>
      </c>
      <c r="E256" t="str" s="14" cm="1">
        <f t="array" ref="E256">'Question_Bank'!L256</f>
        <v>B</v>
      </c>
      <c r="F256" t="str" s="14" cm="1">
        <f t="array" ref="F256">'Question_Bank'!N256</f>
        <v>No</v>
      </c>
      <c r="G256" t="str" s="14" cm="1">
        <f t="array" ref="G256">IF(D256="MCQ","Correct=1, Incorrect=0",IF(F256="Yes","Reverse: 6-response","Direct: response score"))</f>
        <v>Correct=1, Incorrect=0</v>
      </c>
      <c r="H256" s="15"/>
    </row>
    <row r="257" ht="17.45" customHeight="1">
      <c r="A257" t="str" s="13" cm="1">
        <f t="array" ref="A257">'Question_Bank'!A257</f>
        <v>NPI0253</v>
      </c>
      <c r="B257" t="str" s="14" cm="1">
        <f t="array" ref="B257">'Question_Bank'!C257</f>
        <v>Cognitive Ability</v>
      </c>
      <c r="C257" t="str" s="14" cm="1">
        <f t="array" ref="C257">'Question_Bank'!D257</f>
        <v>Logic</v>
      </c>
      <c r="D257" t="str" s="14" cm="1">
        <f t="array" ref="D257">'Question_Bank'!F257</f>
        <v>MCQ</v>
      </c>
      <c r="E257" t="str" s="14" cm="1">
        <f t="array" ref="E257">'Question_Bank'!L257</f>
        <v>C</v>
      </c>
      <c r="F257" t="str" s="14" cm="1">
        <f t="array" ref="F257">'Question_Bank'!N257</f>
        <v>No</v>
      </c>
      <c r="G257" t="str" s="14" cm="1">
        <f t="array" ref="G257">IF(D257="MCQ","Correct=1, Incorrect=0",IF(F257="Yes","Reverse: 6-response","Direct: response score"))</f>
        <v>Correct=1, Incorrect=0</v>
      </c>
      <c r="H257" s="15"/>
    </row>
    <row r="258" ht="17.45" customHeight="1">
      <c r="A258" t="str" s="13" cm="1">
        <f t="array" ref="A258">'Question_Bank'!A258</f>
        <v>NPI0254</v>
      </c>
      <c r="B258" t="str" s="14" cm="1">
        <f t="array" ref="B258">'Question_Bank'!C258</f>
        <v>Cognitive Ability</v>
      </c>
      <c r="C258" t="str" s="14" cm="1">
        <f t="array" ref="C258">'Question_Bank'!D258</f>
        <v>Logic</v>
      </c>
      <c r="D258" t="str" s="14" cm="1">
        <f t="array" ref="D258">'Question_Bank'!F258</f>
        <v>MCQ</v>
      </c>
      <c r="E258" t="str" s="14" cm="1">
        <f t="array" ref="E258">'Question_Bank'!L258</f>
        <v>C</v>
      </c>
      <c r="F258" t="str" s="14" cm="1">
        <f t="array" ref="F258">'Question_Bank'!N258</f>
        <v>No</v>
      </c>
      <c r="G258" t="str" s="14" cm="1">
        <f t="array" ref="G258">IF(D258="MCQ","Correct=1, Incorrect=0",IF(F258="Yes","Reverse: 6-response","Direct: response score"))</f>
        <v>Correct=1, Incorrect=0</v>
      </c>
      <c r="H258" s="15"/>
    </row>
    <row r="259" ht="17.45" customHeight="1">
      <c r="A259" t="str" s="13" cm="1">
        <f t="array" ref="A259">'Question_Bank'!A259</f>
        <v>NPI0255</v>
      </c>
      <c r="B259" t="str" s="14" cm="1">
        <f t="array" ref="B259">'Question_Bank'!C259</f>
        <v>Cognitive Ability</v>
      </c>
      <c r="C259" t="str" s="14" cm="1">
        <f t="array" ref="C259">'Question_Bank'!D259</f>
        <v>Logic</v>
      </c>
      <c r="D259" t="str" s="14" cm="1">
        <f t="array" ref="D259">'Question_Bank'!F259</f>
        <v>MCQ</v>
      </c>
      <c r="E259" t="str" s="14" cm="1">
        <f t="array" ref="E259">'Question_Bank'!L259</f>
        <v>B</v>
      </c>
      <c r="F259" t="str" s="14" cm="1">
        <f t="array" ref="F259">'Question_Bank'!N259</f>
        <v>No</v>
      </c>
      <c r="G259" t="str" s="14" cm="1">
        <f t="array" ref="G259">IF(D259="MCQ","Correct=1, Incorrect=0",IF(F259="Yes","Reverse: 6-response","Direct: response score"))</f>
        <v>Correct=1, Incorrect=0</v>
      </c>
      <c r="H259" s="15"/>
    </row>
    <row r="260" ht="17.45" customHeight="1">
      <c r="A260" t="str" s="13" cm="1">
        <f t="array" ref="A260">'Question_Bank'!A260</f>
        <v>NPI0256</v>
      </c>
      <c r="B260" t="str" s="14" cm="1">
        <f t="array" ref="B260">'Question_Bank'!C260</f>
        <v>Cognitive Ability</v>
      </c>
      <c r="C260" t="str" s="14" cm="1">
        <f t="array" ref="C260">'Question_Bank'!D260</f>
        <v>Verbal</v>
      </c>
      <c r="D260" t="str" s="14" cm="1">
        <f t="array" ref="D260">'Question_Bank'!F260</f>
        <v>MCQ</v>
      </c>
      <c r="E260" t="str" s="14" cm="1">
        <f t="array" ref="E260">'Question_Bank'!L260</f>
        <v>B</v>
      </c>
      <c r="F260" t="str" s="14" cm="1">
        <f t="array" ref="F260">'Question_Bank'!N260</f>
        <v>No</v>
      </c>
      <c r="G260" t="str" s="14" cm="1">
        <f t="array" ref="G260">IF(D260="MCQ","Correct=1, Incorrect=0",IF(F260="Yes","Reverse: 6-response","Direct: response score"))</f>
        <v>Correct=1, Incorrect=0</v>
      </c>
      <c r="H260" s="15"/>
    </row>
    <row r="261" ht="17.45" customHeight="1">
      <c r="A261" t="str" s="13" cm="1">
        <f t="array" ref="A261">'Question_Bank'!A261</f>
        <v>NPI0257</v>
      </c>
      <c r="B261" t="str" s="14" cm="1">
        <f t="array" ref="B261">'Question_Bank'!C261</f>
        <v>Cognitive Ability</v>
      </c>
      <c r="C261" t="str" s="14" cm="1">
        <f t="array" ref="C261">'Question_Bank'!D261</f>
        <v>Verbal</v>
      </c>
      <c r="D261" t="str" s="14" cm="1">
        <f t="array" ref="D261">'Question_Bank'!F261</f>
        <v>MCQ</v>
      </c>
      <c r="E261" t="str" s="14" cm="1">
        <f t="array" ref="E261">'Question_Bank'!L261</f>
        <v>C</v>
      </c>
      <c r="F261" t="str" s="14" cm="1">
        <f t="array" ref="F261">'Question_Bank'!N261</f>
        <v>No</v>
      </c>
      <c r="G261" t="str" s="14" cm="1">
        <f t="array" ref="G261">IF(D261="MCQ","Correct=1, Incorrect=0",IF(F261="Yes","Reverse: 6-response","Direct: response score"))</f>
        <v>Correct=1, Incorrect=0</v>
      </c>
      <c r="H261" s="15"/>
    </row>
    <row r="262" ht="17.45" customHeight="1">
      <c r="A262" t="str" s="13" cm="1">
        <f t="array" ref="A262">'Question_Bank'!A262</f>
        <v>NPI0258</v>
      </c>
      <c r="B262" t="str" s="14" cm="1">
        <f t="array" ref="B262">'Question_Bank'!C262</f>
        <v>Cognitive Ability</v>
      </c>
      <c r="C262" t="str" s="14" cm="1">
        <f t="array" ref="C262">'Question_Bank'!D262</f>
        <v>Verbal</v>
      </c>
      <c r="D262" t="str" s="14" cm="1">
        <f t="array" ref="D262">'Question_Bank'!F262</f>
        <v>MCQ</v>
      </c>
      <c r="E262" t="str" s="14" cm="1">
        <f t="array" ref="E262">'Question_Bank'!L262</f>
        <v>B</v>
      </c>
      <c r="F262" t="str" s="14" cm="1">
        <f t="array" ref="F262">'Question_Bank'!N262</f>
        <v>No</v>
      </c>
      <c r="G262" t="str" s="14" cm="1">
        <f t="array" ref="G262">IF(D262="MCQ","Correct=1, Incorrect=0",IF(F262="Yes","Reverse: 6-response","Direct: response score"))</f>
        <v>Correct=1, Incorrect=0</v>
      </c>
      <c r="H262" s="15"/>
    </row>
    <row r="263" ht="17.45" customHeight="1">
      <c r="A263" t="str" s="13" cm="1">
        <f t="array" ref="A263">'Question_Bank'!A263</f>
        <v>NPI0259</v>
      </c>
      <c r="B263" t="str" s="14" cm="1">
        <f t="array" ref="B263">'Question_Bank'!C263</f>
        <v>Cognitive Ability</v>
      </c>
      <c r="C263" t="str" s="14" cm="1">
        <f t="array" ref="C263">'Question_Bank'!D263</f>
        <v>Verbal</v>
      </c>
      <c r="D263" t="str" s="14" cm="1">
        <f t="array" ref="D263">'Question_Bank'!F263</f>
        <v>MCQ</v>
      </c>
      <c r="E263" t="str" s="14" cm="1">
        <f t="array" ref="E263">'Question_Bank'!L263</f>
        <v>A</v>
      </c>
      <c r="F263" t="str" s="14" cm="1">
        <f t="array" ref="F263">'Question_Bank'!N263</f>
        <v>No</v>
      </c>
      <c r="G263" t="str" s="14" cm="1">
        <f t="array" ref="G263">IF(D263="MCQ","Correct=1, Incorrect=0",IF(F263="Yes","Reverse: 6-response","Direct: response score"))</f>
        <v>Correct=1, Incorrect=0</v>
      </c>
      <c r="H263" s="15"/>
    </row>
    <row r="264" ht="17.45" customHeight="1">
      <c r="A264" t="str" s="13" cm="1">
        <f t="array" ref="A264">'Question_Bank'!A264</f>
        <v>NPI0260</v>
      </c>
      <c r="B264" t="str" s="14" cm="1">
        <f t="array" ref="B264">'Question_Bank'!C264</f>
        <v>Cognitive Ability</v>
      </c>
      <c r="C264" t="str" s="14" cm="1">
        <f t="array" ref="C264">'Question_Bank'!D264</f>
        <v>Verbal</v>
      </c>
      <c r="D264" t="str" s="14" cm="1">
        <f t="array" ref="D264">'Question_Bank'!F264</f>
        <v>MCQ</v>
      </c>
      <c r="E264" t="str" s="14" cm="1">
        <f t="array" ref="E264">'Question_Bank'!L264</f>
        <v>B</v>
      </c>
      <c r="F264" t="str" s="14" cm="1">
        <f t="array" ref="F264">'Question_Bank'!N264</f>
        <v>No</v>
      </c>
      <c r="G264" t="str" s="14" cm="1">
        <f t="array" ref="G264">IF(D264="MCQ","Correct=1, Incorrect=0",IF(F264="Yes","Reverse: 6-response","Direct: response score"))</f>
        <v>Correct=1, Incorrect=0</v>
      </c>
      <c r="H264" s="15"/>
    </row>
    <row r="265" ht="17.45" customHeight="1">
      <c r="A265" t="str" s="13" cm="1">
        <f t="array" ref="A265">'Question_Bank'!A265</f>
        <v>NPI0261</v>
      </c>
      <c r="B265" t="str" s="14" cm="1">
        <f t="array" ref="B265">'Question_Bank'!C265</f>
        <v>Cognitive Ability</v>
      </c>
      <c r="C265" t="str" s="14" cm="1">
        <f t="array" ref="C265">'Question_Bank'!D265</f>
        <v>Verbal</v>
      </c>
      <c r="D265" t="str" s="14" cm="1">
        <f t="array" ref="D265">'Question_Bank'!F265</f>
        <v>MCQ</v>
      </c>
      <c r="E265" t="str" s="14" cm="1">
        <f t="array" ref="E265">'Question_Bank'!L265</f>
        <v>B</v>
      </c>
      <c r="F265" t="str" s="14" cm="1">
        <f t="array" ref="F265">'Question_Bank'!N265</f>
        <v>No</v>
      </c>
      <c r="G265" t="str" s="14" cm="1">
        <f t="array" ref="G265">IF(D265="MCQ","Correct=1, Incorrect=0",IF(F265="Yes","Reverse: 6-response","Direct: response score"))</f>
        <v>Correct=1, Incorrect=0</v>
      </c>
      <c r="H265" s="15"/>
    </row>
    <row r="266" ht="17.45" customHeight="1">
      <c r="A266" t="str" s="13" cm="1">
        <f t="array" ref="A266">'Question_Bank'!A266</f>
        <v>NPI0262</v>
      </c>
      <c r="B266" t="str" s="14" cm="1">
        <f t="array" ref="B266">'Question_Bank'!C266</f>
        <v>Cognitive Ability</v>
      </c>
      <c r="C266" t="str" s="14" cm="1">
        <f t="array" ref="C266">'Question_Bank'!D266</f>
        <v>Verbal</v>
      </c>
      <c r="D266" t="str" s="14" cm="1">
        <f t="array" ref="D266">'Question_Bank'!F266</f>
        <v>MCQ</v>
      </c>
      <c r="E266" t="str" s="14" cm="1">
        <f t="array" ref="E266">'Question_Bank'!L266</f>
        <v>B</v>
      </c>
      <c r="F266" t="str" s="14" cm="1">
        <f t="array" ref="F266">'Question_Bank'!N266</f>
        <v>No</v>
      </c>
      <c r="G266" t="str" s="14" cm="1">
        <f t="array" ref="G266">IF(D266="MCQ","Correct=1, Incorrect=0",IF(F266="Yes","Reverse: 6-response","Direct: response score"))</f>
        <v>Correct=1, Incorrect=0</v>
      </c>
      <c r="H266" s="15"/>
    </row>
    <row r="267" ht="17.45" customHeight="1">
      <c r="A267" t="str" s="13" cm="1">
        <f t="array" ref="A267">'Question_Bank'!A267</f>
        <v>NPI0263</v>
      </c>
      <c r="B267" t="str" s="14" cm="1">
        <f t="array" ref="B267">'Question_Bank'!C267</f>
        <v>Cognitive Ability</v>
      </c>
      <c r="C267" t="str" s="14" cm="1">
        <f t="array" ref="C267">'Question_Bank'!D267</f>
        <v>Verbal</v>
      </c>
      <c r="D267" t="str" s="14" cm="1">
        <f t="array" ref="D267">'Question_Bank'!F267</f>
        <v>MCQ</v>
      </c>
      <c r="E267" t="str" s="14" cm="1">
        <f t="array" ref="E267">'Question_Bank'!L267</f>
        <v>A</v>
      </c>
      <c r="F267" t="str" s="14" cm="1">
        <f t="array" ref="F267">'Question_Bank'!N267</f>
        <v>No</v>
      </c>
      <c r="G267" t="str" s="14" cm="1">
        <f t="array" ref="G267">IF(D267="MCQ","Correct=1, Incorrect=0",IF(F267="Yes","Reverse: 6-response","Direct: response score"))</f>
        <v>Correct=1, Incorrect=0</v>
      </c>
      <c r="H267" s="15"/>
    </row>
    <row r="268" ht="17.45" customHeight="1">
      <c r="A268" t="str" s="13" cm="1">
        <f t="array" ref="A268">'Question_Bank'!A268</f>
        <v>NPI0264</v>
      </c>
      <c r="B268" t="str" s="14" cm="1">
        <f t="array" ref="B268">'Question_Bank'!C268</f>
        <v>Cognitive Ability</v>
      </c>
      <c r="C268" t="str" s="14" cm="1">
        <f t="array" ref="C268">'Question_Bank'!D268</f>
        <v>Verbal</v>
      </c>
      <c r="D268" t="str" s="14" cm="1">
        <f t="array" ref="D268">'Question_Bank'!F268</f>
        <v>MCQ</v>
      </c>
      <c r="E268" t="str" s="14" cm="1">
        <f t="array" ref="E268">'Question_Bank'!L268</f>
        <v>D</v>
      </c>
      <c r="F268" t="str" s="14" cm="1">
        <f t="array" ref="F268">'Question_Bank'!N268</f>
        <v>No</v>
      </c>
      <c r="G268" t="str" s="14" cm="1">
        <f t="array" ref="G268">IF(D268="MCQ","Correct=1, Incorrect=0",IF(F268="Yes","Reverse: 6-response","Direct: response score"))</f>
        <v>Correct=1, Incorrect=0</v>
      </c>
      <c r="H268" s="15"/>
    </row>
    <row r="269" ht="17.45" customHeight="1">
      <c r="A269" t="str" s="13" cm="1">
        <f t="array" ref="A269">'Question_Bank'!A269</f>
        <v>NPI0265</v>
      </c>
      <c r="B269" t="str" s="14" cm="1">
        <f t="array" ref="B269">'Question_Bank'!C269</f>
        <v>Cognitive Ability</v>
      </c>
      <c r="C269" t="str" s="14" cm="1">
        <f t="array" ref="C269">'Question_Bank'!D269</f>
        <v>Verbal</v>
      </c>
      <c r="D269" t="str" s="14" cm="1">
        <f t="array" ref="D269">'Question_Bank'!F269</f>
        <v>MCQ</v>
      </c>
      <c r="E269" t="str" s="14" cm="1">
        <f t="array" ref="E269">'Question_Bank'!L269</f>
        <v>A</v>
      </c>
      <c r="F269" t="str" s="14" cm="1">
        <f t="array" ref="F269">'Question_Bank'!N269</f>
        <v>No</v>
      </c>
      <c r="G269" t="str" s="14" cm="1">
        <f t="array" ref="G269">IF(D269="MCQ","Correct=1, Incorrect=0",IF(F269="Yes","Reverse: 6-response","Direct: response score"))</f>
        <v>Correct=1, Incorrect=0</v>
      </c>
      <c r="H269" s="15"/>
    </row>
    <row r="270" ht="17.45" customHeight="1">
      <c r="A270" t="str" s="13" cm="1">
        <f t="array" ref="A270">'Question_Bank'!A270</f>
        <v>NPI0266</v>
      </c>
      <c r="B270" t="str" s="14" cm="1">
        <f t="array" ref="B270">'Question_Bank'!C270</f>
        <v>Cognitive Ability</v>
      </c>
      <c r="C270" t="str" s="14" cm="1">
        <f t="array" ref="C270">'Question_Bank'!D270</f>
        <v>Verbal</v>
      </c>
      <c r="D270" t="str" s="14" cm="1">
        <f t="array" ref="D270">'Question_Bank'!F270</f>
        <v>MCQ</v>
      </c>
      <c r="E270" t="str" s="14" cm="1">
        <f t="array" ref="E270">'Question_Bank'!L270</f>
        <v>A</v>
      </c>
      <c r="F270" t="str" s="14" cm="1">
        <f t="array" ref="F270">'Question_Bank'!N270</f>
        <v>No</v>
      </c>
      <c r="G270" t="str" s="14" cm="1">
        <f t="array" ref="G270">IF(D270="MCQ","Correct=1, Incorrect=0",IF(F270="Yes","Reverse: 6-response","Direct: response score"))</f>
        <v>Correct=1, Incorrect=0</v>
      </c>
      <c r="H270" s="15"/>
    </row>
    <row r="271" ht="17.45" customHeight="1">
      <c r="A271" t="str" s="13" cm="1">
        <f t="array" ref="A271">'Question_Bank'!A271</f>
        <v>NPI0267</v>
      </c>
      <c r="B271" t="str" s="14" cm="1">
        <f t="array" ref="B271">'Question_Bank'!C271</f>
        <v>Cognitive Ability</v>
      </c>
      <c r="C271" t="str" s="14" cm="1">
        <f t="array" ref="C271">'Question_Bank'!D271</f>
        <v>Verbal</v>
      </c>
      <c r="D271" t="str" s="14" cm="1">
        <f t="array" ref="D271">'Question_Bank'!F271</f>
        <v>MCQ</v>
      </c>
      <c r="E271" t="str" s="14" cm="1">
        <f t="array" ref="E271">'Question_Bank'!L271</f>
        <v>B</v>
      </c>
      <c r="F271" t="str" s="14" cm="1">
        <f t="array" ref="F271">'Question_Bank'!N271</f>
        <v>No</v>
      </c>
      <c r="G271" t="str" s="14" cm="1">
        <f t="array" ref="G271">IF(D271="MCQ","Correct=1, Incorrect=0",IF(F271="Yes","Reverse: 6-response","Direct: response score"))</f>
        <v>Correct=1, Incorrect=0</v>
      </c>
      <c r="H271" s="15"/>
    </row>
    <row r="272" ht="17.45" customHeight="1">
      <c r="A272" t="str" s="13" cm="1">
        <f t="array" ref="A272">'Question_Bank'!A272</f>
        <v>NPI0268</v>
      </c>
      <c r="B272" t="str" s="14" cm="1">
        <f t="array" ref="B272">'Question_Bank'!C272</f>
        <v>Cognitive Ability</v>
      </c>
      <c r="C272" t="str" s="14" cm="1">
        <f t="array" ref="C272">'Question_Bank'!D272</f>
        <v>Verbal</v>
      </c>
      <c r="D272" t="str" s="14" cm="1">
        <f t="array" ref="D272">'Question_Bank'!F272</f>
        <v>MCQ</v>
      </c>
      <c r="E272" t="str" s="14" cm="1">
        <f t="array" ref="E272">'Question_Bank'!L272</f>
        <v>B</v>
      </c>
      <c r="F272" t="str" s="14" cm="1">
        <f t="array" ref="F272">'Question_Bank'!N272</f>
        <v>No</v>
      </c>
      <c r="G272" t="str" s="14" cm="1">
        <f t="array" ref="G272">IF(D272="MCQ","Correct=1, Incorrect=0",IF(F272="Yes","Reverse: 6-response","Direct: response score"))</f>
        <v>Correct=1, Incorrect=0</v>
      </c>
      <c r="H272" s="15"/>
    </row>
    <row r="273" ht="17.45" customHeight="1">
      <c r="A273" t="str" s="13" cm="1">
        <f t="array" ref="A273">'Question_Bank'!A273</f>
        <v>NPI0269</v>
      </c>
      <c r="B273" t="str" s="14" cm="1">
        <f t="array" ref="B273">'Question_Bank'!C273</f>
        <v>Cognitive Ability</v>
      </c>
      <c r="C273" t="str" s="14" cm="1">
        <f t="array" ref="C273">'Question_Bank'!D273</f>
        <v>Verbal</v>
      </c>
      <c r="D273" t="str" s="14" cm="1">
        <f t="array" ref="D273">'Question_Bank'!F273</f>
        <v>MCQ</v>
      </c>
      <c r="E273" t="str" s="14" cm="1">
        <f t="array" ref="E273">'Question_Bank'!L273</f>
        <v>A</v>
      </c>
      <c r="F273" t="str" s="14" cm="1">
        <f t="array" ref="F273">'Question_Bank'!N273</f>
        <v>No</v>
      </c>
      <c r="G273" t="str" s="14" cm="1">
        <f t="array" ref="G273">IF(D273="MCQ","Correct=1, Incorrect=0",IF(F273="Yes","Reverse: 6-response","Direct: response score"))</f>
        <v>Correct=1, Incorrect=0</v>
      </c>
      <c r="H273" s="15"/>
    </row>
    <row r="274" ht="17.45" customHeight="1">
      <c r="A274" t="str" s="13" cm="1">
        <f t="array" ref="A274">'Question_Bank'!A274</f>
        <v>NPI0270</v>
      </c>
      <c r="B274" t="str" s="14" cm="1">
        <f t="array" ref="B274">'Question_Bank'!C274</f>
        <v>Cognitive Ability</v>
      </c>
      <c r="C274" t="str" s="14" cm="1">
        <f t="array" ref="C274">'Question_Bank'!D274</f>
        <v>Verbal</v>
      </c>
      <c r="D274" t="str" s="14" cm="1">
        <f t="array" ref="D274">'Question_Bank'!F274</f>
        <v>MCQ</v>
      </c>
      <c r="E274" t="str" s="14" cm="1">
        <f t="array" ref="E274">'Question_Bank'!L274</f>
        <v>B</v>
      </c>
      <c r="F274" t="str" s="14" cm="1">
        <f t="array" ref="F274">'Question_Bank'!N274</f>
        <v>No</v>
      </c>
      <c r="G274" t="str" s="14" cm="1">
        <f t="array" ref="G274">IF(D274="MCQ","Correct=1, Incorrect=0",IF(F274="Yes","Reverse: 6-response","Direct: response score"))</f>
        <v>Correct=1, Incorrect=0</v>
      </c>
      <c r="H274" s="15"/>
    </row>
    <row r="275" ht="17.45" customHeight="1">
      <c r="A275" t="str" s="13" cm="1">
        <f t="array" ref="A275">'Question_Bank'!A275</f>
        <v>NPI0271</v>
      </c>
      <c r="B275" t="str" s="14" cm="1">
        <f t="array" ref="B275">'Question_Bank'!C275</f>
        <v>Cognitive Ability</v>
      </c>
      <c r="C275" t="str" s="14" cm="1">
        <f t="array" ref="C275">'Question_Bank'!D275</f>
        <v>Verbal</v>
      </c>
      <c r="D275" t="str" s="14" cm="1">
        <f t="array" ref="D275">'Question_Bank'!F275</f>
        <v>MCQ</v>
      </c>
      <c r="E275" t="str" s="14" cm="1">
        <f t="array" ref="E275">'Question_Bank'!L275</f>
        <v>A</v>
      </c>
      <c r="F275" t="str" s="14" cm="1">
        <f t="array" ref="F275">'Question_Bank'!N275</f>
        <v>No</v>
      </c>
      <c r="G275" t="str" s="14" cm="1">
        <f t="array" ref="G275">IF(D275="MCQ","Correct=1, Incorrect=0",IF(F275="Yes","Reverse: 6-response","Direct: response score"))</f>
        <v>Correct=1, Incorrect=0</v>
      </c>
      <c r="H275" s="15"/>
    </row>
    <row r="276" ht="17.45" customHeight="1">
      <c r="A276" t="str" s="13" cm="1">
        <f t="array" ref="A276">'Question_Bank'!A276</f>
        <v>NPI0272</v>
      </c>
      <c r="B276" t="str" s="14" cm="1">
        <f t="array" ref="B276">'Question_Bank'!C276</f>
        <v>Cognitive Ability</v>
      </c>
      <c r="C276" t="str" s="14" cm="1">
        <f t="array" ref="C276">'Question_Bank'!D276</f>
        <v>Verbal</v>
      </c>
      <c r="D276" t="str" s="14" cm="1">
        <f t="array" ref="D276">'Question_Bank'!F276</f>
        <v>MCQ</v>
      </c>
      <c r="E276" t="str" s="14" cm="1">
        <f t="array" ref="E276">'Question_Bank'!L276</f>
        <v>B</v>
      </c>
      <c r="F276" t="str" s="14" cm="1">
        <f t="array" ref="F276">'Question_Bank'!N276</f>
        <v>No</v>
      </c>
      <c r="G276" t="str" s="14" cm="1">
        <f t="array" ref="G276">IF(D276="MCQ","Correct=1, Incorrect=0",IF(F276="Yes","Reverse: 6-response","Direct: response score"))</f>
        <v>Correct=1, Incorrect=0</v>
      </c>
      <c r="H276" s="15"/>
    </row>
    <row r="277" ht="17.45" customHeight="1">
      <c r="A277" t="str" s="13" cm="1">
        <f t="array" ref="A277">'Question_Bank'!A277</f>
        <v>NPI0273</v>
      </c>
      <c r="B277" t="str" s="14" cm="1">
        <f t="array" ref="B277">'Question_Bank'!C277</f>
        <v>Cognitive Ability</v>
      </c>
      <c r="C277" t="str" s="14" cm="1">
        <f t="array" ref="C277">'Question_Bank'!D277</f>
        <v>Verbal</v>
      </c>
      <c r="D277" t="str" s="14" cm="1">
        <f t="array" ref="D277">'Question_Bank'!F277</f>
        <v>MCQ</v>
      </c>
      <c r="E277" t="str" s="14" cm="1">
        <f t="array" ref="E277">'Question_Bank'!L277</f>
        <v>A</v>
      </c>
      <c r="F277" t="str" s="14" cm="1">
        <f t="array" ref="F277">'Question_Bank'!N277</f>
        <v>No</v>
      </c>
      <c r="G277" t="str" s="14" cm="1">
        <f t="array" ref="G277">IF(D277="MCQ","Correct=1, Incorrect=0",IF(F277="Yes","Reverse: 6-response","Direct: response score"))</f>
        <v>Correct=1, Incorrect=0</v>
      </c>
      <c r="H277" s="15"/>
    </row>
    <row r="278" ht="17.45" customHeight="1">
      <c r="A278" t="str" s="13" cm="1">
        <f t="array" ref="A278">'Question_Bank'!A278</f>
        <v>NPI0274</v>
      </c>
      <c r="B278" t="str" s="14" cm="1">
        <f t="array" ref="B278">'Question_Bank'!C278</f>
        <v>Cognitive Ability</v>
      </c>
      <c r="C278" t="str" s="14" cm="1">
        <f t="array" ref="C278">'Question_Bank'!D278</f>
        <v>Verbal</v>
      </c>
      <c r="D278" t="str" s="14" cm="1">
        <f t="array" ref="D278">'Question_Bank'!F278</f>
        <v>MCQ</v>
      </c>
      <c r="E278" t="str" s="14" cm="1">
        <f t="array" ref="E278">'Question_Bank'!L278</f>
        <v>A</v>
      </c>
      <c r="F278" t="str" s="14" cm="1">
        <f t="array" ref="F278">'Question_Bank'!N278</f>
        <v>No</v>
      </c>
      <c r="G278" t="str" s="14" cm="1">
        <f t="array" ref="G278">IF(D278="MCQ","Correct=1, Incorrect=0",IF(F278="Yes","Reverse: 6-response","Direct: response score"))</f>
        <v>Correct=1, Incorrect=0</v>
      </c>
      <c r="H278" s="15"/>
    </row>
    <row r="279" ht="17.45" customHeight="1">
      <c r="A279" t="str" s="13" cm="1">
        <f t="array" ref="A279">'Question_Bank'!A279</f>
        <v>NPI0275</v>
      </c>
      <c r="B279" t="str" s="14" cm="1">
        <f t="array" ref="B279">'Question_Bank'!C279</f>
        <v>Cognitive Ability</v>
      </c>
      <c r="C279" t="str" s="14" cm="1">
        <f t="array" ref="C279">'Question_Bank'!D279</f>
        <v>Verbal</v>
      </c>
      <c r="D279" t="str" s="14" cm="1">
        <f t="array" ref="D279">'Question_Bank'!F279</f>
        <v>MCQ</v>
      </c>
      <c r="E279" t="str" s="14" cm="1">
        <f t="array" ref="E279">'Question_Bank'!L279</f>
        <v>A</v>
      </c>
      <c r="F279" t="str" s="14" cm="1">
        <f t="array" ref="F279">'Question_Bank'!N279</f>
        <v>No</v>
      </c>
      <c r="G279" t="str" s="14" cm="1">
        <f t="array" ref="G279">IF(D279="MCQ","Correct=1, Incorrect=0",IF(F279="Yes","Reverse: 6-response","Direct: response score"))</f>
        <v>Correct=1, Incorrect=0</v>
      </c>
      <c r="H279" s="15"/>
    </row>
    <row r="280" ht="17.45" customHeight="1">
      <c r="A280" t="str" s="13" cm="1">
        <f t="array" ref="A280">'Question_Bank'!A280</f>
        <v>NPI0276</v>
      </c>
      <c r="B280" t="str" s="14" cm="1">
        <f t="array" ref="B280">'Question_Bank'!C280</f>
        <v>Cognitive Ability</v>
      </c>
      <c r="C280" t="str" s="14" cm="1">
        <f t="array" ref="C280">'Question_Bank'!D280</f>
        <v>Abstract</v>
      </c>
      <c r="D280" t="str" s="14" cm="1">
        <f t="array" ref="D280">'Question_Bank'!F280</f>
        <v>MCQ</v>
      </c>
      <c r="E280" t="str" s="14" cm="1">
        <f t="array" ref="E280">'Question_Bank'!L280</f>
        <v>A</v>
      </c>
      <c r="F280" t="str" s="14" cm="1">
        <f t="array" ref="F280">'Question_Bank'!N280</f>
        <v>No</v>
      </c>
      <c r="G280" t="str" s="14" cm="1">
        <f t="array" ref="G280">IF(D280="MCQ","Correct=1, Incorrect=0",IF(F280="Yes","Reverse: 6-response","Direct: response score"))</f>
        <v>Correct=1, Incorrect=0</v>
      </c>
      <c r="H280" s="15"/>
    </row>
    <row r="281" ht="17.45" customHeight="1">
      <c r="A281" t="str" s="13" cm="1">
        <f t="array" ref="A281">'Question_Bank'!A281</f>
        <v>NPI0277</v>
      </c>
      <c r="B281" t="str" s="14" cm="1">
        <f t="array" ref="B281">'Question_Bank'!C281</f>
        <v>Cognitive Ability</v>
      </c>
      <c r="C281" t="str" s="14" cm="1">
        <f t="array" ref="C281">'Question_Bank'!D281</f>
        <v>Abstract</v>
      </c>
      <c r="D281" t="str" s="14" cm="1">
        <f t="array" ref="D281">'Question_Bank'!F281</f>
        <v>MCQ</v>
      </c>
      <c r="E281" t="str" s="14" cm="1">
        <f t="array" ref="E281">'Question_Bank'!L281</f>
        <v>B</v>
      </c>
      <c r="F281" t="str" s="14" cm="1">
        <f t="array" ref="F281">'Question_Bank'!N281</f>
        <v>No</v>
      </c>
      <c r="G281" t="str" s="14" cm="1">
        <f t="array" ref="G281">IF(D281="MCQ","Correct=1, Incorrect=0",IF(F281="Yes","Reverse: 6-response","Direct: response score"))</f>
        <v>Correct=1, Incorrect=0</v>
      </c>
      <c r="H281" s="15"/>
    </row>
    <row r="282" ht="17.45" customHeight="1">
      <c r="A282" t="str" s="13" cm="1">
        <f t="array" ref="A282">'Question_Bank'!A282</f>
        <v>NPI0278</v>
      </c>
      <c r="B282" t="str" s="14" cm="1">
        <f t="array" ref="B282">'Question_Bank'!C282</f>
        <v>Cognitive Ability</v>
      </c>
      <c r="C282" t="str" s="14" cm="1">
        <f t="array" ref="C282">'Question_Bank'!D282</f>
        <v>Abstract</v>
      </c>
      <c r="D282" t="str" s="14" cm="1">
        <f t="array" ref="D282">'Question_Bank'!F282</f>
        <v>MCQ</v>
      </c>
      <c r="E282" t="str" s="14" cm="1">
        <f t="array" ref="E282">'Question_Bank'!L282</f>
        <v>D</v>
      </c>
      <c r="F282" t="str" s="14" cm="1">
        <f t="array" ref="F282">'Question_Bank'!N282</f>
        <v>No</v>
      </c>
      <c r="G282" t="str" s="14" cm="1">
        <f t="array" ref="G282">IF(D282="MCQ","Correct=1, Incorrect=0",IF(F282="Yes","Reverse: 6-response","Direct: response score"))</f>
        <v>Correct=1, Incorrect=0</v>
      </c>
      <c r="H282" s="15"/>
    </row>
    <row r="283" ht="17.45" customHeight="1">
      <c r="A283" t="str" s="13" cm="1">
        <f t="array" ref="A283">'Question_Bank'!A283</f>
        <v>NPI0279</v>
      </c>
      <c r="B283" t="str" s="14" cm="1">
        <f t="array" ref="B283">'Question_Bank'!C283</f>
        <v>Cognitive Ability</v>
      </c>
      <c r="C283" t="str" s="14" cm="1">
        <f t="array" ref="C283">'Question_Bank'!D283</f>
        <v>Abstract</v>
      </c>
      <c r="D283" t="str" s="14" cm="1">
        <f t="array" ref="D283">'Question_Bank'!F283</f>
        <v>MCQ</v>
      </c>
      <c r="E283" t="str" s="14" cm="1">
        <f t="array" ref="E283">'Question_Bank'!L283</f>
        <v>A</v>
      </c>
      <c r="F283" t="str" s="14" cm="1">
        <f t="array" ref="F283">'Question_Bank'!N283</f>
        <v>No</v>
      </c>
      <c r="G283" t="str" s="14" cm="1">
        <f t="array" ref="G283">IF(D283="MCQ","Correct=1, Incorrect=0",IF(F283="Yes","Reverse: 6-response","Direct: response score"))</f>
        <v>Correct=1, Incorrect=0</v>
      </c>
      <c r="H283" s="15"/>
    </row>
    <row r="284" ht="17.45" customHeight="1">
      <c r="A284" t="str" s="13" cm="1">
        <f t="array" ref="A284">'Question_Bank'!A284</f>
        <v>NPI0280</v>
      </c>
      <c r="B284" t="str" s="14" cm="1">
        <f t="array" ref="B284">'Question_Bank'!C284</f>
        <v>Cognitive Ability</v>
      </c>
      <c r="C284" t="str" s="14" cm="1">
        <f t="array" ref="C284">'Question_Bank'!D284</f>
        <v>Abstract</v>
      </c>
      <c r="D284" t="str" s="14" cm="1">
        <f t="array" ref="D284">'Question_Bank'!F284</f>
        <v>MCQ</v>
      </c>
      <c r="E284" t="str" s="14" cm="1">
        <f t="array" ref="E284">'Question_Bank'!L284</f>
        <v>A</v>
      </c>
      <c r="F284" t="str" s="14" cm="1">
        <f t="array" ref="F284">'Question_Bank'!N284</f>
        <v>No</v>
      </c>
      <c r="G284" t="str" s="14" cm="1">
        <f t="array" ref="G284">IF(D284="MCQ","Correct=1, Incorrect=0",IF(F284="Yes","Reverse: 6-response","Direct: response score"))</f>
        <v>Correct=1, Incorrect=0</v>
      </c>
      <c r="H284" s="15"/>
    </row>
    <row r="285" ht="17.45" customHeight="1">
      <c r="A285" t="str" s="13" cm="1">
        <f t="array" ref="A285">'Question_Bank'!A285</f>
        <v>NPI0281</v>
      </c>
      <c r="B285" t="str" s="14" cm="1">
        <f t="array" ref="B285">'Question_Bank'!C285</f>
        <v>Cognitive Ability</v>
      </c>
      <c r="C285" t="str" s="14" cm="1">
        <f t="array" ref="C285">'Question_Bank'!D285</f>
        <v>Abstract</v>
      </c>
      <c r="D285" t="str" s="14" cm="1">
        <f t="array" ref="D285">'Question_Bank'!F285</f>
        <v>MCQ</v>
      </c>
      <c r="E285" t="str" s="14" cm="1">
        <f t="array" ref="E285">'Question_Bank'!L285</f>
        <v>B</v>
      </c>
      <c r="F285" t="str" s="14" cm="1">
        <f t="array" ref="F285">'Question_Bank'!N285</f>
        <v>No</v>
      </c>
      <c r="G285" t="str" s="14" cm="1">
        <f t="array" ref="G285">IF(D285="MCQ","Correct=1, Incorrect=0",IF(F285="Yes","Reverse: 6-response","Direct: response score"))</f>
        <v>Correct=1, Incorrect=0</v>
      </c>
      <c r="H285" s="15"/>
    </row>
    <row r="286" ht="17.45" customHeight="1">
      <c r="A286" t="str" s="13" cm="1">
        <f t="array" ref="A286">'Question_Bank'!A286</f>
        <v>NPI0282</v>
      </c>
      <c r="B286" t="str" s="14" cm="1">
        <f t="array" ref="B286">'Question_Bank'!C286</f>
        <v>Cognitive Ability</v>
      </c>
      <c r="C286" t="str" s="14" cm="1">
        <f t="array" ref="C286">'Question_Bank'!D286</f>
        <v>Abstract</v>
      </c>
      <c r="D286" t="str" s="14" cm="1">
        <f t="array" ref="D286">'Question_Bank'!F286</f>
        <v>MCQ</v>
      </c>
      <c r="E286" t="str" s="14" cm="1">
        <f t="array" ref="E286">'Question_Bank'!L286</f>
        <v>A</v>
      </c>
      <c r="F286" t="str" s="14" cm="1">
        <f t="array" ref="F286">'Question_Bank'!N286</f>
        <v>No</v>
      </c>
      <c r="G286" t="str" s="14" cm="1">
        <f t="array" ref="G286">IF(D286="MCQ","Correct=1, Incorrect=0",IF(F286="Yes","Reverse: 6-response","Direct: response score"))</f>
        <v>Correct=1, Incorrect=0</v>
      </c>
      <c r="H286" s="15"/>
    </row>
    <row r="287" ht="17.45" customHeight="1">
      <c r="A287" t="str" s="13" cm="1">
        <f t="array" ref="A287">'Question_Bank'!A287</f>
        <v>NPI0283</v>
      </c>
      <c r="B287" t="str" s="14" cm="1">
        <f t="array" ref="B287">'Question_Bank'!C287</f>
        <v>Cognitive Ability</v>
      </c>
      <c r="C287" t="str" s="14" cm="1">
        <f t="array" ref="C287">'Question_Bank'!D287</f>
        <v>Abstract</v>
      </c>
      <c r="D287" t="str" s="14" cm="1">
        <f t="array" ref="D287">'Question_Bank'!F287</f>
        <v>MCQ</v>
      </c>
      <c r="E287" t="str" s="14" cm="1">
        <f t="array" ref="E287">'Question_Bank'!L287</f>
        <v>C</v>
      </c>
      <c r="F287" t="str" s="14" cm="1">
        <f t="array" ref="F287">'Question_Bank'!N287</f>
        <v>No</v>
      </c>
      <c r="G287" t="str" s="14" cm="1">
        <f t="array" ref="G287">IF(D287="MCQ","Correct=1, Incorrect=0",IF(F287="Yes","Reverse: 6-response","Direct: response score"))</f>
        <v>Correct=1, Incorrect=0</v>
      </c>
      <c r="H287" s="15"/>
    </row>
    <row r="288" ht="17.45" customHeight="1">
      <c r="A288" t="str" s="13" cm="1">
        <f t="array" ref="A288">'Question_Bank'!A288</f>
        <v>NPI0284</v>
      </c>
      <c r="B288" t="str" s="14" cm="1">
        <f t="array" ref="B288">'Question_Bank'!C288</f>
        <v>Cognitive Ability</v>
      </c>
      <c r="C288" t="str" s="14" cm="1">
        <f t="array" ref="C288">'Question_Bank'!D288</f>
        <v>Abstract</v>
      </c>
      <c r="D288" t="str" s="14" cm="1">
        <f t="array" ref="D288">'Question_Bank'!F288</f>
        <v>MCQ</v>
      </c>
      <c r="E288" t="str" s="14" cm="1">
        <f t="array" ref="E288">'Question_Bank'!L288</f>
        <v>C</v>
      </c>
      <c r="F288" t="str" s="14" cm="1">
        <f t="array" ref="F288">'Question_Bank'!N288</f>
        <v>No</v>
      </c>
      <c r="G288" t="str" s="14" cm="1">
        <f t="array" ref="G288">IF(D288="MCQ","Correct=1, Incorrect=0",IF(F288="Yes","Reverse: 6-response","Direct: response score"))</f>
        <v>Correct=1, Incorrect=0</v>
      </c>
      <c r="H288" s="15"/>
    </row>
    <row r="289" ht="17.45" customHeight="1">
      <c r="A289" t="str" s="13" cm="1">
        <f t="array" ref="A289">'Question_Bank'!A289</f>
        <v>NPI0285</v>
      </c>
      <c r="B289" t="str" s="14" cm="1">
        <f t="array" ref="B289">'Question_Bank'!C289</f>
        <v>Cognitive Ability</v>
      </c>
      <c r="C289" t="str" s="14" cm="1">
        <f t="array" ref="C289">'Question_Bank'!D289</f>
        <v>Abstract</v>
      </c>
      <c r="D289" t="str" s="14" cm="1">
        <f t="array" ref="D289">'Question_Bank'!F289</f>
        <v>MCQ</v>
      </c>
      <c r="E289" t="str" s="14" cm="1">
        <f t="array" ref="E289">'Question_Bank'!L289</f>
        <v>B</v>
      </c>
      <c r="F289" t="str" s="14" cm="1">
        <f t="array" ref="F289">'Question_Bank'!N289</f>
        <v>No</v>
      </c>
      <c r="G289" t="str" s="14" cm="1">
        <f t="array" ref="G289">IF(D289="MCQ","Correct=1, Incorrect=0",IF(F289="Yes","Reverse: 6-response","Direct: response score"))</f>
        <v>Correct=1, Incorrect=0</v>
      </c>
      <c r="H289" s="15"/>
    </row>
    <row r="290" ht="17.45" customHeight="1">
      <c r="A290" t="str" s="13" cm="1">
        <f t="array" ref="A290">'Question_Bank'!A290</f>
        <v>NPI0286</v>
      </c>
      <c r="B290" t="str" s="14" cm="1">
        <f t="array" ref="B290">'Question_Bank'!C290</f>
        <v>Cognitive Ability</v>
      </c>
      <c r="C290" t="str" s="14" cm="1">
        <f t="array" ref="C290">'Question_Bank'!D290</f>
        <v>Abstract</v>
      </c>
      <c r="D290" t="str" s="14" cm="1">
        <f t="array" ref="D290">'Question_Bank'!F290</f>
        <v>MCQ</v>
      </c>
      <c r="E290" t="str" s="14" cm="1">
        <f t="array" ref="E290">'Question_Bank'!L290</f>
        <v>D</v>
      </c>
      <c r="F290" t="str" s="14" cm="1">
        <f t="array" ref="F290">'Question_Bank'!N290</f>
        <v>No</v>
      </c>
      <c r="G290" t="str" s="14" cm="1">
        <f t="array" ref="G290">IF(D290="MCQ","Correct=1, Incorrect=0",IF(F290="Yes","Reverse: 6-response","Direct: response score"))</f>
        <v>Correct=1, Incorrect=0</v>
      </c>
      <c r="H290" s="15"/>
    </row>
    <row r="291" ht="17.45" customHeight="1">
      <c r="A291" t="str" s="13" cm="1">
        <f t="array" ref="A291">'Question_Bank'!A291</f>
        <v>NPI0287</v>
      </c>
      <c r="B291" t="str" s="14" cm="1">
        <f t="array" ref="B291">'Question_Bank'!C291</f>
        <v>Cognitive Ability</v>
      </c>
      <c r="C291" t="str" s="14" cm="1">
        <f t="array" ref="C291">'Question_Bank'!D291</f>
        <v>Abstract</v>
      </c>
      <c r="D291" t="str" s="14" cm="1">
        <f t="array" ref="D291">'Question_Bank'!F291</f>
        <v>MCQ</v>
      </c>
      <c r="E291" t="str" s="14" cm="1">
        <f t="array" ref="E291">'Question_Bank'!L291</f>
        <v>B</v>
      </c>
      <c r="F291" t="str" s="14" cm="1">
        <f t="array" ref="F291">'Question_Bank'!N291</f>
        <v>No</v>
      </c>
      <c r="G291" t="str" s="14" cm="1">
        <f t="array" ref="G291">IF(D291="MCQ","Correct=1, Incorrect=0",IF(F291="Yes","Reverse: 6-response","Direct: response score"))</f>
        <v>Correct=1, Incorrect=0</v>
      </c>
      <c r="H291" s="15"/>
    </row>
    <row r="292" ht="17.45" customHeight="1">
      <c r="A292" t="str" s="13" cm="1">
        <f t="array" ref="A292">'Question_Bank'!A292</f>
        <v>NPI0288</v>
      </c>
      <c r="B292" t="str" s="14" cm="1">
        <f t="array" ref="B292">'Question_Bank'!C292</f>
        <v>Cognitive Ability</v>
      </c>
      <c r="C292" t="str" s="14" cm="1">
        <f t="array" ref="C292">'Question_Bank'!D292</f>
        <v>Abstract</v>
      </c>
      <c r="D292" t="str" s="14" cm="1">
        <f t="array" ref="D292">'Question_Bank'!F292</f>
        <v>MCQ</v>
      </c>
      <c r="E292" t="str" s="14" cm="1">
        <f t="array" ref="E292">'Question_Bank'!L292</f>
        <v>C</v>
      </c>
      <c r="F292" t="str" s="14" cm="1">
        <f t="array" ref="F292">'Question_Bank'!N292</f>
        <v>No</v>
      </c>
      <c r="G292" t="str" s="14" cm="1">
        <f t="array" ref="G292">IF(D292="MCQ","Correct=1, Incorrect=0",IF(F292="Yes","Reverse: 6-response","Direct: response score"))</f>
        <v>Correct=1, Incorrect=0</v>
      </c>
      <c r="H292" s="15"/>
    </row>
    <row r="293" ht="17.45" customHeight="1">
      <c r="A293" t="str" s="13" cm="1">
        <f t="array" ref="A293">'Question_Bank'!A293</f>
        <v>NPI0289</v>
      </c>
      <c r="B293" t="str" s="14" cm="1">
        <f t="array" ref="B293">'Question_Bank'!C293</f>
        <v>Cognitive Ability</v>
      </c>
      <c r="C293" t="str" s="14" cm="1">
        <f t="array" ref="C293">'Question_Bank'!D293</f>
        <v>Abstract</v>
      </c>
      <c r="D293" t="str" s="14" cm="1">
        <f t="array" ref="D293">'Question_Bank'!F293</f>
        <v>MCQ</v>
      </c>
      <c r="E293" t="str" s="14" cm="1">
        <f t="array" ref="E293">'Question_Bank'!L293</f>
        <v>C</v>
      </c>
      <c r="F293" t="str" s="14" cm="1">
        <f t="array" ref="F293">'Question_Bank'!N293</f>
        <v>No</v>
      </c>
      <c r="G293" t="str" s="14" cm="1">
        <f t="array" ref="G293">IF(D293="MCQ","Correct=1, Incorrect=0",IF(F293="Yes","Reverse: 6-response","Direct: response score"))</f>
        <v>Correct=1, Incorrect=0</v>
      </c>
      <c r="H293" s="15"/>
    </row>
    <row r="294" ht="17.45" customHeight="1">
      <c r="A294" t="str" s="13" cm="1">
        <f t="array" ref="A294">'Question_Bank'!A294</f>
        <v>NPI0290</v>
      </c>
      <c r="B294" t="str" s="14" cm="1">
        <f t="array" ref="B294">'Question_Bank'!C294</f>
        <v>Cognitive Ability</v>
      </c>
      <c r="C294" t="str" s="14" cm="1">
        <f t="array" ref="C294">'Question_Bank'!D294</f>
        <v>Abstract</v>
      </c>
      <c r="D294" t="str" s="14" cm="1">
        <f t="array" ref="D294">'Question_Bank'!F294</f>
        <v>MCQ</v>
      </c>
      <c r="E294" t="str" s="14" cm="1">
        <f t="array" ref="E294">'Question_Bank'!L294</f>
        <v>B</v>
      </c>
      <c r="F294" t="str" s="14" cm="1">
        <f t="array" ref="F294">'Question_Bank'!N294</f>
        <v>No</v>
      </c>
      <c r="G294" t="str" s="14" cm="1">
        <f t="array" ref="G294">IF(D294="MCQ","Correct=1, Incorrect=0",IF(F294="Yes","Reverse: 6-response","Direct: response score"))</f>
        <v>Correct=1, Incorrect=0</v>
      </c>
      <c r="H294" s="15"/>
    </row>
    <row r="295" ht="17.45" customHeight="1">
      <c r="A295" t="str" s="13" cm="1">
        <f t="array" ref="A295">'Question_Bank'!A295</f>
        <v>NPI0291</v>
      </c>
      <c r="B295" t="str" s="14" cm="1">
        <f t="array" ref="B295">'Question_Bank'!C295</f>
        <v>Cognitive Ability</v>
      </c>
      <c r="C295" t="str" s="14" cm="1">
        <f t="array" ref="C295">'Question_Bank'!D295</f>
        <v>Abstract</v>
      </c>
      <c r="D295" t="str" s="14" cm="1">
        <f t="array" ref="D295">'Question_Bank'!F295</f>
        <v>MCQ</v>
      </c>
      <c r="E295" t="str" s="14" cm="1">
        <f t="array" ref="E295">'Question_Bank'!L295</f>
        <v>A</v>
      </c>
      <c r="F295" t="str" s="14" cm="1">
        <f t="array" ref="F295">'Question_Bank'!N295</f>
        <v>No</v>
      </c>
      <c r="G295" t="str" s="14" cm="1">
        <f t="array" ref="G295">IF(D295="MCQ","Correct=1, Incorrect=0",IF(F295="Yes","Reverse: 6-response","Direct: response score"))</f>
        <v>Correct=1, Incorrect=0</v>
      </c>
      <c r="H295" s="15"/>
    </row>
    <row r="296" ht="17.45" customHeight="1">
      <c r="A296" t="str" s="13" cm="1">
        <f t="array" ref="A296">'Question_Bank'!A296</f>
        <v>NPI0292</v>
      </c>
      <c r="B296" t="str" s="14" cm="1">
        <f t="array" ref="B296">'Question_Bank'!C296</f>
        <v>Cognitive Ability</v>
      </c>
      <c r="C296" t="str" s="14" cm="1">
        <f t="array" ref="C296">'Question_Bank'!D296</f>
        <v>Abstract</v>
      </c>
      <c r="D296" t="str" s="14" cm="1">
        <f t="array" ref="D296">'Question_Bank'!F296</f>
        <v>MCQ</v>
      </c>
      <c r="E296" t="str" s="14" cm="1">
        <f t="array" ref="E296">'Question_Bank'!L296</f>
        <v>C</v>
      </c>
      <c r="F296" t="str" s="14" cm="1">
        <f t="array" ref="F296">'Question_Bank'!N296</f>
        <v>No</v>
      </c>
      <c r="G296" t="str" s="14" cm="1">
        <f t="array" ref="G296">IF(D296="MCQ","Correct=1, Incorrect=0",IF(F296="Yes","Reverse: 6-response","Direct: response score"))</f>
        <v>Correct=1, Incorrect=0</v>
      </c>
      <c r="H296" s="15"/>
    </row>
    <row r="297" ht="17.45" customHeight="1">
      <c r="A297" t="str" s="13" cm="1">
        <f t="array" ref="A297">'Question_Bank'!A297</f>
        <v>NPI0293</v>
      </c>
      <c r="B297" t="str" s="14" cm="1">
        <f t="array" ref="B297">'Question_Bank'!C297</f>
        <v>Cognitive Ability</v>
      </c>
      <c r="C297" t="str" s="14" cm="1">
        <f t="array" ref="C297">'Question_Bank'!D297</f>
        <v>Abstract</v>
      </c>
      <c r="D297" t="str" s="14" cm="1">
        <f t="array" ref="D297">'Question_Bank'!F297</f>
        <v>MCQ</v>
      </c>
      <c r="E297" t="str" s="14" cm="1">
        <f t="array" ref="E297">'Question_Bank'!L297</f>
        <v>B</v>
      </c>
      <c r="F297" t="str" s="14" cm="1">
        <f t="array" ref="F297">'Question_Bank'!N297</f>
        <v>No</v>
      </c>
      <c r="G297" t="str" s="14" cm="1">
        <f t="array" ref="G297">IF(D297="MCQ","Correct=1, Incorrect=0",IF(F297="Yes","Reverse: 6-response","Direct: response score"))</f>
        <v>Correct=1, Incorrect=0</v>
      </c>
      <c r="H297" s="15"/>
    </row>
    <row r="298" ht="17.45" customHeight="1">
      <c r="A298" t="str" s="13" cm="1">
        <f t="array" ref="A298">'Question_Bank'!A298</f>
        <v>NPI0294</v>
      </c>
      <c r="B298" t="str" s="14" cm="1">
        <f t="array" ref="B298">'Question_Bank'!C298</f>
        <v>Cognitive Ability</v>
      </c>
      <c r="C298" t="str" s="14" cm="1">
        <f t="array" ref="C298">'Question_Bank'!D298</f>
        <v>Abstract</v>
      </c>
      <c r="D298" t="str" s="14" cm="1">
        <f t="array" ref="D298">'Question_Bank'!F298</f>
        <v>MCQ</v>
      </c>
      <c r="E298" t="str" s="14" cm="1">
        <f t="array" ref="E298">'Question_Bank'!L298</f>
        <v>D</v>
      </c>
      <c r="F298" t="str" s="14" cm="1">
        <f t="array" ref="F298">'Question_Bank'!N298</f>
        <v>No</v>
      </c>
      <c r="G298" t="str" s="14" cm="1">
        <f t="array" ref="G298">IF(D298="MCQ","Correct=1, Incorrect=0",IF(F298="Yes","Reverse: 6-response","Direct: response score"))</f>
        <v>Correct=1, Incorrect=0</v>
      </c>
      <c r="H298" s="15"/>
    </row>
    <row r="299" ht="17.45" customHeight="1">
      <c r="A299" t="str" s="13" cm="1">
        <f t="array" ref="A299">'Question_Bank'!A299</f>
        <v>NPI0295</v>
      </c>
      <c r="B299" t="str" s="14" cm="1">
        <f t="array" ref="B299">'Question_Bank'!C299</f>
        <v>Cognitive Ability</v>
      </c>
      <c r="C299" t="str" s="14" cm="1">
        <f t="array" ref="C299">'Question_Bank'!D299</f>
        <v>Abstract</v>
      </c>
      <c r="D299" t="str" s="14" cm="1">
        <f t="array" ref="D299">'Question_Bank'!F299</f>
        <v>MCQ</v>
      </c>
      <c r="E299" t="str" s="14" cm="1">
        <f t="array" ref="E299">'Question_Bank'!L299</f>
        <v>A</v>
      </c>
      <c r="F299" t="str" s="14" cm="1">
        <f t="array" ref="F299">'Question_Bank'!N299</f>
        <v>No</v>
      </c>
      <c r="G299" t="str" s="14" cm="1">
        <f t="array" ref="G299">IF(D299="MCQ","Correct=1, Incorrect=0",IF(F299="Yes","Reverse: 6-response","Direct: response score"))</f>
        <v>Correct=1, Incorrect=0</v>
      </c>
      <c r="H299" s="15"/>
    </row>
    <row r="300" ht="17.45" customHeight="1">
      <c r="A300" t="str" s="13" cm="1">
        <f t="array" ref="A300">'Question_Bank'!A300</f>
        <v>NPI0296</v>
      </c>
      <c r="B300" t="str" s="14" cm="1">
        <f t="array" ref="B300">'Question_Bank'!C300</f>
        <v>Cognitive Ability</v>
      </c>
      <c r="C300" t="str" s="14" cm="1">
        <f t="array" ref="C300">'Question_Bank'!D300</f>
        <v>Spatial</v>
      </c>
      <c r="D300" t="str" s="14" cm="1">
        <f t="array" ref="D300">'Question_Bank'!F300</f>
        <v>MCQ</v>
      </c>
      <c r="E300" t="str" s="14" cm="1">
        <f t="array" ref="E300">'Question_Bank'!L300</f>
        <v>B</v>
      </c>
      <c r="F300" t="str" s="14" cm="1">
        <f t="array" ref="F300">'Question_Bank'!N300</f>
        <v>No</v>
      </c>
      <c r="G300" t="str" s="14" cm="1">
        <f t="array" ref="G300">IF(D300="MCQ","Correct=1, Incorrect=0",IF(F300="Yes","Reverse: 6-response","Direct: response score"))</f>
        <v>Correct=1, Incorrect=0</v>
      </c>
      <c r="H300" s="15"/>
    </row>
    <row r="301" ht="17.45" customHeight="1">
      <c r="A301" t="str" s="13" cm="1">
        <f t="array" ref="A301">'Question_Bank'!A301</f>
        <v>NPI0297</v>
      </c>
      <c r="B301" t="str" s="14" cm="1">
        <f t="array" ref="B301">'Question_Bank'!C301</f>
        <v>Cognitive Ability</v>
      </c>
      <c r="C301" t="str" s="14" cm="1">
        <f t="array" ref="C301">'Question_Bank'!D301</f>
        <v>Spatial</v>
      </c>
      <c r="D301" t="str" s="14" cm="1">
        <f t="array" ref="D301">'Question_Bank'!F301</f>
        <v>MCQ</v>
      </c>
      <c r="E301" t="str" s="14" cm="1">
        <f t="array" ref="E301">'Question_Bank'!L301</f>
        <v>B</v>
      </c>
      <c r="F301" t="str" s="14" cm="1">
        <f t="array" ref="F301">'Question_Bank'!N301</f>
        <v>No</v>
      </c>
      <c r="G301" t="str" s="14" cm="1">
        <f t="array" ref="G301">IF(D301="MCQ","Correct=1, Incorrect=0",IF(F301="Yes","Reverse: 6-response","Direct: response score"))</f>
        <v>Correct=1, Incorrect=0</v>
      </c>
      <c r="H301" s="15"/>
    </row>
    <row r="302" ht="17.45" customHeight="1">
      <c r="A302" t="str" s="13" cm="1">
        <f t="array" ref="A302">'Question_Bank'!A302</f>
        <v>NPI0298</v>
      </c>
      <c r="B302" t="str" s="14" cm="1">
        <f t="array" ref="B302">'Question_Bank'!C302</f>
        <v>Cognitive Ability</v>
      </c>
      <c r="C302" t="str" s="14" cm="1">
        <f t="array" ref="C302">'Question_Bank'!D302</f>
        <v>Spatial</v>
      </c>
      <c r="D302" t="str" s="14" cm="1">
        <f t="array" ref="D302">'Question_Bank'!F302</f>
        <v>MCQ</v>
      </c>
      <c r="E302" t="str" s="14" cm="1">
        <f t="array" ref="E302">'Question_Bank'!L302</f>
        <v>B</v>
      </c>
      <c r="F302" t="str" s="14" cm="1">
        <f t="array" ref="F302">'Question_Bank'!N302</f>
        <v>No</v>
      </c>
      <c r="G302" t="str" s="14" cm="1">
        <f t="array" ref="G302">IF(D302="MCQ","Correct=1, Incorrect=0",IF(F302="Yes","Reverse: 6-response","Direct: response score"))</f>
        <v>Correct=1, Incorrect=0</v>
      </c>
      <c r="H302" s="15"/>
    </row>
    <row r="303" ht="17.45" customHeight="1">
      <c r="A303" t="str" s="13" cm="1">
        <f t="array" ref="A303">'Question_Bank'!A303</f>
        <v>NPI0299</v>
      </c>
      <c r="B303" t="str" s="14" cm="1">
        <f t="array" ref="B303">'Question_Bank'!C303</f>
        <v>Cognitive Ability</v>
      </c>
      <c r="C303" t="str" s="14" cm="1">
        <f t="array" ref="C303">'Question_Bank'!D303</f>
        <v>Spatial</v>
      </c>
      <c r="D303" t="str" s="14" cm="1">
        <f t="array" ref="D303">'Question_Bank'!F303</f>
        <v>MCQ</v>
      </c>
      <c r="E303" t="str" s="14" cm="1">
        <f t="array" ref="E303">'Question_Bank'!L303</f>
        <v>B</v>
      </c>
      <c r="F303" t="str" s="14" cm="1">
        <f t="array" ref="F303">'Question_Bank'!N303</f>
        <v>No</v>
      </c>
      <c r="G303" t="str" s="14" cm="1">
        <f t="array" ref="G303">IF(D303="MCQ","Correct=1, Incorrect=0",IF(F303="Yes","Reverse: 6-response","Direct: response score"))</f>
        <v>Correct=1, Incorrect=0</v>
      </c>
      <c r="H303" s="15"/>
    </row>
    <row r="304" ht="17.45" customHeight="1">
      <c r="A304" t="str" s="13" cm="1">
        <f t="array" ref="A304">'Question_Bank'!A304</f>
        <v>NPI0300</v>
      </c>
      <c r="B304" t="str" s="14" cm="1">
        <f t="array" ref="B304">'Question_Bank'!C304</f>
        <v>Cognitive Ability</v>
      </c>
      <c r="C304" t="str" s="14" cm="1">
        <f t="array" ref="C304">'Question_Bank'!D304</f>
        <v>Spatial</v>
      </c>
      <c r="D304" t="str" s="14" cm="1">
        <f t="array" ref="D304">'Question_Bank'!F304</f>
        <v>MCQ</v>
      </c>
      <c r="E304" t="str" s="14" cm="1">
        <f t="array" ref="E304">'Question_Bank'!L304</f>
        <v>B</v>
      </c>
      <c r="F304" t="str" s="14" cm="1">
        <f t="array" ref="F304">'Question_Bank'!N304</f>
        <v>No</v>
      </c>
      <c r="G304" t="str" s="14" cm="1">
        <f t="array" ref="G304">IF(D304="MCQ","Correct=1, Incorrect=0",IF(F304="Yes","Reverse: 6-response","Direct: response score"))</f>
        <v>Correct=1, Incorrect=0</v>
      </c>
      <c r="H304" s="15"/>
    </row>
    <row r="305" ht="17.45" customHeight="1">
      <c r="A305" t="str" s="13" cm="1">
        <f t="array" ref="A305">'Question_Bank'!A305</f>
        <v>NPI0301</v>
      </c>
      <c r="B305" t="str" s="14" cm="1">
        <f t="array" ref="B305">'Question_Bank'!C305</f>
        <v>Cognitive Ability</v>
      </c>
      <c r="C305" t="str" s="14" cm="1">
        <f t="array" ref="C305">'Question_Bank'!D305</f>
        <v>Spatial</v>
      </c>
      <c r="D305" t="str" s="14" cm="1">
        <f t="array" ref="D305">'Question_Bank'!F305</f>
        <v>MCQ</v>
      </c>
      <c r="E305" t="str" s="14" cm="1">
        <f t="array" ref="E305">'Question_Bank'!L305</f>
        <v>B</v>
      </c>
      <c r="F305" t="str" s="14" cm="1">
        <f t="array" ref="F305">'Question_Bank'!N305</f>
        <v>No</v>
      </c>
      <c r="G305" t="str" s="14" cm="1">
        <f t="array" ref="G305">IF(D305="MCQ","Correct=1, Incorrect=0",IF(F305="Yes","Reverse: 6-response","Direct: response score"))</f>
        <v>Correct=1, Incorrect=0</v>
      </c>
      <c r="H305" s="15"/>
    </row>
    <row r="306" ht="17.45" customHeight="1">
      <c r="A306" t="str" s="13" cm="1">
        <f t="array" ref="A306">'Question_Bank'!A306</f>
        <v>NPI0302</v>
      </c>
      <c r="B306" t="str" s="14" cm="1">
        <f t="array" ref="B306">'Question_Bank'!C306</f>
        <v>Cognitive Ability</v>
      </c>
      <c r="C306" t="str" s="14" cm="1">
        <f t="array" ref="C306">'Question_Bank'!D306</f>
        <v>Spatial</v>
      </c>
      <c r="D306" t="str" s="14" cm="1">
        <f t="array" ref="D306">'Question_Bank'!F306</f>
        <v>MCQ</v>
      </c>
      <c r="E306" t="str" s="14" cm="1">
        <f t="array" ref="E306">'Question_Bank'!L306</f>
        <v>B</v>
      </c>
      <c r="F306" t="str" s="14" cm="1">
        <f t="array" ref="F306">'Question_Bank'!N306</f>
        <v>No</v>
      </c>
      <c r="G306" t="str" s="14" cm="1">
        <f t="array" ref="G306">IF(D306="MCQ","Correct=1, Incorrect=0",IF(F306="Yes","Reverse: 6-response","Direct: response score"))</f>
        <v>Correct=1, Incorrect=0</v>
      </c>
      <c r="H306" s="15"/>
    </row>
    <row r="307" ht="17.45" customHeight="1">
      <c r="A307" t="str" s="13" cm="1">
        <f t="array" ref="A307">'Question_Bank'!A307</f>
        <v>NPI0303</v>
      </c>
      <c r="B307" t="str" s="14" cm="1">
        <f t="array" ref="B307">'Question_Bank'!C307</f>
        <v>Cognitive Ability</v>
      </c>
      <c r="C307" t="str" s="14" cm="1">
        <f t="array" ref="C307">'Question_Bank'!D307</f>
        <v>Spatial</v>
      </c>
      <c r="D307" t="str" s="14" cm="1">
        <f t="array" ref="D307">'Question_Bank'!F307</f>
        <v>MCQ</v>
      </c>
      <c r="E307" t="str" s="14" cm="1">
        <f t="array" ref="E307">'Question_Bank'!L307</f>
        <v>B</v>
      </c>
      <c r="F307" t="str" s="14" cm="1">
        <f t="array" ref="F307">'Question_Bank'!N307</f>
        <v>No</v>
      </c>
      <c r="G307" t="str" s="14" cm="1">
        <f t="array" ref="G307">IF(D307="MCQ","Correct=1, Incorrect=0",IF(F307="Yes","Reverse: 6-response","Direct: response score"))</f>
        <v>Correct=1, Incorrect=0</v>
      </c>
      <c r="H307" s="15"/>
    </row>
    <row r="308" ht="17.45" customHeight="1">
      <c r="A308" t="str" s="13" cm="1">
        <f t="array" ref="A308">'Question_Bank'!A308</f>
        <v>NPI0304</v>
      </c>
      <c r="B308" t="str" s="14" cm="1">
        <f t="array" ref="B308">'Question_Bank'!C308</f>
        <v>Cognitive Ability</v>
      </c>
      <c r="C308" t="str" s="14" cm="1">
        <f t="array" ref="C308">'Question_Bank'!D308</f>
        <v>Spatial</v>
      </c>
      <c r="D308" t="str" s="14" cm="1">
        <f t="array" ref="D308">'Question_Bank'!F308</f>
        <v>MCQ</v>
      </c>
      <c r="E308" t="str" s="14" cm="1">
        <f t="array" ref="E308">'Question_Bank'!L308</f>
        <v>B</v>
      </c>
      <c r="F308" t="str" s="14" cm="1">
        <f t="array" ref="F308">'Question_Bank'!N308</f>
        <v>No</v>
      </c>
      <c r="G308" t="str" s="14" cm="1">
        <f t="array" ref="G308">IF(D308="MCQ","Correct=1, Incorrect=0",IF(F308="Yes","Reverse: 6-response","Direct: response score"))</f>
        <v>Correct=1, Incorrect=0</v>
      </c>
      <c r="H308" s="15"/>
    </row>
    <row r="309" ht="17.45" customHeight="1">
      <c r="A309" t="str" s="13" cm="1">
        <f t="array" ref="A309">'Question_Bank'!A309</f>
        <v>NPI0305</v>
      </c>
      <c r="B309" t="str" s="14" cm="1">
        <f t="array" ref="B309">'Question_Bank'!C309</f>
        <v>Cognitive Ability</v>
      </c>
      <c r="C309" t="str" s="14" cm="1">
        <f t="array" ref="C309">'Question_Bank'!D309</f>
        <v>Spatial</v>
      </c>
      <c r="D309" t="str" s="14" cm="1">
        <f t="array" ref="D309">'Question_Bank'!F309</f>
        <v>MCQ</v>
      </c>
      <c r="E309" t="str" s="14" cm="1">
        <f t="array" ref="E309">'Question_Bank'!L309</f>
        <v>B</v>
      </c>
      <c r="F309" t="str" s="14" cm="1">
        <f t="array" ref="F309">'Question_Bank'!N309</f>
        <v>No</v>
      </c>
      <c r="G309" t="str" s="14" cm="1">
        <f t="array" ref="G309">IF(D309="MCQ","Correct=1, Incorrect=0",IF(F309="Yes","Reverse: 6-response","Direct: response score"))</f>
        <v>Correct=1, Incorrect=0</v>
      </c>
      <c r="H309" s="15"/>
    </row>
    <row r="310" ht="17.45" customHeight="1">
      <c r="A310" t="str" s="13" cm="1">
        <f t="array" ref="A310">'Question_Bank'!A310</f>
        <v>NPI0306</v>
      </c>
      <c r="B310" t="str" s="14" cm="1">
        <f t="array" ref="B310">'Question_Bank'!C310</f>
        <v>Cognitive Ability</v>
      </c>
      <c r="C310" t="str" s="14" cm="1">
        <f t="array" ref="C310">'Question_Bank'!D310</f>
        <v>Spatial</v>
      </c>
      <c r="D310" t="str" s="14" cm="1">
        <f t="array" ref="D310">'Question_Bank'!F310</f>
        <v>MCQ</v>
      </c>
      <c r="E310" t="str" s="14" cm="1">
        <f t="array" ref="E310">'Question_Bank'!L310</f>
        <v>C</v>
      </c>
      <c r="F310" t="str" s="14" cm="1">
        <f t="array" ref="F310">'Question_Bank'!N310</f>
        <v>No</v>
      </c>
      <c r="G310" t="str" s="14" cm="1">
        <f t="array" ref="G310">IF(D310="MCQ","Correct=1, Incorrect=0",IF(F310="Yes","Reverse: 6-response","Direct: response score"))</f>
        <v>Correct=1, Incorrect=0</v>
      </c>
      <c r="H310" s="15"/>
    </row>
    <row r="311" ht="17.45" customHeight="1">
      <c r="A311" t="str" s="13" cm="1">
        <f t="array" ref="A311">'Question_Bank'!A311</f>
        <v>NPI0307</v>
      </c>
      <c r="B311" t="str" s="14" cm="1">
        <f t="array" ref="B311">'Question_Bank'!C311</f>
        <v>Cognitive Ability</v>
      </c>
      <c r="C311" t="str" s="14" cm="1">
        <f t="array" ref="C311">'Question_Bank'!D311</f>
        <v>Spatial</v>
      </c>
      <c r="D311" t="str" s="14" cm="1">
        <f t="array" ref="D311">'Question_Bank'!F311</f>
        <v>MCQ</v>
      </c>
      <c r="E311" t="str" s="14" cm="1">
        <f t="array" ref="E311">'Question_Bank'!L311</f>
        <v>C</v>
      </c>
      <c r="F311" t="str" s="14" cm="1">
        <f t="array" ref="F311">'Question_Bank'!N311</f>
        <v>No</v>
      </c>
      <c r="G311" t="str" s="14" cm="1">
        <f t="array" ref="G311">IF(D311="MCQ","Correct=1, Incorrect=0",IF(F311="Yes","Reverse: 6-response","Direct: response score"))</f>
        <v>Correct=1, Incorrect=0</v>
      </c>
      <c r="H311" s="15"/>
    </row>
    <row r="312" ht="17.45" customHeight="1">
      <c r="A312" t="str" s="13" cm="1">
        <f t="array" ref="A312">'Question_Bank'!A312</f>
        <v>NPI0308</v>
      </c>
      <c r="B312" t="str" s="14" cm="1">
        <f t="array" ref="B312">'Question_Bank'!C312</f>
        <v>Cognitive Ability</v>
      </c>
      <c r="C312" t="str" s="14" cm="1">
        <f t="array" ref="C312">'Question_Bank'!D312</f>
        <v>Spatial</v>
      </c>
      <c r="D312" t="str" s="14" cm="1">
        <f t="array" ref="D312">'Question_Bank'!F312</f>
        <v>MCQ</v>
      </c>
      <c r="E312" t="str" s="14" cm="1">
        <f t="array" ref="E312">'Question_Bank'!L312</f>
        <v>B</v>
      </c>
      <c r="F312" t="str" s="14" cm="1">
        <f t="array" ref="F312">'Question_Bank'!N312</f>
        <v>No</v>
      </c>
      <c r="G312" t="str" s="14" cm="1">
        <f t="array" ref="G312">IF(D312="MCQ","Correct=1, Incorrect=0",IF(F312="Yes","Reverse: 6-response","Direct: response score"))</f>
        <v>Correct=1, Incorrect=0</v>
      </c>
      <c r="H312" s="15"/>
    </row>
    <row r="313" ht="17.45" customHeight="1">
      <c r="A313" t="str" s="13" cm="1">
        <f t="array" ref="A313">'Question_Bank'!A313</f>
        <v>NPI0309</v>
      </c>
      <c r="B313" t="str" s="14" cm="1">
        <f t="array" ref="B313">'Question_Bank'!C313</f>
        <v>Cognitive Ability</v>
      </c>
      <c r="C313" t="str" s="14" cm="1">
        <f t="array" ref="C313">'Question_Bank'!D313</f>
        <v>Spatial</v>
      </c>
      <c r="D313" t="str" s="14" cm="1">
        <f t="array" ref="D313">'Question_Bank'!F313</f>
        <v>MCQ</v>
      </c>
      <c r="E313" t="str" s="14" cm="1">
        <f t="array" ref="E313">'Question_Bank'!L313</f>
        <v>B</v>
      </c>
      <c r="F313" t="str" s="14" cm="1">
        <f t="array" ref="F313">'Question_Bank'!N313</f>
        <v>No</v>
      </c>
      <c r="G313" t="str" s="14" cm="1">
        <f t="array" ref="G313">IF(D313="MCQ","Correct=1, Incorrect=0",IF(F313="Yes","Reverse: 6-response","Direct: response score"))</f>
        <v>Correct=1, Incorrect=0</v>
      </c>
      <c r="H313" s="15"/>
    </row>
    <row r="314" ht="17.45" customHeight="1">
      <c r="A314" t="str" s="13" cm="1">
        <f t="array" ref="A314">'Question_Bank'!A314</f>
        <v>NPI0310</v>
      </c>
      <c r="B314" t="str" s="14" cm="1">
        <f t="array" ref="B314">'Question_Bank'!C314</f>
        <v>Cognitive Ability</v>
      </c>
      <c r="C314" t="str" s="14" cm="1">
        <f t="array" ref="C314">'Question_Bank'!D314</f>
        <v>Spatial</v>
      </c>
      <c r="D314" t="str" s="14" cm="1">
        <f t="array" ref="D314">'Question_Bank'!F314</f>
        <v>MCQ</v>
      </c>
      <c r="E314" t="str" s="14" cm="1">
        <f t="array" ref="E314">'Question_Bank'!L314</f>
        <v>C</v>
      </c>
      <c r="F314" t="str" s="14" cm="1">
        <f t="array" ref="F314">'Question_Bank'!N314</f>
        <v>No</v>
      </c>
      <c r="G314" t="str" s="14" cm="1">
        <f t="array" ref="G314">IF(D314="MCQ","Correct=1, Incorrect=0",IF(F314="Yes","Reverse: 6-response","Direct: response score"))</f>
        <v>Correct=1, Incorrect=0</v>
      </c>
      <c r="H314" s="15"/>
    </row>
    <row r="315" ht="17.45" customHeight="1">
      <c r="A315" t="str" s="13" cm="1">
        <f t="array" ref="A315">'Question_Bank'!A315</f>
        <v>NPI0311</v>
      </c>
      <c r="B315" t="str" s="14" cm="1">
        <f t="array" ref="B315">'Question_Bank'!C315</f>
        <v>Cognitive Ability</v>
      </c>
      <c r="C315" t="str" s="14" cm="1">
        <f t="array" ref="C315">'Question_Bank'!D315</f>
        <v>Spatial</v>
      </c>
      <c r="D315" t="str" s="14" cm="1">
        <f t="array" ref="D315">'Question_Bank'!F315</f>
        <v>MCQ</v>
      </c>
      <c r="E315" t="str" s="14" cm="1">
        <f t="array" ref="E315">'Question_Bank'!L315</f>
        <v>C</v>
      </c>
      <c r="F315" t="str" s="14" cm="1">
        <f t="array" ref="F315">'Question_Bank'!N315</f>
        <v>No</v>
      </c>
      <c r="G315" t="str" s="14" cm="1">
        <f t="array" ref="G315">IF(D315="MCQ","Correct=1, Incorrect=0",IF(F315="Yes","Reverse: 6-response","Direct: response score"))</f>
        <v>Correct=1, Incorrect=0</v>
      </c>
      <c r="H315" s="15"/>
    </row>
    <row r="316" ht="17.45" customHeight="1">
      <c r="A316" t="str" s="13" cm="1">
        <f t="array" ref="A316">'Question_Bank'!A316</f>
        <v>NPI0312</v>
      </c>
      <c r="B316" t="str" s="14" cm="1">
        <f t="array" ref="B316">'Question_Bank'!C316</f>
        <v>Cognitive Ability</v>
      </c>
      <c r="C316" t="str" s="14" cm="1">
        <f t="array" ref="C316">'Question_Bank'!D316</f>
        <v>Spatial</v>
      </c>
      <c r="D316" t="str" s="14" cm="1">
        <f t="array" ref="D316">'Question_Bank'!F316</f>
        <v>MCQ</v>
      </c>
      <c r="E316" t="str" s="14" cm="1">
        <f t="array" ref="E316">'Question_Bank'!L316</f>
        <v>A</v>
      </c>
      <c r="F316" t="str" s="14" cm="1">
        <f t="array" ref="F316">'Question_Bank'!N316</f>
        <v>No</v>
      </c>
      <c r="G316" t="str" s="14" cm="1">
        <f t="array" ref="G316">IF(D316="MCQ","Correct=1, Incorrect=0",IF(F316="Yes","Reverse: 6-response","Direct: response score"))</f>
        <v>Correct=1, Incorrect=0</v>
      </c>
      <c r="H316" s="15"/>
    </row>
    <row r="317" ht="17.45" customHeight="1">
      <c r="A317" t="str" s="13" cm="1">
        <f t="array" ref="A317">'Question_Bank'!A317</f>
        <v>NPI0313</v>
      </c>
      <c r="B317" t="str" s="14" cm="1">
        <f t="array" ref="B317">'Question_Bank'!C317</f>
        <v>Cognitive Ability</v>
      </c>
      <c r="C317" t="str" s="14" cm="1">
        <f t="array" ref="C317">'Question_Bank'!D317</f>
        <v>Spatial</v>
      </c>
      <c r="D317" t="str" s="14" cm="1">
        <f t="array" ref="D317">'Question_Bank'!F317</f>
        <v>MCQ</v>
      </c>
      <c r="E317" t="str" s="14" cm="1">
        <f t="array" ref="E317">'Question_Bank'!L317</f>
        <v>B</v>
      </c>
      <c r="F317" t="str" s="14" cm="1">
        <f t="array" ref="F317">'Question_Bank'!N317</f>
        <v>No</v>
      </c>
      <c r="G317" t="str" s="14" cm="1">
        <f t="array" ref="G317">IF(D317="MCQ","Correct=1, Incorrect=0",IF(F317="Yes","Reverse: 6-response","Direct: response score"))</f>
        <v>Correct=1, Incorrect=0</v>
      </c>
      <c r="H317" s="15"/>
    </row>
    <row r="318" ht="17.45" customHeight="1">
      <c r="A318" t="str" s="13" cm="1">
        <f t="array" ref="A318">'Question_Bank'!A318</f>
        <v>NPI0314</v>
      </c>
      <c r="B318" t="str" s="14" cm="1">
        <f t="array" ref="B318">'Question_Bank'!C318</f>
        <v>Cognitive Ability</v>
      </c>
      <c r="C318" t="str" s="14" cm="1">
        <f t="array" ref="C318">'Question_Bank'!D318</f>
        <v>Spatial</v>
      </c>
      <c r="D318" t="str" s="14" cm="1">
        <f t="array" ref="D318">'Question_Bank'!F318</f>
        <v>MCQ</v>
      </c>
      <c r="E318" t="str" s="14" cm="1">
        <f t="array" ref="E318">'Question_Bank'!L318</f>
        <v>B</v>
      </c>
      <c r="F318" t="str" s="14" cm="1">
        <f t="array" ref="F318">'Question_Bank'!N318</f>
        <v>No</v>
      </c>
      <c r="G318" t="str" s="14" cm="1">
        <f t="array" ref="G318">IF(D318="MCQ","Correct=1, Incorrect=0",IF(F318="Yes","Reverse: 6-response","Direct: response score"))</f>
        <v>Correct=1, Incorrect=0</v>
      </c>
      <c r="H318" s="15"/>
    </row>
    <row r="319" ht="17.45" customHeight="1">
      <c r="A319" t="str" s="13" cm="1">
        <f t="array" ref="A319">'Question_Bank'!A319</f>
        <v>NPI0315</v>
      </c>
      <c r="B319" t="str" s="14" cm="1">
        <f t="array" ref="B319">'Question_Bank'!C319</f>
        <v>Cognitive Ability</v>
      </c>
      <c r="C319" t="str" s="14" cm="1">
        <f t="array" ref="C319">'Question_Bank'!D319</f>
        <v>Spatial</v>
      </c>
      <c r="D319" t="str" s="14" cm="1">
        <f t="array" ref="D319">'Question_Bank'!F319</f>
        <v>MCQ</v>
      </c>
      <c r="E319" t="str" s="14" cm="1">
        <f t="array" ref="E319">'Question_Bank'!L319</f>
        <v>C</v>
      </c>
      <c r="F319" t="str" s="14" cm="1">
        <f t="array" ref="F319">'Question_Bank'!N319</f>
        <v>No</v>
      </c>
      <c r="G319" t="str" s="14" cm="1">
        <f t="array" ref="G319">IF(D319="MCQ","Correct=1, Incorrect=0",IF(F319="Yes","Reverse: 6-response","Direct: response score"))</f>
        <v>Correct=1, Incorrect=0</v>
      </c>
      <c r="H319" s="15"/>
    </row>
    <row r="320" ht="17.45" customHeight="1">
      <c r="A320" t="str" s="13" cm="1">
        <f t="array" ref="A320">'Question_Bank'!A320</f>
        <v>NPI0316</v>
      </c>
      <c r="B320" t="str" s="14" cm="1">
        <f t="array" ref="B320">'Question_Bank'!C320</f>
        <v>Emotional Profile</v>
      </c>
      <c r="C320" t="str" s="14" cm="1">
        <f t="array" ref="C320">'Question_Bank'!D320</f>
        <v>Stress</v>
      </c>
      <c r="D320" t="str" s="14" cm="1">
        <f t="array" ref="D320">'Question_Bank'!F320</f>
        <v>Likert</v>
      </c>
      <c r="E320" s="172" cm="1">
        <f t="array" ref="E320">'Question_Bank'!L320</f>
        <v>0</v>
      </c>
      <c r="F320" t="str" s="14" cm="1">
        <f t="array" ref="F320">'Question_Bank'!N320</f>
        <v>No</v>
      </c>
      <c r="G320" t="str" s="14" cm="1">
        <f t="array" ref="G320">IF(D320="MCQ","Correct=1, Incorrect=0",IF(F320="Yes","Reverse: 6-response","Direct: response score"))</f>
        <v>Direct: response score</v>
      </c>
      <c r="H320" s="15"/>
    </row>
    <row r="321" ht="17.45" customHeight="1">
      <c r="A321" t="str" s="13" cm="1">
        <f t="array" ref="A321">'Question_Bank'!A321</f>
        <v>NPI0317</v>
      </c>
      <c r="B321" t="str" s="14" cm="1">
        <f t="array" ref="B321">'Question_Bank'!C321</f>
        <v>Emotional Profile</v>
      </c>
      <c r="C321" t="str" s="14" cm="1">
        <f t="array" ref="C321">'Question_Bank'!D321</f>
        <v>Stress</v>
      </c>
      <c r="D321" t="str" s="14" cm="1">
        <f t="array" ref="D321">'Question_Bank'!F321</f>
        <v>Likert</v>
      </c>
      <c r="E321" s="172" cm="1">
        <f t="array" ref="E321">'Question_Bank'!L321</f>
        <v>0</v>
      </c>
      <c r="F321" t="str" s="14" cm="1">
        <f t="array" ref="F321">'Question_Bank'!N321</f>
        <v>No</v>
      </c>
      <c r="G321" t="str" s="14" cm="1">
        <f t="array" ref="G321">IF(D321="MCQ","Correct=1, Incorrect=0",IF(F321="Yes","Reverse: 6-response","Direct: response score"))</f>
        <v>Direct: response score</v>
      </c>
      <c r="H321" s="15"/>
    </row>
    <row r="322" ht="17.45" customHeight="1">
      <c r="A322" t="str" s="13" cm="1">
        <f t="array" ref="A322">'Question_Bank'!A322</f>
        <v>NPI0318</v>
      </c>
      <c r="B322" t="str" s="14" cm="1">
        <f t="array" ref="B322">'Question_Bank'!C322</f>
        <v>Emotional Profile</v>
      </c>
      <c r="C322" t="str" s="14" cm="1">
        <f t="array" ref="C322">'Question_Bank'!D322</f>
        <v>Stress</v>
      </c>
      <c r="D322" t="str" s="14" cm="1">
        <f t="array" ref="D322">'Question_Bank'!F322</f>
        <v>Likert</v>
      </c>
      <c r="E322" s="172" cm="1">
        <f t="array" ref="E322">'Question_Bank'!L322</f>
        <v>0</v>
      </c>
      <c r="F322" t="str" s="14" cm="1">
        <f t="array" ref="F322">'Question_Bank'!N322</f>
        <v>No</v>
      </c>
      <c r="G322" t="str" s="14" cm="1">
        <f t="array" ref="G322">IF(D322="MCQ","Correct=1, Incorrect=0",IF(F322="Yes","Reverse: 6-response","Direct: response score"))</f>
        <v>Direct: response score</v>
      </c>
      <c r="H322" s="15"/>
    </row>
    <row r="323" ht="17.45" customHeight="1">
      <c r="A323" t="str" s="13" cm="1">
        <f t="array" ref="A323">'Question_Bank'!A323</f>
        <v>NPI0319</v>
      </c>
      <c r="B323" t="str" s="14" cm="1">
        <f t="array" ref="B323">'Question_Bank'!C323</f>
        <v>Emotional Profile</v>
      </c>
      <c r="C323" t="str" s="14" cm="1">
        <f t="array" ref="C323">'Question_Bank'!D323</f>
        <v>Stress</v>
      </c>
      <c r="D323" t="str" s="14" cm="1">
        <f t="array" ref="D323">'Question_Bank'!F323</f>
        <v>Likert</v>
      </c>
      <c r="E323" s="172" cm="1">
        <f t="array" ref="E323">'Question_Bank'!L323</f>
        <v>0</v>
      </c>
      <c r="F323" t="str" s="14" cm="1">
        <f t="array" ref="F323">'Question_Bank'!N323</f>
        <v>No</v>
      </c>
      <c r="G323" t="str" s="14" cm="1">
        <f t="array" ref="G323">IF(D323="MCQ","Correct=1, Incorrect=0",IF(F323="Yes","Reverse: 6-response","Direct: response score"))</f>
        <v>Direct: response score</v>
      </c>
      <c r="H323" s="15"/>
    </row>
    <row r="324" ht="17.45" customHeight="1">
      <c r="A324" t="str" s="13" cm="1">
        <f t="array" ref="A324">'Question_Bank'!A324</f>
        <v>NPI0320</v>
      </c>
      <c r="B324" t="str" s="14" cm="1">
        <f t="array" ref="B324">'Question_Bank'!C324</f>
        <v>Emotional Profile</v>
      </c>
      <c r="C324" t="str" s="14" cm="1">
        <f t="array" ref="C324">'Question_Bank'!D324</f>
        <v>Stress</v>
      </c>
      <c r="D324" t="str" s="14" cm="1">
        <f t="array" ref="D324">'Question_Bank'!F324</f>
        <v>Likert</v>
      </c>
      <c r="E324" s="172" cm="1">
        <f t="array" ref="E324">'Question_Bank'!L324</f>
        <v>0</v>
      </c>
      <c r="F324" t="str" s="14" cm="1">
        <f t="array" ref="F324">'Question_Bank'!N324</f>
        <v>No</v>
      </c>
      <c r="G324" t="str" s="14" cm="1">
        <f t="array" ref="G324">IF(D324="MCQ","Correct=1, Incorrect=0",IF(F324="Yes","Reverse: 6-response","Direct: response score"))</f>
        <v>Direct: response score</v>
      </c>
      <c r="H324" s="15"/>
    </row>
    <row r="325" ht="17.45" customHeight="1">
      <c r="A325" t="str" s="13" cm="1">
        <f t="array" ref="A325">'Question_Bank'!A325</f>
        <v>NPI0321</v>
      </c>
      <c r="B325" t="str" s="14" cm="1">
        <f t="array" ref="B325">'Question_Bank'!C325</f>
        <v>Emotional Profile</v>
      </c>
      <c r="C325" t="str" s="14" cm="1">
        <f t="array" ref="C325">'Question_Bank'!D325</f>
        <v>Stress</v>
      </c>
      <c r="D325" t="str" s="14" cm="1">
        <f t="array" ref="D325">'Question_Bank'!F325</f>
        <v>Likert</v>
      </c>
      <c r="E325" s="172" cm="1">
        <f t="array" ref="E325">'Question_Bank'!L325</f>
        <v>0</v>
      </c>
      <c r="F325" t="str" s="14" cm="1">
        <f t="array" ref="F325">'Question_Bank'!N325</f>
        <v>No</v>
      </c>
      <c r="G325" t="str" s="14" cm="1">
        <f t="array" ref="G325">IF(D325="MCQ","Correct=1, Incorrect=0",IF(F325="Yes","Reverse: 6-response","Direct: response score"))</f>
        <v>Direct: response score</v>
      </c>
      <c r="H325" s="15"/>
    </row>
    <row r="326" ht="17.45" customHeight="1">
      <c r="A326" t="str" s="13" cm="1">
        <f t="array" ref="A326">'Question_Bank'!A326</f>
        <v>NPI0322</v>
      </c>
      <c r="B326" t="str" s="14" cm="1">
        <f t="array" ref="B326">'Question_Bank'!C326</f>
        <v>Emotional Profile</v>
      </c>
      <c r="C326" t="str" s="14" cm="1">
        <f t="array" ref="C326">'Question_Bank'!D326</f>
        <v>Stress</v>
      </c>
      <c r="D326" t="str" s="14" cm="1">
        <f t="array" ref="D326">'Question_Bank'!F326</f>
        <v>Likert</v>
      </c>
      <c r="E326" s="172" cm="1">
        <f t="array" ref="E326">'Question_Bank'!L326</f>
        <v>0</v>
      </c>
      <c r="F326" t="str" s="14" cm="1">
        <f t="array" ref="F326">'Question_Bank'!N326</f>
        <v>No</v>
      </c>
      <c r="G326" t="str" s="14" cm="1">
        <f t="array" ref="G326">IF(D326="MCQ","Correct=1, Incorrect=0",IF(F326="Yes","Reverse: 6-response","Direct: response score"))</f>
        <v>Direct: response score</v>
      </c>
      <c r="H326" s="15"/>
    </row>
    <row r="327" ht="17.45" customHeight="1">
      <c r="A327" t="str" s="13" cm="1">
        <f t="array" ref="A327">'Question_Bank'!A327</f>
        <v>NPI0323</v>
      </c>
      <c r="B327" t="str" s="14" cm="1">
        <f t="array" ref="B327">'Question_Bank'!C327</f>
        <v>Emotional Profile</v>
      </c>
      <c r="C327" t="str" s="14" cm="1">
        <f t="array" ref="C327">'Question_Bank'!D327</f>
        <v>Stress</v>
      </c>
      <c r="D327" t="str" s="14" cm="1">
        <f t="array" ref="D327">'Question_Bank'!F327</f>
        <v>Likert</v>
      </c>
      <c r="E327" s="172" cm="1">
        <f t="array" ref="E327">'Question_Bank'!L327</f>
        <v>0</v>
      </c>
      <c r="F327" t="str" s="14" cm="1">
        <f t="array" ref="F327">'Question_Bank'!N327</f>
        <v>No</v>
      </c>
      <c r="G327" t="str" s="14" cm="1">
        <f t="array" ref="G327">IF(D327="MCQ","Correct=1, Incorrect=0",IF(F327="Yes","Reverse: 6-response","Direct: response score"))</f>
        <v>Direct: response score</v>
      </c>
      <c r="H327" s="15"/>
    </row>
    <row r="328" ht="17.45" customHeight="1">
      <c r="A328" t="str" s="13" cm="1">
        <f t="array" ref="A328">'Question_Bank'!A328</f>
        <v>NPI0324</v>
      </c>
      <c r="B328" t="str" s="14" cm="1">
        <f t="array" ref="B328">'Question_Bank'!C328</f>
        <v>Emotional Profile</v>
      </c>
      <c r="C328" t="str" s="14" cm="1">
        <f t="array" ref="C328">'Question_Bank'!D328</f>
        <v>Stress</v>
      </c>
      <c r="D328" t="str" s="14" cm="1">
        <f t="array" ref="D328">'Question_Bank'!F328</f>
        <v>Likert</v>
      </c>
      <c r="E328" s="172" cm="1">
        <f t="array" ref="E328">'Question_Bank'!L328</f>
        <v>0</v>
      </c>
      <c r="F328" t="str" s="14" cm="1">
        <f t="array" ref="F328">'Question_Bank'!N328</f>
        <v>No</v>
      </c>
      <c r="G328" t="str" s="14" cm="1">
        <f t="array" ref="G328">IF(D328="MCQ","Correct=1, Incorrect=0",IF(F328="Yes","Reverse: 6-response","Direct: response score"))</f>
        <v>Direct: response score</v>
      </c>
      <c r="H328" s="15"/>
    </row>
    <row r="329" ht="17.45" customHeight="1">
      <c r="A329" t="str" s="13" cm="1">
        <f t="array" ref="A329">'Question_Bank'!A329</f>
        <v>NPI0325</v>
      </c>
      <c r="B329" t="str" s="14" cm="1">
        <f t="array" ref="B329">'Question_Bank'!C329</f>
        <v>Emotional Profile</v>
      </c>
      <c r="C329" t="str" s="14" cm="1">
        <f t="array" ref="C329">'Question_Bank'!D329</f>
        <v>Stress</v>
      </c>
      <c r="D329" t="str" s="14" cm="1">
        <f t="array" ref="D329">'Question_Bank'!F329</f>
        <v>Likert</v>
      </c>
      <c r="E329" s="172" cm="1">
        <f t="array" ref="E329">'Question_Bank'!L329</f>
        <v>0</v>
      </c>
      <c r="F329" t="str" s="14" cm="1">
        <f t="array" ref="F329">'Question_Bank'!N329</f>
        <v>No</v>
      </c>
      <c r="G329" t="str" s="14" cm="1">
        <f t="array" ref="G329">IF(D329="MCQ","Correct=1, Incorrect=0",IF(F329="Yes","Reverse: 6-response","Direct: response score"))</f>
        <v>Direct: response score</v>
      </c>
      <c r="H329" s="15"/>
    </row>
    <row r="330" ht="17.45" customHeight="1">
      <c r="A330" t="str" s="13" cm="1">
        <f t="array" ref="A330">'Question_Bank'!A330</f>
        <v>NPI0326</v>
      </c>
      <c r="B330" t="str" s="14" cm="1">
        <f t="array" ref="B330">'Question_Bank'!C330</f>
        <v>Emotional Profile</v>
      </c>
      <c r="C330" t="str" s="14" cm="1">
        <f t="array" ref="C330">'Question_Bank'!D330</f>
        <v>Stress</v>
      </c>
      <c r="D330" t="str" s="14" cm="1">
        <f t="array" ref="D330">'Question_Bank'!F330</f>
        <v>Likert</v>
      </c>
      <c r="E330" s="172" cm="1">
        <f t="array" ref="E330">'Question_Bank'!L330</f>
        <v>0</v>
      </c>
      <c r="F330" t="str" s="14" cm="1">
        <f t="array" ref="F330">'Question_Bank'!N330</f>
        <v>No</v>
      </c>
      <c r="G330" t="str" s="14" cm="1">
        <f t="array" ref="G330">IF(D330="MCQ","Correct=1, Incorrect=0",IF(F330="Yes","Reverse: 6-response","Direct: response score"))</f>
        <v>Direct: response score</v>
      </c>
      <c r="H330" s="15"/>
    </row>
    <row r="331" ht="17.45" customHeight="1">
      <c r="A331" t="str" s="13" cm="1">
        <f t="array" ref="A331">'Question_Bank'!A331</f>
        <v>NPI0327</v>
      </c>
      <c r="B331" t="str" s="14" cm="1">
        <f t="array" ref="B331">'Question_Bank'!C331</f>
        <v>Emotional Profile</v>
      </c>
      <c r="C331" t="str" s="14" cm="1">
        <f t="array" ref="C331">'Question_Bank'!D331</f>
        <v>Stress</v>
      </c>
      <c r="D331" t="str" s="14" cm="1">
        <f t="array" ref="D331">'Question_Bank'!F331</f>
        <v>Likert</v>
      </c>
      <c r="E331" s="172" cm="1">
        <f t="array" ref="E331">'Question_Bank'!L331</f>
        <v>0</v>
      </c>
      <c r="F331" t="str" s="14" cm="1">
        <f t="array" ref="F331">'Question_Bank'!N331</f>
        <v>No</v>
      </c>
      <c r="G331" t="str" s="14" cm="1">
        <f t="array" ref="G331">IF(D331="MCQ","Correct=1, Incorrect=0",IF(F331="Yes","Reverse: 6-response","Direct: response score"))</f>
        <v>Direct: response score</v>
      </c>
      <c r="H331" s="15"/>
    </row>
    <row r="332" ht="17.45" customHeight="1">
      <c r="A332" t="str" s="13" cm="1">
        <f t="array" ref="A332">'Question_Bank'!A332</f>
        <v>NPI0328</v>
      </c>
      <c r="B332" t="str" s="14" cm="1">
        <f t="array" ref="B332">'Question_Bank'!C332</f>
        <v>Emotional Profile</v>
      </c>
      <c r="C332" t="str" s="14" cm="1">
        <f t="array" ref="C332">'Question_Bank'!D332</f>
        <v>Stress</v>
      </c>
      <c r="D332" t="str" s="14" cm="1">
        <f t="array" ref="D332">'Question_Bank'!F332</f>
        <v>Likert</v>
      </c>
      <c r="E332" s="172" cm="1">
        <f t="array" ref="E332">'Question_Bank'!L332</f>
        <v>0</v>
      </c>
      <c r="F332" t="str" s="14" cm="1">
        <f t="array" ref="F332">'Question_Bank'!N332</f>
        <v>No</v>
      </c>
      <c r="G332" t="str" s="14" cm="1">
        <f t="array" ref="G332">IF(D332="MCQ","Correct=1, Incorrect=0",IF(F332="Yes","Reverse: 6-response","Direct: response score"))</f>
        <v>Direct: response score</v>
      </c>
      <c r="H332" s="15"/>
    </row>
    <row r="333" ht="17.45" customHeight="1">
      <c r="A333" t="str" s="13" cm="1">
        <f t="array" ref="A333">'Question_Bank'!A333</f>
        <v>NPI0329</v>
      </c>
      <c r="B333" t="str" s="14" cm="1">
        <f t="array" ref="B333">'Question_Bank'!C333</f>
        <v>Emotional Profile</v>
      </c>
      <c r="C333" t="str" s="14" cm="1">
        <f t="array" ref="C333">'Question_Bank'!D333</f>
        <v>Stress</v>
      </c>
      <c r="D333" t="str" s="14" cm="1">
        <f t="array" ref="D333">'Question_Bank'!F333</f>
        <v>Likert</v>
      </c>
      <c r="E333" s="172" cm="1">
        <f t="array" ref="E333">'Question_Bank'!L333</f>
        <v>0</v>
      </c>
      <c r="F333" t="str" s="14" cm="1">
        <f t="array" ref="F333">'Question_Bank'!N333</f>
        <v>No</v>
      </c>
      <c r="G333" t="str" s="14" cm="1">
        <f t="array" ref="G333">IF(D333="MCQ","Correct=1, Incorrect=0",IF(F333="Yes","Reverse: 6-response","Direct: response score"))</f>
        <v>Direct: response score</v>
      </c>
      <c r="H333" s="15"/>
    </row>
    <row r="334" ht="17.45" customHeight="1">
      <c r="A334" t="str" s="13" cm="1">
        <f t="array" ref="A334">'Question_Bank'!A334</f>
        <v>NPI0330</v>
      </c>
      <c r="B334" t="str" s="14" cm="1">
        <f t="array" ref="B334">'Question_Bank'!C334</f>
        <v>Emotional Profile</v>
      </c>
      <c r="C334" t="str" s="14" cm="1">
        <f t="array" ref="C334">'Question_Bank'!D334</f>
        <v>Stress</v>
      </c>
      <c r="D334" t="str" s="14" cm="1">
        <f t="array" ref="D334">'Question_Bank'!F334</f>
        <v>Likert</v>
      </c>
      <c r="E334" s="172" cm="1">
        <f t="array" ref="E334">'Question_Bank'!L334</f>
        <v>0</v>
      </c>
      <c r="F334" t="str" s="14" cm="1">
        <f t="array" ref="F334">'Question_Bank'!N334</f>
        <v>No</v>
      </c>
      <c r="G334" t="str" s="14" cm="1">
        <f t="array" ref="G334">IF(D334="MCQ","Correct=1, Incorrect=0",IF(F334="Yes","Reverse: 6-response","Direct: response score"))</f>
        <v>Direct: response score</v>
      </c>
      <c r="H334" s="15"/>
    </row>
    <row r="335" ht="17.45" customHeight="1">
      <c r="A335" t="str" s="13" cm="1">
        <f t="array" ref="A335">'Question_Bank'!A335</f>
        <v>NPI0331</v>
      </c>
      <c r="B335" t="str" s="14" cm="1">
        <f t="array" ref="B335">'Question_Bank'!C335</f>
        <v>Emotional Profile</v>
      </c>
      <c r="C335" t="str" s="14" cm="1">
        <f t="array" ref="C335">'Question_Bank'!D335</f>
        <v>Stress</v>
      </c>
      <c r="D335" t="str" s="14" cm="1">
        <f t="array" ref="D335">'Question_Bank'!F335</f>
        <v>Likert</v>
      </c>
      <c r="E335" s="172" cm="1">
        <f t="array" ref="E335">'Question_Bank'!L335</f>
        <v>0</v>
      </c>
      <c r="F335" t="str" s="14" cm="1">
        <f t="array" ref="F335">'Question_Bank'!N335</f>
        <v>No</v>
      </c>
      <c r="G335" t="str" s="14" cm="1">
        <f t="array" ref="G335">IF(D335="MCQ","Correct=1, Incorrect=0",IF(F335="Yes","Reverse: 6-response","Direct: response score"))</f>
        <v>Direct: response score</v>
      </c>
      <c r="H335" s="15"/>
    </row>
    <row r="336" ht="17.45" customHeight="1">
      <c r="A336" t="str" s="13" cm="1">
        <f t="array" ref="A336">'Question_Bank'!A336</f>
        <v>NPI0332</v>
      </c>
      <c r="B336" t="str" s="14" cm="1">
        <f t="array" ref="B336">'Question_Bank'!C336</f>
        <v>Emotional Profile</v>
      </c>
      <c r="C336" t="str" s="14" cm="1">
        <f t="array" ref="C336">'Question_Bank'!D336</f>
        <v>Stress</v>
      </c>
      <c r="D336" t="str" s="14" cm="1">
        <f t="array" ref="D336">'Question_Bank'!F336</f>
        <v>Likert</v>
      </c>
      <c r="E336" s="172" cm="1">
        <f t="array" ref="E336">'Question_Bank'!L336</f>
        <v>0</v>
      </c>
      <c r="F336" t="str" s="14" cm="1">
        <f t="array" ref="F336">'Question_Bank'!N336</f>
        <v>No</v>
      </c>
      <c r="G336" t="str" s="14" cm="1">
        <f t="array" ref="G336">IF(D336="MCQ","Correct=1, Incorrect=0",IF(F336="Yes","Reverse: 6-response","Direct: response score"))</f>
        <v>Direct: response score</v>
      </c>
      <c r="H336" s="15"/>
    </row>
    <row r="337" ht="17.45" customHeight="1">
      <c r="A337" t="str" s="13" cm="1">
        <f t="array" ref="A337">'Question_Bank'!A337</f>
        <v>NPI0333</v>
      </c>
      <c r="B337" t="str" s="14" cm="1">
        <f t="array" ref="B337">'Question_Bank'!C337</f>
        <v>Emotional Profile</v>
      </c>
      <c r="C337" t="str" s="14" cm="1">
        <f t="array" ref="C337">'Question_Bank'!D337</f>
        <v>Stress</v>
      </c>
      <c r="D337" t="str" s="14" cm="1">
        <f t="array" ref="D337">'Question_Bank'!F337</f>
        <v>Likert</v>
      </c>
      <c r="E337" s="172" cm="1">
        <f t="array" ref="E337">'Question_Bank'!L337</f>
        <v>0</v>
      </c>
      <c r="F337" t="str" s="14" cm="1">
        <f t="array" ref="F337">'Question_Bank'!N337</f>
        <v>No</v>
      </c>
      <c r="G337" t="str" s="14" cm="1">
        <f t="array" ref="G337">IF(D337="MCQ","Correct=1, Incorrect=0",IF(F337="Yes","Reverse: 6-response","Direct: response score"))</f>
        <v>Direct: response score</v>
      </c>
      <c r="H337" s="15"/>
    </row>
    <row r="338" ht="17.45" customHeight="1">
      <c r="A338" t="str" s="13" cm="1">
        <f t="array" ref="A338">'Question_Bank'!A338</f>
        <v>NPI0334</v>
      </c>
      <c r="B338" t="str" s="14" cm="1">
        <f t="array" ref="B338">'Question_Bank'!C338</f>
        <v>Emotional Profile</v>
      </c>
      <c r="C338" t="str" s="14" cm="1">
        <f t="array" ref="C338">'Question_Bank'!D338</f>
        <v>Stress</v>
      </c>
      <c r="D338" t="str" s="14" cm="1">
        <f t="array" ref="D338">'Question_Bank'!F338</f>
        <v>Likert</v>
      </c>
      <c r="E338" s="172" cm="1">
        <f t="array" ref="E338">'Question_Bank'!L338</f>
        <v>0</v>
      </c>
      <c r="F338" t="str" s="14" cm="1">
        <f t="array" ref="F338">'Question_Bank'!N338</f>
        <v>No</v>
      </c>
      <c r="G338" t="str" s="14" cm="1">
        <f t="array" ref="G338">IF(D338="MCQ","Correct=1, Incorrect=0",IF(F338="Yes","Reverse: 6-response","Direct: response score"))</f>
        <v>Direct: response score</v>
      </c>
      <c r="H338" s="15"/>
    </row>
    <row r="339" ht="17.45" customHeight="1">
      <c r="A339" t="str" s="13" cm="1">
        <f t="array" ref="A339">'Question_Bank'!A339</f>
        <v>NPI0335</v>
      </c>
      <c r="B339" t="str" s="14" cm="1">
        <f t="array" ref="B339">'Question_Bank'!C339</f>
        <v>Emotional Profile</v>
      </c>
      <c r="C339" t="str" s="14" cm="1">
        <f t="array" ref="C339">'Question_Bank'!D339</f>
        <v>Stress</v>
      </c>
      <c r="D339" t="str" s="14" cm="1">
        <f t="array" ref="D339">'Question_Bank'!F339</f>
        <v>Likert</v>
      </c>
      <c r="E339" s="172" cm="1">
        <f t="array" ref="E339">'Question_Bank'!L339</f>
        <v>0</v>
      </c>
      <c r="F339" t="str" s="14" cm="1">
        <f t="array" ref="F339">'Question_Bank'!N339</f>
        <v>No</v>
      </c>
      <c r="G339" t="str" s="14" cm="1">
        <f t="array" ref="G339">IF(D339="MCQ","Correct=1, Incorrect=0",IF(F339="Yes","Reverse: 6-response","Direct: response score"))</f>
        <v>Direct: response score</v>
      </c>
      <c r="H339" s="15"/>
    </row>
    <row r="340" ht="17.45" customHeight="1">
      <c r="A340" t="str" s="13" cm="1">
        <f t="array" ref="A340">'Question_Bank'!A340</f>
        <v>NPI0336</v>
      </c>
      <c r="B340" t="str" s="14" cm="1">
        <f t="array" ref="B340">'Question_Bank'!C340</f>
        <v>Emotional Profile</v>
      </c>
      <c r="C340" t="str" s="14" cm="1">
        <f t="array" ref="C340">'Question_Bank'!D340</f>
        <v>Confidence</v>
      </c>
      <c r="D340" t="str" s="14" cm="1">
        <f t="array" ref="D340">'Question_Bank'!F340</f>
        <v>Likert</v>
      </c>
      <c r="E340" s="172" cm="1">
        <f t="array" ref="E340">'Question_Bank'!L340</f>
        <v>0</v>
      </c>
      <c r="F340" t="str" s="14" cm="1">
        <f t="array" ref="F340">'Question_Bank'!N340</f>
        <v>No</v>
      </c>
      <c r="G340" t="str" s="14" cm="1">
        <f t="array" ref="G340">IF(D340="MCQ","Correct=1, Incorrect=0",IF(F340="Yes","Reverse: 6-response","Direct: response score"))</f>
        <v>Direct: response score</v>
      </c>
      <c r="H340" s="15"/>
    </row>
    <row r="341" ht="17.45" customHeight="1">
      <c r="A341" t="str" s="13" cm="1">
        <f t="array" ref="A341">'Question_Bank'!A341</f>
        <v>NPI0337</v>
      </c>
      <c r="B341" t="str" s="14" cm="1">
        <f t="array" ref="B341">'Question_Bank'!C341</f>
        <v>Emotional Profile</v>
      </c>
      <c r="C341" t="str" s="14" cm="1">
        <f t="array" ref="C341">'Question_Bank'!D341</f>
        <v>Confidence</v>
      </c>
      <c r="D341" t="str" s="14" cm="1">
        <f t="array" ref="D341">'Question_Bank'!F341</f>
        <v>Likert</v>
      </c>
      <c r="E341" s="172" cm="1">
        <f t="array" ref="E341">'Question_Bank'!L341</f>
        <v>0</v>
      </c>
      <c r="F341" t="str" s="14" cm="1">
        <f t="array" ref="F341">'Question_Bank'!N341</f>
        <v>No</v>
      </c>
      <c r="G341" t="str" s="14" cm="1">
        <f t="array" ref="G341">IF(D341="MCQ","Correct=1, Incorrect=0",IF(F341="Yes","Reverse: 6-response","Direct: response score"))</f>
        <v>Direct: response score</v>
      </c>
      <c r="H341" s="15"/>
    </row>
    <row r="342" ht="17.45" customHeight="1">
      <c r="A342" t="str" s="13" cm="1">
        <f t="array" ref="A342">'Question_Bank'!A342</f>
        <v>NPI0338</v>
      </c>
      <c r="B342" t="str" s="14" cm="1">
        <f t="array" ref="B342">'Question_Bank'!C342</f>
        <v>Emotional Profile</v>
      </c>
      <c r="C342" t="str" s="14" cm="1">
        <f t="array" ref="C342">'Question_Bank'!D342</f>
        <v>Confidence</v>
      </c>
      <c r="D342" t="str" s="14" cm="1">
        <f t="array" ref="D342">'Question_Bank'!F342</f>
        <v>Likert</v>
      </c>
      <c r="E342" s="172" cm="1">
        <f t="array" ref="E342">'Question_Bank'!L342</f>
        <v>0</v>
      </c>
      <c r="F342" t="str" s="14" cm="1">
        <f t="array" ref="F342">'Question_Bank'!N342</f>
        <v>No</v>
      </c>
      <c r="G342" t="str" s="14" cm="1">
        <f t="array" ref="G342">IF(D342="MCQ","Correct=1, Incorrect=0",IF(F342="Yes","Reverse: 6-response","Direct: response score"))</f>
        <v>Direct: response score</v>
      </c>
      <c r="H342" s="15"/>
    </row>
    <row r="343" ht="17.45" customHeight="1">
      <c r="A343" t="str" s="13" cm="1">
        <f t="array" ref="A343">'Question_Bank'!A343</f>
        <v>NPI0339</v>
      </c>
      <c r="B343" t="str" s="14" cm="1">
        <f t="array" ref="B343">'Question_Bank'!C343</f>
        <v>Emotional Profile</v>
      </c>
      <c r="C343" t="str" s="14" cm="1">
        <f t="array" ref="C343">'Question_Bank'!D343</f>
        <v>Confidence</v>
      </c>
      <c r="D343" t="str" s="14" cm="1">
        <f t="array" ref="D343">'Question_Bank'!F343</f>
        <v>Likert</v>
      </c>
      <c r="E343" s="172" cm="1">
        <f t="array" ref="E343">'Question_Bank'!L343</f>
        <v>0</v>
      </c>
      <c r="F343" t="str" s="14" cm="1">
        <f t="array" ref="F343">'Question_Bank'!N343</f>
        <v>No</v>
      </c>
      <c r="G343" t="str" s="14" cm="1">
        <f t="array" ref="G343">IF(D343="MCQ","Correct=1, Incorrect=0",IF(F343="Yes","Reverse: 6-response","Direct: response score"))</f>
        <v>Direct: response score</v>
      </c>
      <c r="H343" s="15"/>
    </row>
    <row r="344" ht="17.45" customHeight="1">
      <c r="A344" t="str" s="13" cm="1">
        <f t="array" ref="A344">'Question_Bank'!A344</f>
        <v>NPI0340</v>
      </c>
      <c r="B344" t="str" s="14" cm="1">
        <f t="array" ref="B344">'Question_Bank'!C344</f>
        <v>Emotional Profile</v>
      </c>
      <c r="C344" t="str" s="14" cm="1">
        <f t="array" ref="C344">'Question_Bank'!D344</f>
        <v>Confidence</v>
      </c>
      <c r="D344" t="str" s="14" cm="1">
        <f t="array" ref="D344">'Question_Bank'!F344</f>
        <v>Likert</v>
      </c>
      <c r="E344" s="172" cm="1">
        <f t="array" ref="E344">'Question_Bank'!L344</f>
        <v>0</v>
      </c>
      <c r="F344" t="str" s="14" cm="1">
        <f t="array" ref="F344">'Question_Bank'!N344</f>
        <v>No</v>
      </c>
      <c r="G344" t="str" s="14" cm="1">
        <f t="array" ref="G344">IF(D344="MCQ","Correct=1, Incorrect=0",IF(F344="Yes","Reverse: 6-response","Direct: response score"))</f>
        <v>Direct: response score</v>
      </c>
      <c r="H344" s="15"/>
    </row>
    <row r="345" ht="17.45" customHeight="1">
      <c r="A345" t="str" s="13" cm="1">
        <f t="array" ref="A345">'Question_Bank'!A345</f>
        <v>NPI0341</v>
      </c>
      <c r="B345" t="str" s="14" cm="1">
        <f t="array" ref="B345">'Question_Bank'!C345</f>
        <v>Emotional Profile</v>
      </c>
      <c r="C345" t="str" s="14" cm="1">
        <f t="array" ref="C345">'Question_Bank'!D345</f>
        <v>Confidence</v>
      </c>
      <c r="D345" t="str" s="14" cm="1">
        <f t="array" ref="D345">'Question_Bank'!F345</f>
        <v>Likert</v>
      </c>
      <c r="E345" s="172" cm="1">
        <f t="array" ref="E345">'Question_Bank'!L345</f>
        <v>0</v>
      </c>
      <c r="F345" t="str" s="14" cm="1">
        <f t="array" ref="F345">'Question_Bank'!N345</f>
        <v>No</v>
      </c>
      <c r="G345" t="str" s="14" cm="1">
        <f t="array" ref="G345">IF(D345="MCQ","Correct=1, Incorrect=0",IF(F345="Yes","Reverse: 6-response","Direct: response score"))</f>
        <v>Direct: response score</v>
      </c>
      <c r="H345" s="15"/>
    </row>
    <row r="346" ht="17.45" customHeight="1">
      <c r="A346" t="str" s="13" cm="1">
        <f t="array" ref="A346">'Question_Bank'!A346</f>
        <v>NPI0342</v>
      </c>
      <c r="B346" t="str" s="14" cm="1">
        <f t="array" ref="B346">'Question_Bank'!C346</f>
        <v>Emotional Profile</v>
      </c>
      <c r="C346" t="str" s="14" cm="1">
        <f t="array" ref="C346">'Question_Bank'!D346</f>
        <v>Confidence</v>
      </c>
      <c r="D346" t="str" s="14" cm="1">
        <f t="array" ref="D346">'Question_Bank'!F346</f>
        <v>Likert</v>
      </c>
      <c r="E346" s="172" cm="1">
        <f t="array" ref="E346">'Question_Bank'!L346</f>
        <v>0</v>
      </c>
      <c r="F346" t="str" s="14" cm="1">
        <f t="array" ref="F346">'Question_Bank'!N346</f>
        <v>No</v>
      </c>
      <c r="G346" t="str" s="14" cm="1">
        <f t="array" ref="G346">IF(D346="MCQ","Correct=1, Incorrect=0",IF(F346="Yes","Reverse: 6-response","Direct: response score"))</f>
        <v>Direct: response score</v>
      </c>
      <c r="H346" s="15"/>
    </row>
    <row r="347" ht="17.45" customHeight="1">
      <c r="A347" t="str" s="13" cm="1">
        <f t="array" ref="A347">'Question_Bank'!A347</f>
        <v>NPI0343</v>
      </c>
      <c r="B347" t="str" s="14" cm="1">
        <f t="array" ref="B347">'Question_Bank'!C347</f>
        <v>Emotional Profile</v>
      </c>
      <c r="C347" t="str" s="14" cm="1">
        <f t="array" ref="C347">'Question_Bank'!D347</f>
        <v>Confidence</v>
      </c>
      <c r="D347" t="str" s="14" cm="1">
        <f t="array" ref="D347">'Question_Bank'!F347</f>
        <v>Likert</v>
      </c>
      <c r="E347" s="172" cm="1">
        <f t="array" ref="E347">'Question_Bank'!L347</f>
        <v>0</v>
      </c>
      <c r="F347" t="str" s="14" cm="1">
        <f t="array" ref="F347">'Question_Bank'!N347</f>
        <v>No</v>
      </c>
      <c r="G347" t="str" s="14" cm="1">
        <f t="array" ref="G347">IF(D347="MCQ","Correct=1, Incorrect=0",IF(F347="Yes","Reverse: 6-response","Direct: response score"))</f>
        <v>Direct: response score</v>
      </c>
      <c r="H347" s="15"/>
    </row>
    <row r="348" ht="17.45" customHeight="1">
      <c r="A348" t="str" s="13" cm="1">
        <f t="array" ref="A348">'Question_Bank'!A348</f>
        <v>NPI0344</v>
      </c>
      <c r="B348" t="str" s="14" cm="1">
        <f t="array" ref="B348">'Question_Bank'!C348</f>
        <v>Emotional Profile</v>
      </c>
      <c r="C348" t="str" s="14" cm="1">
        <f t="array" ref="C348">'Question_Bank'!D348</f>
        <v>Confidence</v>
      </c>
      <c r="D348" t="str" s="14" cm="1">
        <f t="array" ref="D348">'Question_Bank'!F348</f>
        <v>Likert</v>
      </c>
      <c r="E348" s="172" cm="1">
        <f t="array" ref="E348">'Question_Bank'!L348</f>
        <v>0</v>
      </c>
      <c r="F348" t="str" s="14" cm="1">
        <f t="array" ref="F348">'Question_Bank'!N348</f>
        <v>No</v>
      </c>
      <c r="G348" t="str" s="14" cm="1">
        <f t="array" ref="G348">IF(D348="MCQ","Correct=1, Incorrect=0",IF(F348="Yes","Reverse: 6-response","Direct: response score"))</f>
        <v>Direct: response score</v>
      </c>
      <c r="H348" s="15"/>
    </row>
    <row r="349" ht="17.45" customHeight="1">
      <c r="A349" t="str" s="13" cm="1">
        <f t="array" ref="A349">'Question_Bank'!A349</f>
        <v>NPI0345</v>
      </c>
      <c r="B349" t="str" s="14" cm="1">
        <f t="array" ref="B349">'Question_Bank'!C349</f>
        <v>Emotional Profile</v>
      </c>
      <c r="C349" t="str" s="14" cm="1">
        <f t="array" ref="C349">'Question_Bank'!D349</f>
        <v>Confidence</v>
      </c>
      <c r="D349" t="str" s="14" cm="1">
        <f t="array" ref="D349">'Question_Bank'!F349</f>
        <v>Likert</v>
      </c>
      <c r="E349" s="172" cm="1">
        <f t="array" ref="E349">'Question_Bank'!L349</f>
        <v>0</v>
      </c>
      <c r="F349" t="str" s="14" cm="1">
        <f t="array" ref="F349">'Question_Bank'!N349</f>
        <v>No</v>
      </c>
      <c r="G349" t="str" s="14" cm="1">
        <f t="array" ref="G349">IF(D349="MCQ","Correct=1, Incorrect=0",IF(F349="Yes","Reverse: 6-response","Direct: response score"))</f>
        <v>Direct: response score</v>
      </c>
      <c r="H349" s="15"/>
    </row>
    <row r="350" ht="17.45" customHeight="1">
      <c r="A350" t="str" s="13" cm="1">
        <f t="array" ref="A350">'Question_Bank'!A350</f>
        <v>NPI0346</v>
      </c>
      <c r="B350" t="str" s="14" cm="1">
        <f t="array" ref="B350">'Question_Bank'!C350</f>
        <v>Emotional Profile</v>
      </c>
      <c r="C350" t="str" s="14" cm="1">
        <f t="array" ref="C350">'Question_Bank'!D350</f>
        <v>Confidence</v>
      </c>
      <c r="D350" t="str" s="14" cm="1">
        <f t="array" ref="D350">'Question_Bank'!F350</f>
        <v>Likert</v>
      </c>
      <c r="E350" s="172" cm="1">
        <f t="array" ref="E350">'Question_Bank'!L350</f>
        <v>0</v>
      </c>
      <c r="F350" t="str" s="14" cm="1">
        <f t="array" ref="F350">'Question_Bank'!N350</f>
        <v>No</v>
      </c>
      <c r="G350" t="str" s="14" cm="1">
        <f t="array" ref="G350">IF(D350="MCQ","Correct=1, Incorrect=0",IF(F350="Yes","Reverse: 6-response","Direct: response score"))</f>
        <v>Direct: response score</v>
      </c>
      <c r="H350" s="15"/>
    </row>
    <row r="351" ht="17.45" customHeight="1">
      <c r="A351" t="str" s="13" cm="1">
        <f t="array" ref="A351">'Question_Bank'!A351</f>
        <v>NPI0347</v>
      </c>
      <c r="B351" t="str" s="14" cm="1">
        <f t="array" ref="B351">'Question_Bank'!C351</f>
        <v>Emotional Profile</v>
      </c>
      <c r="C351" t="str" s="14" cm="1">
        <f t="array" ref="C351">'Question_Bank'!D351</f>
        <v>Confidence</v>
      </c>
      <c r="D351" t="str" s="14" cm="1">
        <f t="array" ref="D351">'Question_Bank'!F351</f>
        <v>Likert</v>
      </c>
      <c r="E351" s="172" cm="1">
        <f t="array" ref="E351">'Question_Bank'!L351</f>
        <v>0</v>
      </c>
      <c r="F351" t="str" s="14" cm="1">
        <f t="array" ref="F351">'Question_Bank'!N351</f>
        <v>No</v>
      </c>
      <c r="G351" t="str" s="14" cm="1">
        <f t="array" ref="G351">IF(D351="MCQ","Correct=1, Incorrect=0",IF(F351="Yes","Reverse: 6-response","Direct: response score"))</f>
        <v>Direct: response score</v>
      </c>
      <c r="H351" s="15"/>
    </row>
    <row r="352" ht="17.45" customHeight="1">
      <c r="A352" t="str" s="13" cm="1">
        <f t="array" ref="A352">'Question_Bank'!A352</f>
        <v>NPI0348</v>
      </c>
      <c r="B352" t="str" s="14" cm="1">
        <f t="array" ref="B352">'Question_Bank'!C352</f>
        <v>Emotional Profile</v>
      </c>
      <c r="C352" t="str" s="14" cm="1">
        <f t="array" ref="C352">'Question_Bank'!D352</f>
        <v>Confidence</v>
      </c>
      <c r="D352" t="str" s="14" cm="1">
        <f t="array" ref="D352">'Question_Bank'!F352</f>
        <v>Likert</v>
      </c>
      <c r="E352" s="172" cm="1">
        <f t="array" ref="E352">'Question_Bank'!L352</f>
        <v>0</v>
      </c>
      <c r="F352" t="str" s="14" cm="1">
        <f t="array" ref="F352">'Question_Bank'!N352</f>
        <v>No</v>
      </c>
      <c r="G352" t="str" s="14" cm="1">
        <f t="array" ref="G352">IF(D352="MCQ","Correct=1, Incorrect=0",IF(F352="Yes","Reverse: 6-response","Direct: response score"))</f>
        <v>Direct: response score</v>
      </c>
      <c r="H352" s="15"/>
    </row>
    <row r="353" ht="17.45" customHeight="1">
      <c r="A353" t="str" s="13" cm="1">
        <f t="array" ref="A353">'Question_Bank'!A353</f>
        <v>NPI0349</v>
      </c>
      <c r="B353" t="str" s="14" cm="1">
        <f t="array" ref="B353">'Question_Bank'!C353</f>
        <v>Emotional Profile</v>
      </c>
      <c r="C353" t="str" s="14" cm="1">
        <f t="array" ref="C353">'Question_Bank'!D353</f>
        <v>Confidence</v>
      </c>
      <c r="D353" t="str" s="14" cm="1">
        <f t="array" ref="D353">'Question_Bank'!F353</f>
        <v>Likert</v>
      </c>
      <c r="E353" s="172" cm="1">
        <f t="array" ref="E353">'Question_Bank'!L353</f>
        <v>0</v>
      </c>
      <c r="F353" t="str" s="14" cm="1">
        <f t="array" ref="F353">'Question_Bank'!N353</f>
        <v>No</v>
      </c>
      <c r="G353" t="str" s="14" cm="1">
        <f t="array" ref="G353">IF(D353="MCQ","Correct=1, Incorrect=0",IF(F353="Yes","Reverse: 6-response","Direct: response score"))</f>
        <v>Direct: response score</v>
      </c>
      <c r="H353" s="15"/>
    </row>
    <row r="354" ht="17.45" customHeight="1">
      <c r="A354" t="str" s="13" cm="1">
        <f t="array" ref="A354">'Question_Bank'!A354</f>
        <v>NPI0350</v>
      </c>
      <c r="B354" t="str" s="14" cm="1">
        <f t="array" ref="B354">'Question_Bank'!C354</f>
        <v>Emotional Profile</v>
      </c>
      <c r="C354" t="str" s="14" cm="1">
        <f t="array" ref="C354">'Question_Bank'!D354</f>
        <v>Confidence</v>
      </c>
      <c r="D354" t="str" s="14" cm="1">
        <f t="array" ref="D354">'Question_Bank'!F354</f>
        <v>Likert</v>
      </c>
      <c r="E354" s="172" cm="1">
        <f t="array" ref="E354">'Question_Bank'!L354</f>
        <v>0</v>
      </c>
      <c r="F354" t="str" s="14" cm="1">
        <f t="array" ref="F354">'Question_Bank'!N354</f>
        <v>No</v>
      </c>
      <c r="G354" t="str" s="14" cm="1">
        <f t="array" ref="G354">IF(D354="MCQ","Correct=1, Incorrect=0",IF(F354="Yes","Reverse: 6-response","Direct: response score"))</f>
        <v>Direct: response score</v>
      </c>
      <c r="H354" s="15"/>
    </row>
    <row r="355" ht="17.45" customHeight="1">
      <c r="A355" t="str" s="13" cm="1">
        <f t="array" ref="A355">'Question_Bank'!A355</f>
        <v>NPI0351</v>
      </c>
      <c r="B355" t="str" s="14" cm="1">
        <f t="array" ref="B355">'Question_Bank'!C355</f>
        <v>Emotional Profile</v>
      </c>
      <c r="C355" t="str" s="14" cm="1">
        <f t="array" ref="C355">'Question_Bank'!D355</f>
        <v>Confidence</v>
      </c>
      <c r="D355" t="str" s="14" cm="1">
        <f t="array" ref="D355">'Question_Bank'!F355</f>
        <v>Likert</v>
      </c>
      <c r="E355" s="172" cm="1">
        <f t="array" ref="E355">'Question_Bank'!L355</f>
        <v>0</v>
      </c>
      <c r="F355" t="str" s="14" cm="1">
        <f t="array" ref="F355">'Question_Bank'!N355</f>
        <v>No</v>
      </c>
      <c r="G355" t="str" s="14" cm="1">
        <f t="array" ref="G355">IF(D355="MCQ","Correct=1, Incorrect=0",IF(F355="Yes","Reverse: 6-response","Direct: response score"))</f>
        <v>Direct: response score</v>
      </c>
      <c r="H355" s="15"/>
    </row>
    <row r="356" ht="17.45" customHeight="1">
      <c r="A356" t="str" s="13" cm="1">
        <f t="array" ref="A356">'Question_Bank'!A356</f>
        <v>NPI0352</v>
      </c>
      <c r="B356" t="str" s="14" cm="1">
        <f t="array" ref="B356">'Question_Bank'!C356</f>
        <v>Emotional Profile</v>
      </c>
      <c r="C356" t="str" s="14" cm="1">
        <f t="array" ref="C356">'Question_Bank'!D356</f>
        <v>Confidence</v>
      </c>
      <c r="D356" t="str" s="14" cm="1">
        <f t="array" ref="D356">'Question_Bank'!F356</f>
        <v>Likert</v>
      </c>
      <c r="E356" s="172" cm="1">
        <f t="array" ref="E356">'Question_Bank'!L356</f>
        <v>0</v>
      </c>
      <c r="F356" t="str" s="14" cm="1">
        <f t="array" ref="F356">'Question_Bank'!N356</f>
        <v>No</v>
      </c>
      <c r="G356" t="str" s="14" cm="1">
        <f t="array" ref="G356">IF(D356="MCQ","Correct=1, Incorrect=0",IF(F356="Yes","Reverse: 6-response","Direct: response score"))</f>
        <v>Direct: response score</v>
      </c>
      <c r="H356" s="15"/>
    </row>
    <row r="357" ht="17.45" customHeight="1">
      <c r="A357" t="str" s="13" cm="1">
        <f t="array" ref="A357">'Question_Bank'!A357</f>
        <v>NPI0353</v>
      </c>
      <c r="B357" t="str" s="14" cm="1">
        <f t="array" ref="B357">'Question_Bank'!C357</f>
        <v>Emotional Profile</v>
      </c>
      <c r="C357" t="str" s="14" cm="1">
        <f t="array" ref="C357">'Question_Bank'!D357</f>
        <v>Confidence</v>
      </c>
      <c r="D357" t="str" s="14" cm="1">
        <f t="array" ref="D357">'Question_Bank'!F357</f>
        <v>Likert</v>
      </c>
      <c r="E357" s="172" cm="1">
        <f t="array" ref="E357">'Question_Bank'!L357</f>
        <v>0</v>
      </c>
      <c r="F357" t="str" s="14" cm="1">
        <f t="array" ref="F357">'Question_Bank'!N357</f>
        <v>No</v>
      </c>
      <c r="G357" t="str" s="14" cm="1">
        <f t="array" ref="G357">IF(D357="MCQ","Correct=1, Incorrect=0",IF(F357="Yes","Reverse: 6-response","Direct: response score"))</f>
        <v>Direct: response score</v>
      </c>
      <c r="H357" s="15"/>
    </row>
    <row r="358" ht="17.45" customHeight="1">
      <c r="A358" t="str" s="13" cm="1">
        <f t="array" ref="A358">'Question_Bank'!A358</f>
        <v>NPI0354</v>
      </c>
      <c r="B358" t="str" s="14" cm="1">
        <f t="array" ref="B358">'Question_Bank'!C358</f>
        <v>Emotional Profile</v>
      </c>
      <c r="C358" t="str" s="14" cm="1">
        <f t="array" ref="C358">'Question_Bank'!D358</f>
        <v>Confidence</v>
      </c>
      <c r="D358" t="str" s="14" cm="1">
        <f t="array" ref="D358">'Question_Bank'!F358</f>
        <v>Likert</v>
      </c>
      <c r="E358" s="172" cm="1">
        <f t="array" ref="E358">'Question_Bank'!L358</f>
        <v>0</v>
      </c>
      <c r="F358" t="str" s="14" cm="1">
        <f t="array" ref="F358">'Question_Bank'!N358</f>
        <v>No</v>
      </c>
      <c r="G358" t="str" s="14" cm="1">
        <f t="array" ref="G358">IF(D358="MCQ","Correct=1, Incorrect=0",IF(F358="Yes","Reverse: 6-response","Direct: response score"))</f>
        <v>Direct: response score</v>
      </c>
      <c r="H358" s="15"/>
    </row>
    <row r="359" ht="17.45" customHeight="1">
      <c r="A359" t="str" s="13" cm="1">
        <f t="array" ref="A359">'Question_Bank'!A359</f>
        <v>NPI0355</v>
      </c>
      <c r="B359" t="str" s="14" cm="1">
        <f t="array" ref="B359">'Question_Bank'!C359</f>
        <v>Emotional Profile</v>
      </c>
      <c r="C359" t="str" s="14" cm="1">
        <f t="array" ref="C359">'Question_Bank'!D359</f>
        <v>Confidence</v>
      </c>
      <c r="D359" t="str" s="14" cm="1">
        <f t="array" ref="D359">'Question_Bank'!F359</f>
        <v>Likert</v>
      </c>
      <c r="E359" s="172" cm="1">
        <f t="array" ref="E359">'Question_Bank'!L359</f>
        <v>0</v>
      </c>
      <c r="F359" t="str" s="14" cm="1">
        <f t="array" ref="F359">'Question_Bank'!N359</f>
        <v>No</v>
      </c>
      <c r="G359" t="str" s="14" cm="1">
        <f t="array" ref="G359">IF(D359="MCQ","Correct=1, Incorrect=0",IF(F359="Yes","Reverse: 6-response","Direct: response score"))</f>
        <v>Direct: response score</v>
      </c>
      <c r="H359" s="15"/>
    </row>
    <row r="360" ht="17.45" customHeight="1">
      <c r="A360" t="str" s="13" cm="1">
        <f t="array" ref="A360">'Question_Bank'!A360</f>
        <v>NPI0356</v>
      </c>
      <c r="B360" t="str" s="14" cm="1">
        <f t="array" ref="B360">'Question_Bank'!C360</f>
        <v>Emotional Profile</v>
      </c>
      <c r="C360" t="str" s="14" cm="1">
        <f t="array" ref="C360">'Question_Bank'!D360</f>
        <v>Resilience</v>
      </c>
      <c r="D360" t="str" s="14" cm="1">
        <f t="array" ref="D360">'Question_Bank'!F360</f>
        <v>Likert</v>
      </c>
      <c r="E360" s="172" cm="1">
        <f t="array" ref="E360">'Question_Bank'!L360</f>
        <v>0</v>
      </c>
      <c r="F360" t="str" s="14" cm="1">
        <f t="array" ref="F360">'Question_Bank'!N360</f>
        <v>No</v>
      </c>
      <c r="G360" t="str" s="14" cm="1">
        <f t="array" ref="G360">IF(D360="MCQ","Correct=1, Incorrect=0",IF(F360="Yes","Reverse: 6-response","Direct: response score"))</f>
        <v>Direct: response score</v>
      </c>
      <c r="H360" s="15"/>
    </row>
    <row r="361" ht="17.45" customHeight="1">
      <c r="A361" t="str" s="13" cm="1">
        <f t="array" ref="A361">'Question_Bank'!A361</f>
        <v>NPI0357</v>
      </c>
      <c r="B361" t="str" s="14" cm="1">
        <f t="array" ref="B361">'Question_Bank'!C361</f>
        <v>Emotional Profile</v>
      </c>
      <c r="C361" t="str" s="14" cm="1">
        <f t="array" ref="C361">'Question_Bank'!D361</f>
        <v>Resilience</v>
      </c>
      <c r="D361" t="str" s="14" cm="1">
        <f t="array" ref="D361">'Question_Bank'!F361</f>
        <v>Likert</v>
      </c>
      <c r="E361" s="172" cm="1">
        <f t="array" ref="E361">'Question_Bank'!L361</f>
        <v>0</v>
      </c>
      <c r="F361" t="str" s="14" cm="1">
        <f t="array" ref="F361">'Question_Bank'!N361</f>
        <v>No</v>
      </c>
      <c r="G361" t="str" s="14" cm="1">
        <f t="array" ref="G361">IF(D361="MCQ","Correct=1, Incorrect=0",IF(F361="Yes","Reverse: 6-response","Direct: response score"))</f>
        <v>Direct: response score</v>
      </c>
      <c r="H361" s="15"/>
    </row>
    <row r="362" ht="17.45" customHeight="1">
      <c r="A362" t="str" s="13" cm="1">
        <f t="array" ref="A362">'Question_Bank'!A362</f>
        <v>NPI0358</v>
      </c>
      <c r="B362" t="str" s="14" cm="1">
        <f t="array" ref="B362">'Question_Bank'!C362</f>
        <v>Emotional Profile</v>
      </c>
      <c r="C362" t="str" s="14" cm="1">
        <f t="array" ref="C362">'Question_Bank'!D362</f>
        <v>Resilience</v>
      </c>
      <c r="D362" t="str" s="14" cm="1">
        <f t="array" ref="D362">'Question_Bank'!F362</f>
        <v>Likert</v>
      </c>
      <c r="E362" s="172" cm="1">
        <f t="array" ref="E362">'Question_Bank'!L362</f>
        <v>0</v>
      </c>
      <c r="F362" t="str" s="14" cm="1">
        <f t="array" ref="F362">'Question_Bank'!N362</f>
        <v>No</v>
      </c>
      <c r="G362" t="str" s="14" cm="1">
        <f t="array" ref="G362">IF(D362="MCQ","Correct=1, Incorrect=0",IF(F362="Yes","Reverse: 6-response","Direct: response score"))</f>
        <v>Direct: response score</v>
      </c>
      <c r="H362" s="15"/>
    </row>
    <row r="363" ht="17.45" customHeight="1">
      <c r="A363" t="str" s="13" cm="1">
        <f t="array" ref="A363">'Question_Bank'!A363</f>
        <v>NPI0359</v>
      </c>
      <c r="B363" t="str" s="14" cm="1">
        <f t="array" ref="B363">'Question_Bank'!C363</f>
        <v>Emotional Profile</v>
      </c>
      <c r="C363" t="str" s="14" cm="1">
        <f t="array" ref="C363">'Question_Bank'!D363</f>
        <v>Resilience</v>
      </c>
      <c r="D363" t="str" s="14" cm="1">
        <f t="array" ref="D363">'Question_Bank'!F363</f>
        <v>Likert</v>
      </c>
      <c r="E363" s="172" cm="1">
        <f t="array" ref="E363">'Question_Bank'!L363</f>
        <v>0</v>
      </c>
      <c r="F363" t="str" s="14" cm="1">
        <f t="array" ref="F363">'Question_Bank'!N363</f>
        <v>No</v>
      </c>
      <c r="G363" t="str" s="14" cm="1">
        <f t="array" ref="G363">IF(D363="MCQ","Correct=1, Incorrect=0",IF(F363="Yes","Reverse: 6-response","Direct: response score"))</f>
        <v>Direct: response score</v>
      </c>
      <c r="H363" s="15"/>
    </row>
    <row r="364" ht="17.45" customHeight="1">
      <c r="A364" t="str" s="13" cm="1">
        <f t="array" ref="A364">'Question_Bank'!A364</f>
        <v>NPI0360</v>
      </c>
      <c r="B364" t="str" s="14" cm="1">
        <f t="array" ref="B364">'Question_Bank'!C364</f>
        <v>Emotional Profile</v>
      </c>
      <c r="C364" t="str" s="14" cm="1">
        <f t="array" ref="C364">'Question_Bank'!D364</f>
        <v>Resilience</v>
      </c>
      <c r="D364" t="str" s="14" cm="1">
        <f t="array" ref="D364">'Question_Bank'!F364</f>
        <v>Likert</v>
      </c>
      <c r="E364" s="172" cm="1">
        <f t="array" ref="E364">'Question_Bank'!L364</f>
        <v>0</v>
      </c>
      <c r="F364" t="str" s="14" cm="1">
        <f t="array" ref="F364">'Question_Bank'!N364</f>
        <v>No</v>
      </c>
      <c r="G364" t="str" s="14" cm="1">
        <f t="array" ref="G364">IF(D364="MCQ","Correct=1, Incorrect=0",IF(F364="Yes","Reverse: 6-response","Direct: response score"))</f>
        <v>Direct: response score</v>
      </c>
      <c r="H364" s="15"/>
    </row>
    <row r="365" ht="17.45" customHeight="1">
      <c r="A365" t="str" s="13" cm="1">
        <f t="array" ref="A365">'Question_Bank'!A365</f>
        <v>NPI0361</v>
      </c>
      <c r="B365" t="str" s="14" cm="1">
        <f t="array" ref="B365">'Question_Bank'!C365</f>
        <v>Emotional Profile</v>
      </c>
      <c r="C365" t="str" s="14" cm="1">
        <f t="array" ref="C365">'Question_Bank'!D365</f>
        <v>Resilience</v>
      </c>
      <c r="D365" t="str" s="14" cm="1">
        <f t="array" ref="D365">'Question_Bank'!F365</f>
        <v>Likert</v>
      </c>
      <c r="E365" s="172" cm="1">
        <f t="array" ref="E365">'Question_Bank'!L365</f>
        <v>0</v>
      </c>
      <c r="F365" t="str" s="14" cm="1">
        <f t="array" ref="F365">'Question_Bank'!N365</f>
        <v>No</v>
      </c>
      <c r="G365" t="str" s="14" cm="1">
        <f t="array" ref="G365">IF(D365="MCQ","Correct=1, Incorrect=0",IF(F365="Yes","Reverse: 6-response","Direct: response score"))</f>
        <v>Direct: response score</v>
      </c>
      <c r="H365" s="15"/>
    </row>
    <row r="366" ht="17.45" customHeight="1">
      <c r="A366" t="str" s="13" cm="1">
        <f t="array" ref="A366">'Question_Bank'!A366</f>
        <v>NPI0362</v>
      </c>
      <c r="B366" t="str" s="14" cm="1">
        <f t="array" ref="B366">'Question_Bank'!C366</f>
        <v>Emotional Profile</v>
      </c>
      <c r="C366" t="str" s="14" cm="1">
        <f t="array" ref="C366">'Question_Bank'!D366</f>
        <v>Resilience</v>
      </c>
      <c r="D366" t="str" s="14" cm="1">
        <f t="array" ref="D366">'Question_Bank'!F366</f>
        <v>Likert</v>
      </c>
      <c r="E366" s="172" cm="1">
        <f t="array" ref="E366">'Question_Bank'!L366</f>
        <v>0</v>
      </c>
      <c r="F366" t="str" s="14" cm="1">
        <f t="array" ref="F366">'Question_Bank'!N366</f>
        <v>No</v>
      </c>
      <c r="G366" t="str" s="14" cm="1">
        <f t="array" ref="G366">IF(D366="MCQ","Correct=1, Incorrect=0",IF(F366="Yes","Reverse: 6-response","Direct: response score"))</f>
        <v>Direct: response score</v>
      </c>
      <c r="H366" s="15"/>
    </row>
    <row r="367" ht="17.45" customHeight="1">
      <c r="A367" t="str" s="13" cm="1">
        <f t="array" ref="A367">'Question_Bank'!A367</f>
        <v>NPI0363</v>
      </c>
      <c r="B367" t="str" s="14" cm="1">
        <f t="array" ref="B367">'Question_Bank'!C367</f>
        <v>Emotional Profile</v>
      </c>
      <c r="C367" t="str" s="14" cm="1">
        <f t="array" ref="C367">'Question_Bank'!D367</f>
        <v>Resilience</v>
      </c>
      <c r="D367" t="str" s="14" cm="1">
        <f t="array" ref="D367">'Question_Bank'!F367</f>
        <v>Likert</v>
      </c>
      <c r="E367" s="172" cm="1">
        <f t="array" ref="E367">'Question_Bank'!L367</f>
        <v>0</v>
      </c>
      <c r="F367" t="str" s="14" cm="1">
        <f t="array" ref="F367">'Question_Bank'!N367</f>
        <v>No</v>
      </c>
      <c r="G367" t="str" s="14" cm="1">
        <f t="array" ref="G367">IF(D367="MCQ","Correct=1, Incorrect=0",IF(F367="Yes","Reverse: 6-response","Direct: response score"))</f>
        <v>Direct: response score</v>
      </c>
      <c r="H367" s="15"/>
    </row>
    <row r="368" ht="17.45" customHeight="1">
      <c r="A368" t="str" s="13" cm="1">
        <f t="array" ref="A368">'Question_Bank'!A368</f>
        <v>NPI0364</v>
      </c>
      <c r="B368" t="str" s="14" cm="1">
        <f t="array" ref="B368">'Question_Bank'!C368</f>
        <v>Emotional Profile</v>
      </c>
      <c r="C368" t="str" s="14" cm="1">
        <f t="array" ref="C368">'Question_Bank'!D368</f>
        <v>Resilience</v>
      </c>
      <c r="D368" t="str" s="14" cm="1">
        <f t="array" ref="D368">'Question_Bank'!F368</f>
        <v>Likert</v>
      </c>
      <c r="E368" s="172" cm="1">
        <f t="array" ref="E368">'Question_Bank'!L368</f>
        <v>0</v>
      </c>
      <c r="F368" t="str" s="14" cm="1">
        <f t="array" ref="F368">'Question_Bank'!N368</f>
        <v>No</v>
      </c>
      <c r="G368" t="str" s="14" cm="1">
        <f t="array" ref="G368">IF(D368="MCQ","Correct=1, Incorrect=0",IF(F368="Yes","Reverse: 6-response","Direct: response score"))</f>
        <v>Direct: response score</v>
      </c>
      <c r="H368" s="15"/>
    </row>
    <row r="369" ht="17.45" customHeight="1">
      <c r="A369" t="str" s="13" cm="1">
        <f t="array" ref="A369">'Question_Bank'!A369</f>
        <v>NPI0365</v>
      </c>
      <c r="B369" t="str" s="14" cm="1">
        <f t="array" ref="B369">'Question_Bank'!C369</f>
        <v>Emotional Profile</v>
      </c>
      <c r="C369" t="str" s="14" cm="1">
        <f t="array" ref="C369">'Question_Bank'!D369</f>
        <v>Resilience</v>
      </c>
      <c r="D369" t="str" s="14" cm="1">
        <f t="array" ref="D369">'Question_Bank'!F369</f>
        <v>Likert</v>
      </c>
      <c r="E369" s="172" cm="1">
        <f t="array" ref="E369">'Question_Bank'!L369</f>
        <v>0</v>
      </c>
      <c r="F369" t="str" s="14" cm="1">
        <f t="array" ref="F369">'Question_Bank'!N369</f>
        <v>No</v>
      </c>
      <c r="G369" t="str" s="14" cm="1">
        <f t="array" ref="G369">IF(D369="MCQ","Correct=1, Incorrect=0",IF(F369="Yes","Reverse: 6-response","Direct: response score"))</f>
        <v>Direct: response score</v>
      </c>
      <c r="H369" s="15"/>
    </row>
    <row r="370" ht="17.45" customHeight="1">
      <c r="A370" t="str" s="13" cm="1">
        <f t="array" ref="A370">'Question_Bank'!A370</f>
        <v>NPI0366</v>
      </c>
      <c r="B370" t="str" s="14" cm="1">
        <f t="array" ref="B370">'Question_Bank'!C370</f>
        <v>Emotional Profile</v>
      </c>
      <c r="C370" t="str" s="14" cm="1">
        <f t="array" ref="C370">'Question_Bank'!D370</f>
        <v>Resilience</v>
      </c>
      <c r="D370" t="str" s="14" cm="1">
        <f t="array" ref="D370">'Question_Bank'!F370</f>
        <v>Likert</v>
      </c>
      <c r="E370" s="172" cm="1">
        <f t="array" ref="E370">'Question_Bank'!L370</f>
        <v>0</v>
      </c>
      <c r="F370" t="str" s="14" cm="1">
        <f t="array" ref="F370">'Question_Bank'!N370</f>
        <v>No</v>
      </c>
      <c r="G370" t="str" s="14" cm="1">
        <f t="array" ref="G370">IF(D370="MCQ","Correct=1, Incorrect=0",IF(F370="Yes","Reverse: 6-response","Direct: response score"))</f>
        <v>Direct: response score</v>
      </c>
      <c r="H370" s="15"/>
    </row>
    <row r="371" ht="17.45" customHeight="1">
      <c r="A371" t="str" s="13" cm="1">
        <f t="array" ref="A371">'Question_Bank'!A371</f>
        <v>NPI0367</v>
      </c>
      <c r="B371" t="str" s="14" cm="1">
        <f t="array" ref="B371">'Question_Bank'!C371</f>
        <v>Emotional Profile</v>
      </c>
      <c r="C371" t="str" s="14" cm="1">
        <f t="array" ref="C371">'Question_Bank'!D371</f>
        <v>Resilience</v>
      </c>
      <c r="D371" t="str" s="14" cm="1">
        <f t="array" ref="D371">'Question_Bank'!F371</f>
        <v>Likert</v>
      </c>
      <c r="E371" s="172" cm="1">
        <f t="array" ref="E371">'Question_Bank'!L371</f>
        <v>0</v>
      </c>
      <c r="F371" t="str" s="14" cm="1">
        <f t="array" ref="F371">'Question_Bank'!N371</f>
        <v>No</v>
      </c>
      <c r="G371" t="str" s="14" cm="1">
        <f t="array" ref="G371">IF(D371="MCQ","Correct=1, Incorrect=0",IF(F371="Yes","Reverse: 6-response","Direct: response score"))</f>
        <v>Direct: response score</v>
      </c>
      <c r="H371" s="15"/>
    </row>
    <row r="372" ht="17.45" customHeight="1">
      <c r="A372" t="str" s="13" cm="1">
        <f t="array" ref="A372">'Question_Bank'!A372</f>
        <v>NPI0368</v>
      </c>
      <c r="B372" t="str" s="14" cm="1">
        <f t="array" ref="B372">'Question_Bank'!C372</f>
        <v>Emotional Profile</v>
      </c>
      <c r="C372" t="str" s="14" cm="1">
        <f t="array" ref="C372">'Question_Bank'!D372</f>
        <v>Resilience</v>
      </c>
      <c r="D372" t="str" s="14" cm="1">
        <f t="array" ref="D372">'Question_Bank'!F372</f>
        <v>Likert</v>
      </c>
      <c r="E372" s="172" cm="1">
        <f t="array" ref="E372">'Question_Bank'!L372</f>
        <v>0</v>
      </c>
      <c r="F372" t="str" s="14" cm="1">
        <f t="array" ref="F372">'Question_Bank'!N372</f>
        <v>No</v>
      </c>
      <c r="G372" t="str" s="14" cm="1">
        <f t="array" ref="G372">IF(D372="MCQ","Correct=1, Incorrect=0",IF(F372="Yes","Reverse: 6-response","Direct: response score"))</f>
        <v>Direct: response score</v>
      </c>
      <c r="H372" s="15"/>
    </row>
    <row r="373" ht="17.45" customHeight="1">
      <c r="A373" t="str" s="13" cm="1">
        <f t="array" ref="A373">'Question_Bank'!A373</f>
        <v>NPI0369</v>
      </c>
      <c r="B373" t="str" s="14" cm="1">
        <f t="array" ref="B373">'Question_Bank'!C373</f>
        <v>Emotional Profile</v>
      </c>
      <c r="C373" t="str" s="14" cm="1">
        <f t="array" ref="C373">'Question_Bank'!D373</f>
        <v>Resilience</v>
      </c>
      <c r="D373" t="str" s="14" cm="1">
        <f t="array" ref="D373">'Question_Bank'!F373</f>
        <v>Likert</v>
      </c>
      <c r="E373" s="172" cm="1">
        <f t="array" ref="E373">'Question_Bank'!L373</f>
        <v>0</v>
      </c>
      <c r="F373" t="str" s="14" cm="1">
        <f t="array" ref="F373">'Question_Bank'!N373</f>
        <v>No</v>
      </c>
      <c r="G373" t="str" s="14" cm="1">
        <f t="array" ref="G373">IF(D373="MCQ","Correct=1, Incorrect=0",IF(F373="Yes","Reverse: 6-response","Direct: response score"))</f>
        <v>Direct: response score</v>
      </c>
      <c r="H373" s="15"/>
    </row>
    <row r="374" ht="17.45" customHeight="1">
      <c r="A374" t="str" s="13" cm="1">
        <f t="array" ref="A374">'Question_Bank'!A374</f>
        <v>NPI0370</v>
      </c>
      <c r="B374" t="str" s="14" cm="1">
        <f t="array" ref="B374">'Question_Bank'!C374</f>
        <v>Emotional Profile</v>
      </c>
      <c r="C374" t="str" s="14" cm="1">
        <f t="array" ref="C374">'Question_Bank'!D374</f>
        <v>Resilience</v>
      </c>
      <c r="D374" t="str" s="14" cm="1">
        <f t="array" ref="D374">'Question_Bank'!F374</f>
        <v>Likert</v>
      </c>
      <c r="E374" s="172" cm="1">
        <f t="array" ref="E374">'Question_Bank'!L374</f>
        <v>0</v>
      </c>
      <c r="F374" t="str" s="14" cm="1">
        <f t="array" ref="F374">'Question_Bank'!N374</f>
        <v>No</v>
      </c>
      <c r="G374" t="str" s="14" cm="1">
        <f t="array" ref="G374">IF(D374="MCQ","Correct=1, Incorrect=0",IF(F374="Yes","Reverse: 6-response","Direct: response score"))</f>
        <v>Direct: response score</v>
      </c>
      <c r="H374" s="15"/>
    </row>
    <row r="375" ht="17.45" customHeight="1">
      <c r="A375" t="str" s="13" cm="1">
        <f t="array" ref="A375">'Question_Bank'!A375</f>
        <v>NPI0371</v>
      </c>
      <c r="B375" t="str" s="14" cm="1">
        <f t="array" ref="B375">'Question_Bank'!C375</f>
        <v>Emotional Profile</v>
      </c>
      <c r="C375" t="str" s="14" cm="1">
        <f t="array" ref="C375">'Question_Bank'!D375</f>
        <v>Resilience</v>
      </c>
      <c r="D375" t="str" s="14" cm="1">
        <f t="array" ref="D375">'Question_Bank'!F375</f>
        <v>Likert</v>
      </c>
      <c r="E375" s="172" cm="1">
        <f t="array" ref="E375">'Question_Bank'!L375</f>
        <v>0</v>
      </c>
      <c r="F375" t="str" s="14" cm="1">
        <f t="array" ref="F375">'Question_Bank'!N375</f>
        <v>No</v>
      </c>
      <c r="G375" t="str" s="14" cm="1">
        <f t="array" ref="G375">IF(D375="MCQ","Correct=1, Incorrect=0",IF(F375="Yes","Reverse: 6-response","Direct: response score"))</f>
        <v>Direct: response score</v>
      </c>
      <c r="H375" s="15"/>
    </row>
    <row r="376" ht="17.45" customHeight="1">
      <c r="A376" t="str" s="13" cm="1">
        <f t="array" ref="A376">'Question_Bank'!A376</f>
        <v>NPI0372</v>
      </c>
      <c r="B376" t="str" s="14" cm="1">
        <f t="array" ref="B376">'Question_Bank'!C376</f>
        <v>Emotional Profile</v>
      </c>
      <c r="C376" t="str" s="14" cm="1">
        <f t="array" ref="C376">'Question_Bank'!D376</f>
        <v>Resilience</v>
      </c>
      <c r="D376" t="str" s="14" cm="1">
        <f t="array" ref="D376">'Question_Bank'!F376</f>
        <v>Likert</v>
      </c>
      <c r="E376" s="172" cm="1">
        <f t="array" ref="E376">'Question_Bank'!L376</f>
        <v>0</v>
      </c>
      <c r="F376" t="str" s="14" cm="1">
        <f t="array" ref="F376">'Question_Bank'!N376</f>
        <v>No</v>
      </c>
      <c r="G376" t="str" s="14" cm="1">
        <f t="array" ref="G376">IF(D376="MCQ","Correct=1, Incorrect=0",IF(F376="Yes","Reverse: 6-response","Direct: response score"))</f>
        <v>Direct: response score</v>
      </c>
      <c r="H376" s="15"/>
    </row>
    <row r="377" ht="17.45" customHeight="1">
      <c r="A377" t="str" s="13" cm="1">
        <f t="array" ref="A377">'Question_Bank'!A377</f>
        <v>NPI0373</v>
      </c>
      <c r="B377" t="str" s="14" cm="1">
        <f t="array" ref="B377">'Question_Bank'!C377</f>
        <v>Emotional Profile</v>
      </c>
      <c r="C377" t="str" s="14" cm="1">
        <f t="array" ref="C377">'Question_Bank'!D377</f>
        <v>Resilience</v>
      </c>
      <c r="D377" t="str" s="14" cm="1">
        <f t="array" ref="D377">'Question_Bank'!F377</f>
        <v>Likert</v>
      </c>
      <c r="E377" s="172" cm="1">
        <f t="array" ref="E377">'Question_Bank'!L377</f>
        <v>0</v>
      </c>
      <c r="F377" t="str" s="14" cm="1">
        <f t="array" ref="F377">'Question_Bank'!N377</f>
        <v>No</v>
      </c>
      <c r="G377" t="str" s="14" cm="1">
        <f t="array" ref="G377">IF(D377="MCQ","Correct=1, Incorrect=0",IF(F377="Yes","Reverse: 6-response","Direct: response score"))</f>
        <v>Direct: response score</v>
      </c>
      <c r="H377" s="15"/>
    </row>
    <row r="378" ht="17.45" customHeight="1">
      <c r="A378" t="str" s="13" cm="1">
        <f t="array" ref="A378">'Question_Bank'!A378</f>
        <v>NPI0374</v>
      </c>
      <c r="B378" t="str" s="14" cm="1">
        <f t="array" ref="B378">'Question_Bank'!C378</f>
        <v>Emotional Profile</v>
      </c>
      <c r="C378" t="str" s="14" cm="1">
        <f t="array" ref="C378">'Question_Bank'!D378</f>
        <v>Resilience</v>
      </c>
      <c r="D378" t="str" s="14" cm="1">
        <f t="array" ref="D378">'Question_Bank'!F378</f>
        <v>Likert</v>
      </c>
      <c r="E378" s="172" cm="1">
        <f t="array" ref="E378">'Question_Bank'!L378</f>
        <v>0</v>
      </c>
      <c r="F378" t="str" s="14" cm="1">
        <f t="array" ref="F378">'Question_Bank'!N378</f>
        <v>No</v>
      </c>
      <c r="G378" t="str" s="14" cm="1">
        <f t="array" ref="G378">IF(D378="MCQ","Correct=1, Incorrect=0",IF(F378="Yes","Reverse: 6-response","Direct: response score"))</f>
        <v>Direct: response score</v>
      </c>
      <c r="H378" s="15"/>
    </row>
    <row r="379" ht="17.45" customHeight="1">
      <c r="A379" t="str" s="13" cm="1">
        <f t="array" ref="A379">'Question_Bank'!A379</f>
        <v>NPI0375</v>
      </c>
      <c r="B379" t="str" s="14" cm="1">
        <f t="array" ref="B379">'Question_Bank'!C379</f>
        <v>Emotional Profile</v>
      </c>
      <c r="C379" t="str" s="14" cm="1">
        <f t="array" ref="C379">'Question_Bank'!D379</f>
        <v>Resilience</v>
      </c>
      <c r="D379" t="str" s="14" cm="1">
        <f t="array" ref="D379">'Question_Bank'!F379</f>
        <v>Likert</v>
      </c>
      <c r="E379" s="172" cm="1">
        <f t="array" ref="E379">'Question_Bank'!L379</f>
        <v>0</v>
      </c>
      <c r="F379" t="str" s="14" cm="1">
        <f t="array" ref="F379">'Question_Bank'!N379</f>
        <v>No</v>
      </c>
      <c r="G379" t="str" s="14" cm="1">
        <f t="array" ref="G379">IF(D379="MCQ","Correct=1, Incorrect=0",IF(F379="Yes","Reverse: 6-response","Direct: response score"))</f>
        <v>Direct: response score</v>
      </c>
      <c r="H379" s="15"/>
    </row>
    <row r="380" ht="17.45" customHeight="1">
      <c r="A380" t="str" s="13" cm="1">
        <f t="array" ref="A380">'Question_Bank'!A380</f>
        <v>NPI0376</v>
      </c>
      <c r="B380" t="str" s="14" cm="1">
        <f t="array" ref="B380">'Question_Bank'!C380</f>
        <v>Emotional Profile</v>
      </c>
      <c r="C380" t="str" s="14" cm="1">
        <f t="array" ref="C380">'Question_Bank'!D380</f>
        <v>Coping</v>
      </c>
      <c r="D380" t="str" s="14" cm="1">
        <f t="array" ref="D380">'Question_Bank'!F380</f>
        <v>Likert</v>
      </c>
      <c r="E380" s="172" cm="1">
        <f t="array" ref="E380">'Question_Bank'!L380</f>
        <v>0</v>
      </c>
      <c r="F380" t="str" s="14" cm="1">
        <f t="array" ref="F380">'Question_Bank'!N380</f>
        <v>No</v>
      </c>
      <c r="G380" t="str" s="14" cm="1">
        <f t="array" ref="G380">IF(D380="MCQ","Correct=1, Incorrect=0",IF(F380="Yes","Reverse: 6-response","Direct: response score"))</f>
        <v>Direct: response score</v>
      </c>
      <c r="H380" s="15"/>
    </row>
    <row r="381" ht="17.45" customHeight="1">
      <c r="A381" t="str" s="13" cm="1">
        <f t="array" ref="A381">'Question_Bank'!A381</f>
        <v>NPI0377</v>
      </c>
      <c r="B381" t="str" s="14" cm="1">
        <f t="array" ref="B381">'Question_Bank'!C381</f>
        <v>Emotional Profile</v>
      </c>
      <c r="C381" t="str" s="14" cm="1">
        <f t="array" ref="C381">'Question_Bank'!D381</f>
        <v>Coping</v>
      </c>
      <c r="D381" t="str" s="14" cm="1">
        <f t="array" ref="D381">'Question_Bank'!F381</f>
        <v>Likert</v>
      </c>
      <c r="E381" s="172" cm="1">
        <f t="array" ref="E381">'Question_Bank'!L381</f>
        <v>0</v>
      </c>
      <c r="F381" t="str" s="14" cm="1">
        <f t="array" ref="F381">'Question_Bank'!N381</f>
        <v>No</v>
      </c>
      <c r="G381" t="str" s="14" cm="1">
        <f t="array" ref="G381">IF(D381="MCQ","Correct=1, Incorrect=0",IF(F381="Yes","Reverse: 6-response","Direct: response score"))</f>
        <v>Direct: response score</v>
      </c>
      <c r="H381" s="15"/>
    </row>
    <row r="382" ht="17.45" customHeight="1">
      <c r="A382" t="str" s="13" cm="1">
        <f t="array" ref="A382">'Question_Bank'!A382</f>
        <v>NPI0378</v>
      </c>
      <c r="B382" t="str" s="14" cm="1">
        <f t="array" ref="B382">'Question_Bank'!C382</f>
        <v>Emotional Profile</v>
      </c>
      <c r="C382" t="str" s="14" cm="1">
        <f t="array" ref="C382">'Question_Bank'!D382</f>
        <v>Coping</v>
      </c>
      <c r="D382" t="str" s="14" cm="1">
        <f t="array" ref="D382">'Question_Bank'!F382</f>
        <v>Likert</v>
      </c>
      <c r="E382" s="172" cm="1">
        <f t="array" ref="E382">'Question_Bank'!L382</f>
        <v>0</v>
      </c>
      <c r="F382" t="str" s="14" cm="1">
        <f t="array" ref="F382">'Question_Bank'!N382</f>
        <v>No</v>
      </c>
      <c r="G382" t="str" s="14" cm="1">
        <f t="array" ref="G382">IF(D382="MCQ","Correct=1, Incorrect=0",IF(F382="Yes","Reverse: 6-response","Direct: response score"))</f>
        <v>Direct: response score</v>
      </c>
      <c r="H382" s="15"/>
    </row>
    <row r="383" ht="17.45" customHeight="1">
      <c r="A383" t="str" s="13" cm="1">
        <f t="array" ref="A383">'Question_Bank'!A383</f>
        <v>NPI0379</v>
      </c>
      <c r="B383" t="str" s="14" cm="1">
        <f t="array" ref="B383">'Question_Bank'!C383</f>
        <v>Emotional Profile</v>
      </c>
      <c r="C383" t="str" s="14" cm="1">
        <f t="array" ref="C383">'Question_Bank'!D383</f>
        <v>Coping</v>
      </c>
      <c r="D383" t="str" s="14" cm="1">
        <f t="array" ref="D383">'Question_Bank'!F383</f>
        <v>Likert</v>
      </c>
      <c r="E383" s="172" cm="1">
        <f t="array" ref="E383">'Question_Bank'!L383</f>
        <v>0</v>
      </c>
      <c r="F383" t="str" s="14" cm="1">
        <f t="array" ref="F383">'Question_Bank'!N383</f>
        <v>No</v>
      </c>
      <c r="G383" t="str" s="14" cm="1">
        <f t="array" ref="G383">IF(D383="MCQ","Correct=1, Incorrect=0",IF(F383="Yes","Reverse: 6-response","Direct: response score"))</f>
        <v>Direct: response score</v>
      </c>
      <c r="H383" s="15"/>
    </row>
    <row r="384" ht="17.45" customHeight="1">
      <c r="A384" t="str" s="13" cm="1">
        <f t="array" ref="A384">'Question_Bank'!A384</f>
        <v>NPI0380</v>
      </c>
      <c r="B384" t="str" s="14" cm="1">
        <f t="array" ref="B384">'Question_Bank'!C384</f>
        <v>Emotional Profile</v>
      </c>
      <c r="C384" t="str" s="14" cm="1">
        <f t="array" ref="C384">'Question_Bank'!D384</f>
        <v>Coping</v>
      </c>
      <c r="D384" t="str" s="14" cm="1">
        <f t="array" ref="D384">'Question_Bank'!F384</f>
        <v>Likert</v>
      </c>
      <c r="E384" s="172" cm="1">
        <f t="array" ref="E384">'Question_Bank'!L384</f>
        <v>0</v>
      </c>
      <c r="F384" t="str" s="14" cm="1">
        <f t="array" ref="F384">'Question_Bank'!N384</f>
        <v>No</v>
      </c>
      <c r="G384" t="str" s="14" cm="1">
        <f t="array" ref="G384">IF(D384="MCQ","Correct=1, Incorrect=0",IF(F384="Yes","Reverse: 6-response","Direct: response score"))</f>
        <v>Direct: response score</v>
      </c>
      <c r="H384" s="15"/>
    </row>
    <row r="385" ht="17.45" customHeight="1">
      <c r="A385" t="str" s="13" cm="1">
        <f t="array" ref="A385">'Question_Bank'!A385</f>
        <v>NPI0381</v>
      </c>
      <c r="B385" t="str" s="14" cm="1">
        <f t="array" ref="B385">'Question_Bank'!C385</f>
        <v>Emotional Profile</v>
      </c>
      <c r="C385" t="str" s="14" cm="1">
        <f t="array" ref="C385">'Question_Bank'!D385</f>
        <v>Coping</v>
      </c>
      <c r="D385" t="str" s="14" cm="1">
        <f t="array" ref="D385">'Question_Bank'!F385</f>
        <v>Likert</v>
      </c>
      <c r="E385" s="172" cm="1">
        <f t="array" ref="E385">'Question_Bank'!L385</f>
        <v>0</v>
      </c>
      <c r="F385" t="str" s="14" cm="1">
        <f t="array" ref="F385">'Question_Bank'!N385</f>
        <v>No</v>
      </c>
      <c r="G385" t="str" s="14" cm="1">
        <f t="array" ref="G385">IF(D385="MCQ","Correct=1, Incorrect=0",IF(F385="Yes","Reverse: 6-response","Direct: response score"))</f>
        <v>Direct: response score</v>
      </c>
      <c r="H385" s="15"/>
    </row>
    <row r="386" ht="17.45" customHeight="1">
      <c r="A386" t="str" s="13" cm="1">
        <f t="array" ref="A386">'Question_Bank'!A386</f>
        <v>NPI0382</v>
      </c>
      <c r="B386" t="str" s="14" cm="1">
        <f t="array" ref="B386">'Question_Bank'!C386</f>
        <v>Emotional Profile</v>
      </c>
      <c r="C386" t="str" s="14" cm="1">
        <f t="array" ref="C386">'Question_Bank'!D386</f>
        <v>Coping</v>
      </c>
      <c r="D386" t="str" s="14" cm="1">
        <f t="array" ref="D386">'Question_Bank'!F386</f>
        <v>Likert</v>
      </c>
      <c r="E386" s="172" cm="1">
        <f t="array" ref="E386">'Question_Bank'!L386</f>
        <v>0</v>
      </c>
      <c r="F386" t="str" s="14" cm="1">
        <f t="array" ref="F386">'Question_Bank'!N386</f>
        <v>No</v>
      </c>
      <c r="G386" t="str" s="14" cm="1">
        <f t="array" ref="G386">IF(D386="MCQ","Correct=1, Incorrect=0",IF(F386="Yes","Reverse: 6-response","Direct: response score"))</f>
        <v>Direct: response score</v>
      </c>
      <c r="H386" s="15"/>
    </row>
    <row r="387" ht="17.45" customHeight="1">
      <c r="A387" t="str" s="13" cm="1">
        <f t="array" ref="A387">'Question_Bank'!A387</f>
        <v>NPI0383</v>
      </c>
      <c r="B387" t="str" s="14" cm="1">
        <f t="array" ref="B387">'Question_Bank'!C387</f>
        <v>Emotional Profile</v>
      </c>
      <c r="C387" t="str" s="14" cm="1">
        <f t="array" ref="C387">'Question_Bank'!D387</f>
        <v>Coping</v>
      </c>
      <c r="D387" t="str" s="14" cm="1">
        <f t="array" ref="D387">'Question_Bank'!F387</f>
        <v>Likert</v>
      </c>
      <c r="E387" s="172" cm="1">
        <f t="array" ref="E387">'Question_Bank'!L387</f>
        <v>0</v>
      </c>
      <c r="F387" t="str" s="14" cm="1">
        <f t="array" ref="F387">'Question_Bank'!N387</f>
        <v>No</v>
      </c>
      <c r="G387" t="str" s="14" cm="1">
        <f t="array" ref="G387">IF(D387="MCQ","Correct=1, Incorrect=0",IF(F387="Yes","Reverse: 6-response","Direct: response score"))</f>
        <v>Direct: response score</v>
      </c>
      <c r="H387" s="15"/>
    </row>
    <row r="388" ht="17.45" customHeight="1">
      <c r="A388" t="str" s="13" cm="1">
        <f t="array" ref="A388">'Question_Bank'!A388</f>
        <v>NPI0384</v>
      </c>
      <c r="B388" t="str" s="14" cm="1">
        <f t="array" ref="B388">'Question_Bank'!C388</f>
        <v>Emotional Profile</v>
      </c>
      <c r="C388" t="str" s="14" cm="1">
        <f t="array" ref="C388">'Question_Bank'!D388</f>
        <v>Coping</v>
      </c>
      <c r="D388" t="str" s="14" cm="1">
        <f t="array" ref="D388">'Question_Bank'!F388</f>
        <v>Likert</v>
      </c>
      <c r="E388" s="172" cm="1">
        <f t="array" ref="E388">'Question_Bank'!L388</f>
        <v>0</v>
      </c>
      <c r="F388" t="str" s="14" cm="1">
        <f t="array" ref="F388">'Question_Bank'!N388</f>
        <v>No</v>
      </c>
      <c r="G388" t="str" s="14" cm="1">
        <f t="array" ref="G388">IF(D388="MCQ","Correct=1, Incorrect=0",IF(F388="Yes","Reverse: 6-response","Direct: response score"))</f>
        <v>Direct: response score</v>
      </c>
      <c r="H388" s="15"/>
    </row>
    <row r="389" ht="17.45" customHeight="1">
      <c r="A389" t="str" s="13" cm="1">
        <f t="array" ref="A389">'Question_Bank'!A389</f>
        <v>NPI0385</v>
      </c>
      <c r="B389" t="str" s="14" cm="1">
        <f t="array" ref="B389">'Question_Bank'!C389</f>
        <v>Emotional Profile</v>
      </c>
      <c r="C389" t="str" s="14" cm="1">
        <f t="array" ref="C389">'Question_Bank'!D389</f>
        <v>Coping</v>
      </c>
      <c r="D389" t="str" s="14" cm="1">
        <f t="array" ref="D389">'Question_Bank'!F389</f>
        <v>Likert</v>
      </c>
      <c r="E389" s="172" cm="1">
        <f t="array" ref="E389">'Question_Bank'!L389</f>
        <v>0</v>
      </c>
      <c r="F389" t="str" s="14" cm="1">
        <f t="array" ref="F389">'Question_Bank'!N389</f>
        <v>No</v>
      </c>
      <c r="G389" t="str" s="14" cm="1">
        <f t="array" ref="G389">IF(D389="MCQ","Correct=1, Incorrect=0",IF(F389="Yes","Reverse: 6-response","Direct: response score"))</f>
        <v>Direct: response score</v>
      </c>
      <c r="H389" s="15"/>
    </row>
    <row r="390" ht="17.45" customHeight="1">
      <c r="A390" t="str" s="13" cm="1">
        <f t="array" ref="A390">'Question_Bank'!A390</f>
        <v>NPI0386</v>
      </c>
      <c r="B390" t="str" s="14" cm="1">
        <f t="array" ref="B390">'Question_Bank'!C390</f>
        <v>Emotional Profile</v>
      </c>
      <c r="C390" t="str" s="14" cm="1">
        <f t="array" ref="C390">'Question_Bank'!D390</f>
        <v>Coping</v>
      </c>
      <c r="D390" t="str" s="14" cm="1">
        <f t="array" ref="D390">'Question_Bank'!F390</f>
        <v>Likert</v>
      </c>
      <c r="E390" s="172" cm="1">
        <f t="array" ref="E390">'Question_Bank'!L390</f>
        <v>0</v>
      </c>
      <c r="F390" t="str" s="14" cm="1">
        <f t="array" ref="F390">'Question_Bank'!N390</f>
        <v>No</v>
      </c>
      <c r="G390" t="str" s="14" cm="1">
        <f t="array" ref="G390">IF(D390="MCQ","Correct=1, Incorrect=0",IF(F390="Yes","Reverse: 6-response","Direct: response score"))</f>
        <v>Direct: response score</v>
      </c>
      <c r="H390" s="15"/>
    </row>
    <row r="391" ht="17.45" customHeight="1">
      <c r="A391" t="str" s="13" cm="1">
        <f t="array" ref="A391">'Question_Bank'!A391</f>
        <v>NPI0387</v>
      </c>
      <c r="B391" t="str" s="14" cm="1">
        <f t="array" ref="B391">'Question_Bank'!C391</f>
        <v>Emotional Profile</v>
      </c>
      <c r="C391" t="str" s="14" cm="1">
        <f t="array" ref="C391">'Question_Bank'!D391</f>
        <v>Coping</v>
      </c>
      <c r="D391" t="str" s="14" cm="1">
        <f t="array" ref="D391">'Question_Bank'!F391</f>
        <v>Likert</v>
      </c>
      <c r="E391" s="172" cm="1">
        <f t="array" ref="E391">'Question_Bank'!L391</f>
        <v>0</v>
      </c>
      <c r="F391" t="str" s="14" cm="1">
        <f t="array" ref="F391">'Question_Bank'!N391</f>
        <v>No</v>
      </c>
      <c r="G391" t="str" s="14" cm="1">
        <f t="array" ref="G391">IF(D391="MCQ","Correct=1, Incorrect=0",IF(F391="Yes","Reverse: 6-response","Direct: response score"))</f>
        <v>Direct: response score</v>
      </c>
      <c r="H391" s="15"/>
    </row>
    <row r="392" ht="17.45" customHeight="1">
      <c r="A392" t="str" s="13" cm="1">
        <f t="array" ref="A392">'Question_Bank'!A392</f>
        <v>NPI0388</v>
      </c>
      <c r="B392" t="str" s="14" cm="1">
        <f t="array" ref="B392">'Question_Bank'!C392</f>
        <v>Emotional Profile</v>
      </c>
      <c r="C392" t="str" s="14" cm="1">
        <f t="array" ref="C392">'Question_Bank'!D392</f>
        <v>Coping</v>
      </c>
      <c r="D392" t="str" s="14" cm="1">
        <f t="array" ref="D392">'Question_Bank'!F392</f>
        <v>Likert</v>
      </c>
      <c r="E392" s="172" cm="1">
        <f t="array" ref="E392">'Question_Bank'!L392</f>
        <v>0</v>
      </c>
      <c r="F392" t="str" s="14" cm="1">
        <f t="array" ref="F392">'Question_Bank'!N392</f>
        <v>No</v>
      </c>
      <c r="G392" t="str" s="14" cm="1">
        <f t="array" ref="G392">IF(D392="MCQ","Correct=1, Incorrect=0",IF(F392="Yes","Reverse: 6-response","Direct: response score"))</f>
        <v>Direct: response score</v>
      </c>
      <c r="H392" s="15"/>
    </row>
    <row r="393" ht="17.45" customHeight="1">
      <c r="A393" t="str" s="13" cm="1">
        <f t="array" ref="A393">'Question_Bank'!A393</f>
        <v>NPI0389</v>
      </c>
      <c r="B393" t="str" s="14" cm="1">
        <f t="array" ref="B393">'Question_Bank'!C393</f>
        <v>Emotional Profile</v>
      </c>
      <c r="C393" t="str" s="14" cm="1">
        <f t="array" ref="C393">'Question_Bank'!D393</f>
        <v>Coping</v>
      </c>
      <c r="D393" t="str" s="14" cm="1">
        <f t="array" ref="D393">'Question_Bank'!F393</f>
        <v>Likert</v>
      </c>
      <c r="E393" s="172" cm="1">
        <f t="array" ref="E393">'Question_Bank'!L393</f>
        <v>0</v>
      </c>
      <c r="F393" t="str" s="14" cm="1">
        <f t="array" ref="F393">'Question_Bank'!N393</f>
        <v>No</v>
      </c>
      <c r="G393" t="str" s="14" cm="1">
        <f t="array" ref="G393">IF(D393="MCQ","Correct=1, Incorrect=0",IF(F393="Yes","Reverse: 6-response","Direct: response score"))</f>
        <v>Direct: response score</v>
      </c>
      <c r="H393" s="15"/>
    </row>
    <row r="394" ht="17.45" customHeight="1">
      <c r="A394" t="str" s="13" cm="1">
        <f t="array" ref="A394">'Question_Bank'!A394</f>
        <v>NPI0390</v>
      </c>
      <c r="B394" t="str" s="14" cm="1">
        <f t="array" ref="B394">'Question_Bank'!C394</f>
        <v>Emotional Profile</v>
      </c>
      <c r="C394" t="str" s="14" cm="1">
        <f t="array" ref="C394">'Question_Bank'!D394</f>
        <v>Coping</v>
      </c>
      <c r="D394" t="str" s="14" cm="1">
        <f t="array" ref="D394">'Question_Bank'!F394</f>
        <v>Likert</v>
      </c>
      <c r="E394" s="172" cm="1">
        <f t="array" ref="E394">'Question_Bank'!L394</f>
        <v>0</v>
      </c>
      <c r="F394" t="str" s="14" cm="1">
        <f t="array" ref="F394">'Question_Bank'!N394</f>
        <v>No</v>
      </c>
      <c r="G394" t="str" s="14" cm="1">
        <f t="array" ref="G394">IF(D394="MCQ","Correct=1, Incorrect=0",IF(F394="Yes","Reverse: 6-response","Direct: response score"))</f>
        <v>Direct: response score</v>
      </c>
      <c r="H394" s="15"/>
    </row>
    <row r="395" ht="17.45" customHeight="1">
      <c r="A395" t="str" s="13" cm="1">
        <f t="array" ref="A395">'Question_Bank'!A395</f>
        <v>NPI0391</v>
      </c>
      <c r="B395" t="str" s="14" cm="1">
        <f t="array" ref="B395">'Question_Bank'!C395</f>
        <v>Emotional Profile</v>
      </c>
      <c r="C395" t="str" s="14" cm="1">
        <f t="array" ref="C395">'Question_Bank'!D395</f>
        <v>Coping</v>
      </c>
      <c r="D395" t="str" s="14" cm="1">
        <f t="array" ref="D395">'Question_Bank'!F395</f>
        <v>Likert</v>
      </c>
      <c r="E395" s="172" cm="1">
        <f t="array" ref="E395">'Question_Bank'!L395</f>
        <v>0</v>
      </c>
      <c r="F395" t="str" s="14" cm="1">
        <f t="array" ref="F395">'Question_Bank'!N395</f>
        <v>No</v>
      </c>
      <c r="G395" t="str" s="14" cm="1">
        <f t="array" ref="G395">IF(D395="MCQ","Correct=1, Incorrect=0",IF(F395="Yes","Reverse: 6-response","Direct: response score"))</f>
        <v>Direct: response score</v>
      </c>
      <c r="H395" s="15"/>
    </row>
    <row r="396" ht="17.45" customHeight="1">
      <c r="A396" t="str" s="13" cm="1">
        <f t="array" ref="A396">'Question_Bank'!A396</f>
        <v>NPI0392</v>
      </c>
      <c r="B396" t="str" s="14" cm="1">
        <f t="array" ref="B396">'Question_Bank'!C396</f>
        <v>Emotional Profile</v>
      </c>
      <c r="C396" t="str" s="14" cm="1">
        <f t="array" ref="C396">'Question_Bank'!D396</f>
        <v>Coping</v>
      </c>
      <c r="D396" t="str" s="14" cm="1">
        <f t="array" ref="D396">'Question_Bank'!F396</f>
        <v>Likert</v>
      </c>
      <c r="E396" s="172" cm="1">
        <f t="array" ref="E396">'Question_Bank'!L396</f>
        <v>0</v>
      </c>
      <c r="F396" t="str" s="14" cm="1">
        <f t="array" ref="F396">'Question_Bank'!N396</f>
        <v>No</v>
      </c>
      <c r="G396" t="str" s="14" cm="1">
        <f t="array" ref="G396">IF(D396="MCQ","Correct=1, Incorrect=0",IF(F396="Yes","Reverse: 6-response","Direct: response score"))</f>
        <v>Direct: response score</v>
      </c>
      <c r="H396" s="15"/>
    </row>
    <row r="397" ht="17.45" customHeight="1">
      <c r="A397" t="str" s="13" cm="1">
        <f t="array" ref="A397">'Question_Bank'!A397</f>
        <v>NPI0393</v>
      </c>
      <c r="B397" t="str" s="14" cm="1">
        <f t="array" ref="B397">'Question_Bank'!C397</f>
        <v>Emotional Profile</v>
      </c>
      <c r="C397" t="str" s="14" cm="1">
        <f t="array" ref="C397">'Question_Bank'!D397</f>
        <v>Coping</v>
      </c>
      <c r="D397" t="str" s="14" cm="1">
        <f t="array" ref="D397">'Question_Bank'!F397</f>
        <v>Likert</v>
      </c>
      <c r="E397" s="172" cm="1">
        <f t="array" ref="E397">'Question_Bank'!L397</f>
        <v>0</v>
      </c>
      <c r="F397" t="str" s="14" cm="1">
        <f t="array" ref="F397">'Question_Bank'!N397</f>
        <v>No</v>
      </c>
      <c r="G397" t="str" s="14" cm="1">
        <f t="array" ref="G397">IF(D397="MCQ","Correct=1, Incorrect=0",IF(F397="Yes","Reverse: 6-response","Direct: response score"))</f>
        <v>Direct: response score</v>
      </c>
      <c r="H397" s="15"/>
    </row>
    <row r="398" ht="17.45" customHeight="1">
      <c r="A398" t="str" s="13" cm="1">
        <f t="array" ref="A398">'Question_Bank'!A398</f>
        <v>NPI0394</v>
      </c>
      <c r="B398" t="str" s="14" cm="1">
        <f t="array" ref="B398">'Question_Bank'!C398</f>
        <v>Emotional Profile</v>
      </c>
      <c r="C398" t="str" s="14" cm="1">
        <f t="array" ref="C398">'Question_Bank'!D398</f>
        <v>Coping</v>
      </c>
      <c r="D398" t="str" s="14" cm="1">
        <f t="array" ref="D398">'Question_Bank'!F398</f>
        <v>Likert</v>
      </c>
      <c r="E398" s="172" cm="1">
        <f t="array" ref="E398">'Question_Bank'!L398</f>
        <v>0</v>
      </c>
      <c r="F398" t="str" s="14" cm="1">
        <f t="array" ref="F398">'Question_Bank'!N398</f>
        <v>No</v>
      </c>
      <c r="G398" t="str" s="14" cm="1">
        <f t="array" ref="G398">IF(D398="MCQ","Correct=1, Incorrect=0",IF(F398="Yes","Reverse: 6-response","Direct: response score"))</f>
        <v>Direct: response score</v>
      </c>
      <c r="H398" s="15"/>
    </row>
    <row r="399" ht="17.45" customHeight="1">
      <c r="A399" t="str" s="13" cm="1">
        <f t="array" ref="A399">'Question_Bank'!A399</f>
        <v>NPI0395</v>
      </c>
      <c r="B399" t="str" s="14" cm="1">
        <f t="array" ref="B399">'Question_Bank'!C399</f>
        <v>Emotional Profile</v>
      </c>
      <c r="C399" t="str" s="14" cm="1">
        <f t="array" ref="C399">'Question_Bank'!D399</f>
        <v>Coping</v>
      </c>
      <c r="D399" t="str" s="14" cm="1">
        <f t="array" ref="D399">'Question_Bank'!F399</f>
        <v>Likert</v>
      </c>
      <c r="E399" s="172" cm="1">
        <f t="array" ref="E399">'Question_Bank'!L399</f>
        <v>0</v>
      </c>
      <c r="F399" t="str" s="14" cm="1">
        <f t="array" ref="F399">'Question_Bank'!N399</f>
        <v>No</v>
      </c>
      <c r="G399" t="str" s="14" cm="1">
        <f t="array" ref="G399">IF(D399="MCQ","Correct=1, Incorrect=0",IF(F399="Yes","Reverse: 6-response","Direct: response score"))</f>
        <v>Direct: response score</v>
      </c>
      <c r="H399" s="15"/>
    </row>
    <row r="400" ht="17.45" customHeight="1">
      <c r="A400" t="str" s="13" cm="1">
        <f t="array" ref="A400">'Question_Bank'!A400</f>
        <v>NPI0396</v>
      </c>
      <c r="B400" t="str" s="14" cm="1">
        <f t="array" ref="B400">'Question_Bank'!C400</f>
        <v>Learning Style</v>
      </c>
      <c r="C400" t="str" s="14" cm="1">
        <f t="array" ref="C400">'Question_Bank'!D400</f>
        <v>Visual</v>
      </c>
      <c r="D400" t="str" s="14" cm="1">
        <f t="array" ref="D400">'Question_Bank'!F400</f>
        <v>Likert</v>
      </c>
      <c r="E400" s="172" cm="1">
        <f t="array" ref="E400">'Question_Bank'!L400</f>
        <v>0</v>
      </c>
      <c r="F400" t="str" s="14" cm="1">
        <f t="array" ref="F400">'Question_Bank'!N400</f>
        <v>No</v>
      </c>
      <c r="G400" t="str" s="14" cm="1">
        <f t="array" ref="G400">IF(D400="MCQ","Correct=1, Incorrect=0",IF(F400="Yes","Reverse: 6-response","Direct: response score"))</f>
        <v>Direct: response score</v>
      </c>
      <c r="H400" s="15"/>
    </row>
    <row r="401" ht="17.45" customHeight="1">
      <c r="A401" t="str" s="13" cm="1">
        <f t="array" ref="A401">'Question_Bank'!A401</f>
        <v>NPI0397</v>
      </c>
      <c r="B401" t="str" s="14" cm="1">
        <f t="array" ref="B401">'Question_Bank'!C401</f>
        <v>Learning Style</v>
      </c>
      <c r="C401" t="str" s="14" cm="1">
        <f t="array" ref="C401">'Question_Bank'!D401</f>
        <v>Visual</v>
      </c>
      <c r="D401" t="str" s="14" cm="1">
        <f t="array" ref="D401">'Question_Bank'!F401</f>
        <v>Likert</v>
      </c>
      <c r="E401" s="172" cm="1">
        <f t="array" ref="E401">'Question_Bank'!L401</f>
        <v>0</v>
      </c>
      <c r="F401" t="str" s="14" cm="1">
        <f t="array" ref="F401">'Question_Bank'!N401</f>
        <v>No</v>
      </c>
      <c r="G401" t="str" s="14" cm="1">
        <f t="array" ref="G401">IF(D401="MCQ","Correct=1, Incorrect=0",IF(F401="Yes","Reverse: 6-response","Direct: response score"))</f>
        <v>Direct: response score</v>
      </c>
      <c r="H401" s="15"/>
    </row>
    <row r="402" ht="17.45" customHeight="1">
      <c r="A402" t="str" s="13" cm="1">
        <f t="array" ref="A402">'Question_Bank'!A402</f>
        <v>NPI0398</v>
      </c>
      <c r="B402" t="str" s="14" cm="1">
        <f t="array" ref="B402">'Question_Bank'!C402</f>
        <v>Learning Style</v>
      </c>
      <c r="C402" t="str" s="14" cm="1">
        <f t="array" ref="C402">'Question_Bank'!D402</f>
        <v>Visual</v>
      </c>
      <c r="D402" t="str" s="14" cm="1">
        <f t="array" ref="D402">'Question_Bank'!F402</f>
        <v>Likert</v>
      </c>
      <c r="E402" s="172" cm="1">
        <f t="array" ref="E402">'Question_Bank'!L402</f>
        <v>0</v>
      </c>
      <c r="F402" t="str" s="14" cm="1">
        <f t="array" ref="F402">'Question_Bank'!N402</f>
        <v>No</v>
      </c>
      <c r="G402" t="str" s="14" cm="1">
        <f t="array" ref="G402">IF(D402="MCQ","Correct=1, Incorrect=0",IF(F402="Yes","Reverse: 6-response","Direct: response score"))</f>
        <v>Direct: response score</v>
      </c>
      <c r="H402" s="15"/>
    </row>
    <row r="403" ht="17.45" customHeight="1">
      <c r="A403" t="str" s="13" cm="1">
        <f t="array" ref="A403">'Question_Bank'!A403</f>
        <v>NPI0399</v>
      </c>
      <c r="B403" t="str" s="14" cm="1">
        <f t="array" ref="B403">'Question_Bank'!C403</f>
        <v>Learning Style</v>
      </c>
      <c r="C403" t="str" s="14" cm="1">
        <f t="array" ref="C403">'Question_Bank'!D403</f>
        <v>Visual</v>
      </c>
      <c r="D403" t="str" s="14" cm="1">
        <f t="array" ref="D403">'Question_Bank'!F403</f>
        <v>Likert</v>
      </c>
      <c r="E403" s="172" cm="1">
        <f t="array" ref="E403">'Question_Bank'!L403</f>
        <v>0</v>
      </c>
      <c r="F403" t="str" s="14" cm="1">
        <f t="array" ref="F403">'Question_Bank'!N403</f>
        <v>No</v>
      </c>
      <c r="G403" t="str" s="14" cm="1">
        <f t="array" ref="G403">IF(D403="MCQ","Correct=1, Incorrect=0",IF(F403="Yes","Reverse: 6-response","Direct: response score"))</f>
        <v>Direct: response score</v>
      </c>
      <c r="H403" s="15"/>
    </row>
    <row r="404" ht="17.45" customHeight="1">
      <c r="A404" t="str" s="13" cm="1">
        <f t="array" ref="A404">'Question_Bank'!A404</f>
        <v>NPI0400</v>
      </c>
      <c r="B404" t="str" s="14" cm="1">
        <f t="array" ref="B404">'Question_Bank'!C404</f>
        <v>Learning Style</v>
      </c>
      <c r="C404" t="str" s="14" cm="1">
        <f t="array" ref="C404">'Question_Bank'!D404</f>
        <v>Visual</v>
      </c>
      <c r="D404" t="str" s="14" cm="1">
        <f t="array" ref="D404">'Question_Bank'!F404</f>
        <v>Likert</v>
      </c>
      <c r="E404" s="172" cm="1">
        <f t="array" ref="E404">'Question_Bank'!L404</f>
        <v>0</v>
      </c>
      <c r="F404" t="str" s="14" cm="1">
        <f t="array" ref="F404">'Question_Bank'!N404</f>
        <v>No</v>
      </c>
      <c r="G404" t="str" s="14" cm="1">
        <f t="array" ref="G404">IF(D404="MCQ","Correct=1, Incorrect=0",IF(F404="Yes","Reverse: 6-response","Direct: response score"))</f>
        <v>Direct: response score</v>
      </c>
      <c r="H404" s="15"/>
    </row>
    <row r="405" ht="17.45" customHeight="1">
      <c r="A405" t="str" s="13" cm="1">
        <f t="array" ref="A405">'Question_Bank'!A405</f>
        <v>NPI0401</v>
      </c>
      <c r="B405" t="str" s="14" cm="1">
        <f t="array" ref="B405">'Question_Bank'!C405</f>
        <v>Learning Style</v>
      </c>
      <c r="C405" t="str" s="14" cm="1">
        <f t="array" ref="C405">'Question_Bank'!D405</f>
        <v>Visual</v>
      </c>
      <c r="D405" t="str" s="14" cm="1">
        <f t="array" ref="D405">'Question_Bank'!F405</f>
        <v>Likert</v>
      </c>
      <c r="E405" s="172" cm="1">
        <f t="array" ref="E405">'Question_Bank'!L405</f>
        <v>0</v>
      </c>
      <c r="F405" t="str" s="14" cm="1">
        <f t="array" ref="F405">'Question_Bank'!N405</f>
        <v>No</v>
      </c>
      <c r="G405" t="str" s="14" cm="1">
        <f t="array" ref="G405">IF(D405="MCQ","Correct=1, Incorrect=0",IF(F405="Yes","Reverse: 6-response","Direct: response score"))</f>
        <v>Direct: response score</v>
      </c>
      <c r="H405" s="15"/>
    </row>
    <row r="406" ht="17.45" customHeight="1">
      <c r="A406" t="str" s="13" cm="1">
        <f t="array" ref="A406">'Question_Bank'!A406</f>
        <v>NPI0402</v>
      </c>
      <c r="B406" t="str" s="14" cm="1">
        <f t="array" ref="B406">'Question_Bank'!C406</f>
        <v>Learning Style</v>
      </c>
      <c r="C406" t="str" s="14" cm="1">
        <f t="array" ref="C406">'Question_Bank'!D406</f>
        <v>Visual</v>
      </c>
      <c r="D406" t="str" s="14" cm="1">
        <f t="array" ref="D406">'Question_Bank'!F406</f>
        <v>Likert</v>
      </c>
      <c r="E406" s="172" cm="1">
        <f t="array" ref="E406">'Question_Bank'!L406</f>
        <v>0</v>
      </c>
      <c r="F406" t="str" s="14" cm="1">
        <f t="array" ref="F406">'Question_Bank'!N406</f>
        <v>No</v>
      </c>
      <c r="G406" t="str" s="14" cm="1">
        <f t="array" ref="G406">IF(D406="MCQ","Correct=1, Incorrect=0",IF(F406="Yes","Reverse: 6-response","Direct: response score"))</f>
        <v>Direct: response score</v>
      </c>
      <c r="H406" s="15"/>
    </row>
    <row r="407" ht="17.45" customHeight="1">
      <c r="A407" t="str" s="13" cm="1">
        <f t="array" ref="A407">'Question_Bank'!A407</f>
        <v>NPI0403</v>
      </c>
      <c r="B407" t="str" s="14" cm="1">
        <f t="array" ref="B407">'Question_Bank'!C407</f>
        <v>Learning Style</v>
      </c>
      <c r="C407" t="str" s="14" cm="1">
        <f t="array" ref="C407">'Question_Bank'!D407</f>
        <v>Visual</v>
      </c>
      <c r="D407" t="str" s="14" cm="1">
        <f t="array" ref="D407">'Question_Bank'!F407</f>
        <v>Likert</v>
      </c>
      <c r="E407" s="172" cm="1">
        <f t="array" ref="E407">'Question_Bank'!L407</f>
        <v>0</v>
      </c>
      <c r="F407" t="str" s="14" cm="1">
        <f t="array" ref="F407">'Question_Bank'!N407</f>
        <v>No</v>
      </c>
      <c r="G407" t="str" s="14" cm="1">
        <f t="array" ref="G407">IF(D407="MCQ","Correct=1, Incorrect=0",IF(F407="Yes","Reverse: 6-response","Direct: response score"))</f>
        <v>Direct: response score</v>
      </c>
      <c r="H407" s="15"/>
    </row>
    <row r="408" ht="17.45" customHeight="1">
      <c r="A408" t="str" s="13" cm="1">
        <f t="array" ref="A408">'Question_Bank'!A408</f>
        <v>NPI0404</v>
      </c>
      <c r="B408" t="str" s="14" cm="1">
        <f t="array" ref="B408">'Question_Bank'!C408</f>
        <v>Learning Style</v>
      </c>
      <c r="C408" t="str" s="14" cm="1">
        <f t="array" ref="C408">'Question_Bank'!D408</f>
        <v>Visual</v>
      </c>
      <c r="D408" t="str" s="14" cm="1">
        <f t="array" ref="D408">'Question_Bank'!F408</f>
        <v>Likert</v>
      </c>
      <c r="E408" s="172" cm="1">
        <f t="array" ref="E408">'Question_Bank'!L408</f>
        <v>0</v>
      </c>
      <c r="F408" t="str" s="14" cm="1">
        <f t="array" ref="F408">'Question_Bank'!N408</f>
        <v>No</v>
      </c>
      <c r="G408" t="str" s="14" cm="1">
        <f t="array" ref="G408">IF(D408="MCQ","Correct=1, Incorrect=0",IF(F408="Yes","Reverse: 6-response","Direct: response score"))</f>
        <v>Direct: response score</v>
      </c>
      <c r="H408" s="15"/>
    </row>
    <row r="409" ht="17.45" customHeight="1">
      <c r="A409" t="str" s="13" cm="1">
        <f t="array" ref="A409">'Question_Bank'!A409</f>
        <v>NPI0405</v>
      </c>
      <c r="B409" t="str" s="14" cm="1">
        <f t="array" ref="B409">'Question_Bank'!C409</f>
        <v>Learning Style</v>
      </c>
      <c r="C409" t="str" s="14" cm="1">
        <f t="array" ref="C409">'Question_Bank'!D409</f>
        <v>Visual</v>
      </c>
      <c r="D409" t="str" s="14" cm="1">
        <f t="array" ref="D409">'Question_Bank'!F409</f>
        <v>Likert</v>
      </c>
      <c r="E409" s="172" cm="1">
        <f t="array" ref="E409">'Question_Bank'!L409</f>
        <v>0</v>
      </c>
      <c r="F409" t="str" s="14" cm="1">
        <f t="array" ref="F409">'Question_Bank'!N409</f>
        <v>No</v>
      </c>
      <c r="G409" t="str" s="14" cm="1">
        <f t="array" ref="G409">IF(D409="MCQ","Correct=1, Incorrect=0",IF(F409="Yes","Reverse: 6-response","Direct: response score"))</f>
        <v>Direct: response score</v>
      </c>
      <c r="H409" s="15"/>
    </row>
    <row r="410" ht="17.45" customHeight="1">
      <c r="A410" t="str" s="13" cm="1">
        <f t="array" ref="A410">'Question_Bank'!A410</f>
        <v>NPI0406</v>
      </c>
      <c r="B410" t="str" s="14" cm="1">
        <f t="array" ref="B410">'Question_Bank'!C410</f>
        <v>Learning Style</v>
      </c>
      <c r="C410" t="str" s="14" cm="1">
        <f t="array" ref="C410">'Question_Bank'!D410</f>
        <v>Visual</v>
      </c>
      <c r="D410" t="str" s="14" cm="1">
        <f t="array" ref="D410">'Question_Bank'!F410</f>
        <v>Likert</v>
      </c>
      <c r="E410" s="172" cm="1">
        <f t="array" ref="E410">'Question_Bank'!L410</f>
        <v>0</v>
      </c>
      <c r="F410" t="str" s="14" cm="1">
        <f t="array" ref="F410">'Question_Bank'!N410</f>
        <v>No</v>
      </c>
      <c r="G410" t="str" s="14" cm="1">
        <f t="array" ref="G410">IF(D410="MCQ","Correct=1, Incorrect=0",IF(F410="Yes","Reverse: 6-response","Direct: response score"))</f>
        <v>Direct: response score</v>
      </c>
      <c r="H410" s="15"/>
    </row>
    <row r="411" ht="17.45" customHeight="1">
      <c r="A411" t="str" s="13" cm="1">
        <f t="array" ref="A411">'Question_Bank'!A411</f>
        <v>NPI0407</v>
      </c>
      <c r="B411" t="str" s="14" cm="1">
        <f t="array" ref="B411">'Question_Bank'!C411</f>
        <v>Learning Style</v>
      </c>
      <c r="C411" t="str" s="14" cm="1">
        <f t="array" ref="C411">'Question_Bank'!D411</f>
        <v>Visual</v>
      </c>
      <c r="D411" t="str" s="14" cm="1">
        <f t="array" ref="D411">'Question_Bank'!F411</f>
        <v>Likert</v>
      </c>
      <c r="E411" s="172" cm="1">
        <f t="array" ref="E411">'Question_Bank'!L411</f>
        <v>0</v>
      </c>
      <c r="F411" t="str" s="14" cm="1">
        <f t="array" ref="F411">'Question_Bank'!N411</f>
        <v>No</v>
      </c>
      <c r="G411" t="str" s="14" cm="1">
        <f t="array" ref="G411">IF(D411="MCQ","Correct=1, Incorrect=0",IF(F411="Yes","Reverse: 6-response","Direct: response score"))</f>
        <v>Direct: response score</v>
      </c>
      <c r="H411" s="15"/>
    </row>
    <row r="412" ht="17.45" customHeight="1">
      <c r="A412" t="str" s="13" cm="1">
        <f t="array" ref="A412">'Question_Bank'!A412</f>
        <v>NPI0408</v>
      </c>
      <c r="B412" t="str" s="14" cm="1">
        <f t="array" ref="B412">'Question_Bank'!C412</f>
        <v>Learning Style</v>
      </c>
      <c r="C412" t="str" s="14" cm="1">
        <f t="array" ref="C412">'Question_Bank'!D412</f>
        <v>Visual</v>
      </c>
      <c r="D412" t="str" s="14" cm="1">
        <f t="array" ref="D412">'Question_Bank'!F412</f>
        <v>Likert</v>
      </c>
      <c r="E412" s="172" cm="1">
        <f t="array" ref="E412">'Question_Bank'!L412</f>
        <v>0</v>
      </c>
      <c r="F412" t="str" s="14" cm="1">
        <f t="array" ref="F412">'Question_Bank'!N412</f>
        <v>No</v>
      </c>
      <c r="G412" t="str" s="14" cm="1">
        <f t="array" ref="G412">IF(D412="MCQ","Correct=1, Incorrect=0",IF(F412="Yes","Reverse: 6-response","Direct: response score"))</f>
        <v>Direct: response score</v>
      </c>
      <c r="H412" s="15"/>
    </row>
    <row r="413" ht="17.45" customHeight="1">
      <c r="A413" t="str" s="13" cm="1">
        <f t="array" ref="A413">'Question_Bank'!A413</f>
        <v>NPI0409</v>
      </c>
      <c r="B413" t="str" s="14" cm="1">
        <f t="array" ref="B413">'Question_Bank'!C413</f>
        <v>Learning Style</v>
      </c>
      <c r="C413" t="str" s="14" cm="1">
        <f t="array" ref="C413">'Question_Bank'!D413</f>
        <v>Visual</v>
      </c>
      <c r="D413" t="str" s="14" cm="1">
        <f t="array" ref="D413">'Question_Bank'!F413</f>
        <v>Likert</v>
      </c>
      <c r="E413" s="172" cm="1">
        <f t="array" ref="E413">'Question_Bank'!L413</f>
        <v>0</v>
      </c>
      <c r="F413" t="str" s="14" cm="1">
        <f t="array" ref="F413">'Question_Bank'!N413</f>
        <v>No</v>
      </c>
      <c r="G413" t="str" s="14" cm="1">
        <f t="array" ref="G413">IF(D413="MCQ","Correct=1, Incorrect=0",IF(F413="Yes","Reverse: 6-response","Direct: response score"))</f>
        <v>Direct: response score</v>
      </c>
      <c r="H413" s="15"/>
    </row>
    <row r="414" ht="17.45" customHeight="1">
      <c r="A414" t="str" s="13" cm="1">
        <f t="array" ref="A414">'Question_Bank'!A414</f>
        <v>NPI0410</v>
      </c>
      <c r="B414" t="str" s="14" cm="1">
        <f t="array" ref="B414">'Question_Bank'!C414</f>
        <v>Learning Style</v>
      </c>
      <c r="C414" t="str" s="14" cm="1">
        <f t="array" ref="C414">'Question_Bank'!D414</f>
        <v>Visual</v>
      </c>
      <c r="D414" t="str" s="14" cm="1">
        <f t="array" ref="D414">'Question_Bank'!F414</f>
        <v>Likert</v>
      </c>
      <c r="E414" s="172" cm="1">
        <f t="array" ref="E414">'Question_Bank'!L414</f>
        <v>0</v>
      </c>
      <c r="F414" t="str" s="14" cm="1">
        <f t="array" ref="F414">'Question_Bank'!N414</f>
        <v>No</v>
      </c>
      <c r="G414" t="str" s="14" cm="1">
        <f t="array" ref="G414">IF(D414="MCQ","Correct=1, Incorrect=0",IF(F414="Yes","Reverse: 6-response","Direct: response score"))</f>
        <v>Direct: response score</v>
      </c>
      <c r="H414" s="15"/>
    </row>
    <row r="415" ht="17.45" customHeight="1">
      <c r="A415" t="str" s="13" cm="1">
        <f t="array" ref="A415">'Question_Bank'!A415</f>
        <v>NPI0411</v>
      </c>
      <c r="B415" t="str" s="14" cm="1">
        <f t="array" ref="B415">'Question_Bank'!C415</f>
        <v>Learning Style</v>
      </c>
      <c r="C415" t="str" s="14" cm="1">
        <f t="array" ref="C415">'Question_Bank'!D415</f>
        <v>Auditory</v>
      </c>
      <c r="D415" t="str" s="14" cm="1">
        <f t="array" ref="D415">'Question_Bank'!F415</f>
        <v>Likert</v>
      </c>
      <c r="E415" s="172" cm="1">
        <f t="array" ref="E415">'Question_Bank'!L415</f>
        <v>0</v>
      </c>
      <c r="F415" t="str" s="14" cm="1">
        <f t="array" ref="F415">'Question_Bank'!N415</f>
        <v>No</v>
      </c>
      <c r="G415" t="str" s="14" cm="1">
        <f t="array" ref="G415">IF(D415="MCQ","Correct=1, Incorrect=0",IF(F415="Yes","Reverse: 6-response","Direct: response score"))</f>
        <v>Direct: response score</v>
      </c>
      <c r="H415" s="15"/>
    </row>
    <row r="416" ht="17.45" customHeight="1">
      <c r="A416" t="str" s="13" cm="1">
        <f t="array" ref="A416">'Question_Bank'!A416</f>
        <v>NPI0412</v>
      </c>
      <c r="B416" t="str" s="14" cm="1">
        <f t="array" ref="B416">'Question_Bank'!C416</f>
        <v>Learning Style</v>
      </c>
      <c r="C416" t="str" s="14" cm="1">
        <f t="array" ref="C416">'Question_Bank'!D416</f>
        <v>Auditory</v>
      </c>
      <c r="D416" t="str" s="14" cm="1">
        <f t="array" ref="D416">'Question_Bank'!F416</f>
        <v>Likert</v>
      </c>
      <c r="E416" s="172" cm="1">
        <f t="array" ref="E416">'Question_Bank'!L416</f>
        <v>0</v>
      </c>
      <c r="F416" t="str" s="14" cm="1">
        <f t="array" ref="F416">'Question_Bank'!N416</f>
        <v>No</v>
      </c>
      <c r="G416" t="str" s="14" cm="1">
        <f t="array" ref="G416">IF(D416="MCQ","Correct=1, Incorrect=0",IF(F416="Yes","Reverse: 6-response","Direct: response score"))</f>
        <v>Direct: response score</v>
      </c>
      <c r="H416" s="15"/>
    </row>
    <row r="417" ht="17.45" customHeight="1">
      <c r="A417" t="str" s="13" cm="1">
        <f t="array" ref="A417">'Question_Bank'!A417</f>
        <v>NPI0413</v>
      </c>
      <c r="B417" t="str" s="14" cm="1">
        <f t="array" ref="B417">'Question_Bank'!C417</f>
        <v>Learning Style</v>
      </c>
      <c r="C417" t="str" s="14" cm="1">
        <f t="array" ref="C417">'Question_Bank'!D417</f>
        <v>Auditory</v>
      </c>
      <c r="D417" t="str" s="14" cm="1">
        <f t="array" ref="D417">'Question_Bank'!F417</f>
        <v>Likert</v>
      </c>
      <c r="E417" s="172" cm="1">
        <f t="array" ref="E417">'Question_Bank'!L417</f>
        <v>0</v>
      </c>
      <c r="F417" t="str" s="14" cm="1">
        <f t="array" ref="F417">'Question_Bank'!N417</f>
        <v>No</v>
      </c>
      <c r="G417" t="str" s="14" cm="1">
        <f t="array" ref="G417">IF(D417="MCQ","Correct=1, Incorrect=0",IF(F417="Yes","Reverse: 6-response","Direct: response score"))</f>
        <v>Direct: response score</v>
      </c>
      <c r="H417" s="15"/>
    </row>
    <row r="418" ht="17.45" customHeight="1">
      <c r="A418" t="str" s="13" cm="1">
        <f t="array" ref="A418">'Question_Bank'!A418</f>
        <v>NPI0414</v>
      </c>
      <c r="B418" t="str" s="14" cm="1">
        <f t="array" ref="B418">'Question_Bank'!C418</f>
        <v>Learning Style</v>
      </c>
      <c r="C418" t="str" s="14" cm="1">
        <f t="array" ref="C418">'Question_Bank'!D418</f>
        <v>Auditory</v>
      </c>
      <c r="D418" t="str" s="14" cm="1">
        <f t="array" ref="D418">'Question_Bank'!F418</f>
        <v>Likert</v>
      </c>
      <c r="E418" s="172" cm="1">
        <f t="array" ref="E418">'Question_Bank'!L418</f>
        <v>0</v>
      </c>
      <c r="F418" t="str" s="14" cm="1">
        <f t="array" ref="F418">'Question_Bank'!N418</f>
        <v>No</v>
      </c>
      <c r="G418" t="str" s="14" cm="1">
        <f t="array" ref="G418">IF(D418="MCQ","Correct=1, Incorrect=0",IF(F418="Yes","Reverse: 6-response","Direct: response score"))</f>
        <v>Direct: response score</v>
      </c>
      <c r="H418" s="15"/>
    </row>
    <row r="419" ht="17.45" customHeight="1">
      <c r="A419" t="str" s="13" cm="1">
        <f t="array" ref="A419">'Question_Bank'!A419</f>
        <v>NPI0415</v>
      </c>
      <c r="B419" t="str" s="14" cm="1">
        <f t="array" ref="B419">'Question_Bank'!C419</f>
        <v>Learning Style</v>
      </c>
      <c r="C419" t="str" s="14" cm="1">
        <f t="array" ref="C419">'Question_Bank'!D419</f>
        <v>Auditory</v>
      </c>
      <c r="D419" t="str" s="14" cm="1">
        <f t="array" ref="D419">'Question_Bank'!F419</f>
        <v>Likert</v>
      </c>
      <c r="E419" s="172" cm="1">
        <f t="array" ref="E419">'Question_Bank'!L419</f>
        <v>0</v>
      </c>
      <c r="F419" t="str" s="14" cm="1">
        <f t="array" ref="F419">'Question_Bank'!N419</f>
        <v>No</v>
      </c>
      <c r="G419" t="str" s="14" cm="1">
        <f t="array" ref="G419">IF(D419="MCQ","Correct=1, Incorrect=0",IF(F419="Yes","Reverse: 6-response","Direct: response score"))</f>
        <v>Direct: response score</v>
      </c>
      <c r="H419" s="15"/>
    </row>
    <row r="420" ht="17.45" customHeight="1">
      <c r="A420" t="str" s="13" cm="1">
        <f t="array" ref="A420">'Question_Bank'!A420</f>
        <v>NPI0416</v>
      </c>
      <c r="B420" t="str" s="14" cm="1">
        <f t="array" ref="B420">'Question_Bank'!C420</f>
        <v>Learning Style</v>
      </c>
      <c r="C420" t="str" s="14" cm="1">
        <f t="array" ref="C420">'Question_Bank'!D420</f>
        <v>Auditory</v>
      </c>
      <c r="D420" t="str" s="14" cm="1">
        <f t="array" ref="D420">'Question_Bank'!F420</f>
        <v>Likert</v>
      </c>
      <c r="E420" s="172" cm="1">
        <f t="array" ref="E420">'Question_Bank'!L420</f>
        <v>0</v>
      </c>
      <c r="F420" t="str" s="14" cm="1">
        <f t="array" ref="F420">'Question_Bank'!N420</f>
        <v>No</v>
      </c>
      <c r="G420" t="str" s="14" cm="1">
        <f t="array" ref="G420">IF(D420="MCQ","Correct=1, Incorrect=0",IF(F420="Yes","Reverse: 6-response","Direct: response score"))</f>
        <v>Direct: response score</v>
      </c>
      <c r="H420" s="15"/>
    </row>
    <row r="421" ht="17.45" customHeight="1">
      <c r="A421" t="str" s="13" cm="1">
        <f t="array" ref="A421">'Question_Bank'!A421</f>
        <v>NPI0417</v>
      </c>
      <c r="B421" t="str" s="14" cm="1">
        <f t="array" ref="B421">'Question_Bank'!C421</f>
        <v>Learning Style</v>
      </c>
      <c r="C421" t="str" s="14" cm="1">
        <f t="array" ref="C421">'Question_Bank'!D421</f>
        <v>Auditory</v>
      </c>
      <c r="D421" t="str" s="14" cm="1">
        <f t="array" ref="D421">'Question_Bank'!F421</f>
        <v>Likert</v>
      </c>
      <c r="E421" s="172" cm="1">
        <f t="array" ref="E421">'Question_Bank'!L421</f>
        <v>0</v>
      </c>
      <c r="F421" t="str" s="14" cm="1">
        <f t="array" ref="F421">'Question_Bank'!N421</f>
        <v>No</v>
      </c>
      <c r="G421" t="str" s="14" cm="1">
        <f t="array" ref="G421">IF(D421="MCQ","Correct=1, Incorrect=0",IF(F421="Yes","Reverse: 6-response","Direct: response score"))</f>
        <v>Direct: response score</v>
      </c>
      <c r="H421" s="15"/>
    </row>
    <row r="422" ht="17.45" customHeight="1">
      <c r="A422" t="str" s="13" cm="1">
        <f t="array" ref="A422">'Question_Bank'!A422</f>
        <v>NPI0418</v>
      </c>
      <c r="B422" t="str" s="14" cm="1">
        <f t="array" ref="B422">'Question_Bank'!C422</f>
        <v>Learning Style</v>
      </c>
      <c r="C422" t="str" s="14" cm="1">
        <f t="array" ref="C422">'Question_Bank'!D422</f>
        <v>Auditory</v>
      </c>
      <c r="D422" t="str" s="14" cm="1">
        <f t="array" ref="D422">'Question_Bank'!F422</f>
        <v>Likert</v>
      </c>
      <c r="E422" s="172" cm="1">
        <f t="array" ref="E422">'Question_Bank'!L422</f>
        <v>0</v>
      </c>
      <c r="F422" t="str" s="14" cm="1">
        <f t="array" ref="F422">'Question_Bank'!N422</f>
        <v>No</v>
      </c>
      <c r="G422" t="str" s="14" cm="1">
        <f t="array" ref="G422">IF(D422="MCQ","Correct=1, Incorrect=0",IF(F422="Yes","Reverse: 6-response","Direct: response score"))</f>
        <v>Direct: response score</v>
      </c>
      <c r="H422" s="15"/>
    </row>
    <row r="423" ht="17.45" customHeight="1">
      <c r="A423" t="str" s="13" cm="1">
        <f t="array" ref="A423">'Question_Bank'!A423</f>
        <v>NPI0419</v>
      </c>
      <c r="B423" t="str" s="14" cm="1">
        <f t="array" ref="B423">'Question_Bank'!C423</f>
        <v>Learning Style</v>
      </c>
      <c r="C423" t="str" s="14" cm="1">
        <f t="array" ref="C423">'Question_Bank'!D423</f>
        <v>Auditory</v>
      </c>
      <c r="D423" t="str" s="14" cm="1">
        <f t="array" ref="D423">'Question_Bank'!F423</f>
        <v>Likert</v>
      </c>
      <c r="E423" s="172" cm="1">
        <f t="array" ref="E423">'Question_Bank'!L423</f>
        <v>0</v>
      </c>
      <c r="F423" t="str" s="14" cm="1">
        <f t="array" ref="F423">'Question_Bank'!N423</f>
        <v>No</v>
      </c>
      <c r="G423" t="str" s="14" cm="1">
        <f t="array" ref="G423">IF(D423="MCQ","Correct=1, Incorrect=0",IF(F423="Yes","Reverse: 6-response","Direct: response score"))</f>
        <v>Direct: response score</v>
      </c>
      <c r="H423" s="15"/>
    </row>
    <row r="424" ht="17.45" customHeight="1">
      <c r="A424" t="str" s="13" cm="1">
        <f t="array" ref="A424">'Question_Bank'!A424</f>
        <v>NPI0420</v>
      </c>
      <c r="B424" t="str" s="14" cm="1">
        <f t="array" ref="B424">'Question_Bank'!C424</f>
        <v>Learning Style</v>
      </c>
      <c r="C424" t="str" s="14" cm="1">
        <f t="array" ref="C424">'Question_Bank'!D424</f>
        <v>Auditory</v>
      </c>
      <c r="D424" t="str" s="14" cm="1">
        <f t="array" ref="D424">'Question_Bank'!F424</f>
        <v>Likert</v>
      </c>
      <c r="E424" s="172" cm="1">
        <f t="array" ref="E424">'Question_Bank'!L424</f>
        <v>0</v>
      </c>
      <c r="F424" t="str" s="14" cm="1">
        <f t="array" ref="F424">'Question_Bank'!N424</f>
        <v>No</v>
      </c>
      <c r="G424" t="str" s="14" cm="1">
        <f t="array" ref="G424">IF(D424="MCQ","Correct=1, Incorrect=0",IF(F424="Yes","Reverse: 6-response","Direct: response score"))</f>
        <v>Direct: response score</v>
      </c>
      <c r="H424" s="15"/>
    </row>
    <row r="425" ht="17.45" customHeight="1">
      <c r="A425" t="str" s="13" cm="1">
        <f t="array" ref="A425">'Question_Bank'!A425</f>
        <v>NPI0421</v>
      </c>
      <c r="B425" t="str" s="14" cm="1">
        <f t="array" ref="B425">'Question_Bank'!C425</f>
        <v>Learning Style</v>
      </c>
      <c r="C425" t="str" s="14" cm="1">
        <f t="array" ref="C425">'Question_Bank'!D425</f>
        <v>Auditory</v>
      </c>
      <c r="D425" t="str" s="14" cm="1">
        <f t="array" ref="D425">'Question_Bank'!F425</f>
        <v>Likert</v>
      </c>
      <c r="E425" s="172" cm="1">
        <f t="array" ref="E425">'Question_Bank'!L425</f>
        <v>0</v>
      </c>
      <c r="F425" t="str" s="14" cm="1">
        <f t="array" ref="F425">'Question_Bank'!N425</f>
        <v>No</v>
      </c>
      <c r="G425" t="str" s="14" cm="1">
        <f t="array" ref="G425">IF(D425="MCQ","Correct=1, Incorrect=0",IF(F425="Yes","Reverse: 6-response","Direct: response score"))</f>
        <v>Direct: response score</v>
      </c>
      <c r="H425" s="15"/>
    </row>
    <row r="426" ht="17.45" customHeight="1">
      <c r="A426" t="str" s="13" cm="1">
        <f t="array" ref="A426">'Question_Bank'!A426</f>
        <v>NPI0422</v>
      </c>
      <c r="B426" t="str" s="14" cm="1">
        <f t="array" ref="B426">'Question_Bank'!C426</f>
        <v>Learning Style</v>
      </c>
      <c r="C426" t="str" s="14" cm="1">
        <f t="array" ref="C426">'Question_Bank'!D426</f>
        <v>Auditory</v>
      </c>
      <c r="D426" t="str" s="14" cm="1">
        <f t="array" ref="D426">'Question_Bank'!F426</f>
        <v>Likert</v>
      </c>
      <c r="E426" s="172" cm="1">
        <f t="array" ref="E426">'Question_Bank'!L426</f>
        <v>0</v>
      </c>
      <c r="F426" t="str" s="14" cm="1">
        <f t="array" ref="F426">'Question_Bank'!N426</f>
        <v>No</v>
      </c>
      <c r="G426" t="str" s="14" cm="1">
        <f t="array" ref="G426">IF(D426="MCQ","Correct=1, Incorrect=0",IF(F426="Yes","Reverse: 6-response","Direct: response score"))</f>
        <v>Direct: response score</v>
      </c>
      <c r="H426" s="15"/>
    </row>
    <row r="427" ht="17.45" customHeight="1">
      <c r="A427" t="str" s="13" cm="1">
        <f t="array" ref="A427">'Question_Bank'!A427</f>
        <v>NPI0423</v>
      </c>
      <c r="B427" t="str" s="14" cm="1">
        <f t="array" ref="B427">'Question_Bank'!C427</f>
        <v>Learning Style</v>
      </c>
      <c r="C427" t="str" s="14" cm="1">
        <f t="array" ref="C427">'Question_Bank'!D427</f>
        <v>Auditory</v>
      </c>
      <c r="D427" t="str" s="14" cm="1">
        <f t="array" ref="D427">'Question_Bank'!F427</f>
        <v>Likert</v>
      </c>
      <c r="E427" s="172" cm="1">
        <f t="array" ref="E427">'Question_Bank'!L427</f>
        <v>0</v>
      </c>
      <c r="F427" t="str" s="14" cm="1">
        <f t="array" ref="F427">'Question_Bank'!N427</f>
        <v>No</v>
      </c>
      <c r="G427" t="str" s="14" cm="1">
        <f t="array" ref="G427">IF(D427="MCQ","Correct=1, Incorrect=0",IF(F427="Yes","Reverse: 6-response","Direct: response score"))</f>
        <v>Direct: response score</v>
      </c>
      <c r="H427" s="15"/>
    </row>
    <row r="428" ht="17.45" customHeight="1">
      <c r="A428" t="str" s="13" cm="1">
        <f t="array" ref="A428">'Question_Bank'!A428</f>
        <v>NPI0424</v>
      </c>
      <c r="B428" t="str" s="14" cm="1">
        <f t="array" ref="B428">'Question_Bank'!C428</f>
        <v>Learning Style</v>
      </c>
      <c r="C428" t="str" s="14" cm="1">
        <f t="array" ref="C428">'Question_Bank'!D428</f>
        <v>Auditory</v>
      </c>
      <c r="D428" t="str" s="14" cm="1">
        <f t="array" ref="D428">'Question_Bank'!F428</f>
        <v>Likert</v>
      </c>
      <c r="E428" s="172" cm="1">
        <f t="array" ref="E428">'Question_Bank'!L428</f>
        <v>0</v>
      </c>
      <c r="F428" t="str" s="14" cm="1">
        <f t="array" ref="F428">'Question_Bank'!N428</f>
        <v>No</v>
      </c>
      <c r="G428" t="str" s="14" cm="1">
        <f t="array" ref="G428">IF(D428="MCQ","Correct=1, Incorrect=0",IF(F428="Yes","Reverse: 6-response","Direct: response score"))</f>
        <v>Direct: response score</v>
      </c>
      <c r="H428" s="15"/>
    </row>
    <row r="429" ht="17.45" customHeight="1">
      <c r="A429" t="str" s="13" cm="1">
        <f t="array" ref="A429">'Question_Bank'!A429</f>
        <v>NPI0425</v>
      </c>
      <c r="B429" t="str" s="14" cm="1">
        <f t="array" ref="B429">'Question_Bank'!C429</f>
        <v>Learning Style</v>
      </c>
      <c r="C429" t="str" s="14" cm="1">
        <f t="array" ref="C429">'Question_Bank'!D429</f>
        <v>Auditory</v>
      </c>
      <c r="D429" t="str" s="14" cm="1">
        <f t="array" ref="D429">'Question_Bank'!F429</f>
        <v>Likert</v>
      </c>
      <c r="E429" s="172" cm="1">
        <f t="array" ref="E429">'Question_Bank'!L429</f>
        <v>0</v>
      </c>
      <c r="F429" t="str" s="14" cm="1">
        <f t="array" ref="F429">'Question_Bank'!N429</f>
        <v>No</v>
      </c>
      <c r="G429" t="str" s="14" cm="1">
        <f t="array" ref="G429">IF(D429="MCQ","Correct=1, Incorrect=0",IF(F429="Yes","Reverse: 6-response","Direct: response score"))</f>
        <v>Direct: response score</v>
      </c>
      <c r="H429" s="15"/>
    </row>
    <row r="430" ht="17.45" customHeight="1">
      <c r="A430" t="str" s="13" cm="1">
        <f t="array" ref="A430">'Question_Bank'!A430</f>
        <v>NPI0426</v>
      </c>
      <c r="B430" t="str" s="14" cm="1">
        <f t="array" ref="B430">'Question_Bank'!C430</f>
        <v>Learning Style</v>
      </c>
      <c r="C430" t="str" s="14" cm="1">
        <f t="array" ref="C430">'Question_Bank'!D430</f>
        <v>Kinesthetic</v>
      </c>
      <c r="D430" t="str" s="14" cm="1">
        <f t="array" ref="D430">'Question_Bank'!F430</f>
        <v>Likert</v>
      </c>
      <c r="E430" s="172" cm="1">
        <f t="array" ref="E430">'Question_Bank'!L430</f>
        <v>0</v>
      </c>
      <c r="F430" t="str" s="14" cm="1">
        <f t="array" ref="F430">'Question_Bank'!N430</f>
        <v>No</v>
      </c>
      <c r="G430" t="str" s="14" cm="1">
        <f t="array" ref="G430">IF(D430="MCQ","Correct=1, Incorrect=0",IF(F430="Yes","Reverse: 6-response","Direct: response score"))</f>
        <v>Direct: response score</v>
      </c>
      <c r="H430" s="15"/>
    </row>
    <row r="431" ht="17.45" customHeight="1">
      <c r="A431" t="str" s="13" cm="1">
        <f t="array" ref="A431">'Question_Bank'!A431</f>
        <v>NPI0427</v>
      </c>
      <c r="B431" t="str" s="14" cm="1">
        <f t="array" ref="B431">'Question_Bank'!C431</f>
        <v>Learning Style</v>
      </c>
      <c r="C431" t="str" s="14" cm="1">
        <f t="array" ref="C431">'Question_Bank'!D431</f>
        <v>Kinesthetic</v>
      </c>
      <c r="D431" t="str" s="14" cm="1">
        <f t="array" ref="D431">'Question_Bank'!F431</f>
        <v>Likert</v>
      </c>
      <c r="E431" s="172" cm="1">
        <f t="array" ref="E431">'Question_Bank'!L431</f>
        <v>0</v>
      </c>
      <c r="F431" t="str" s="14" cm="1">
        <f t="array" ref="F431">'Question_Bank'!N431</f>
        <v>No</v>
      </c>
      <c r="G431" t="str" s="14" cm="1">
        <f t="array" ref="G431">IF(D431="MCQ","Correct=1, Incorrect=0",IF(F431="Yes","Reverse: 6-response","Direct: response score"))</f>
        <v>Direct: response score</v>
      </c>
      <c r="H431" s="15"/>
    </row>
    <row r="432" ht="17.45" customHeight="1">
      <c r="A432" t="str" s="13" cm="1">
        <f t="array" ref="A432">'Question_Bank'!A432</f>
        <v>NPI0428</v>
      </c>
      <c r="B432" t="str" s="14" cm="1">
        <f t="array" ref="B432">'Question_Bank'!C432</f>
        <v>Learning Style</v>
      </c>
      <c r="C432" t="str" s="14" cm="1">
        <f t="array" ref="C432">'Question_Bank'!D432</f>
        <v>Kinesthetic</v>
      </c>
      <c r="D432" t="str" s="14" cm="1">
        <f t="array" ref="D432">'Question_Bank'!F432</f>
        <v>Likert</v>
      </c>
      <c r="E432" s="172" cm="1">
        <f t="array" ref="E432">'Question_Bank'!L432</f>
        <v>0</v>
      </c>
      <c r="F432" t="str" s="14" cm="1">
        <f t="array" ref="F432">'Question_Bank'!N432</f>
        <v>No</v>
      </c>
      <c r="G432" t="str" s="14" cm="1">
        <f t="array" ref="G432">IF(D432="MCQ","Correct=1, Incorrect=0",IF(F432="Yes","Reverse: 6-response","Direct: response score"))</f>
        <v>Direct: response score</v>
      </c>
      <c r="H432" s="15"/>
    </row>
    <row r="433" ht="17.45" customHeight="1">
      <c r="A433" t="str" s="13" cm="1">
        <f t="array" ref="A433">'Question_Bank'!A433</f>
        <v>NPI0429</v>
      </c>
      <c r="B433" t="str" s="14" cm="1">
        <f t="array" ref="B433">'Question_Bank'!C433</f>
        <v>Learning Style</v>
      </c>
      <c r="C433" t="str" s="14" cm="1">
        <f t="array" ref="C433">'Question_Bank'!D433</f>
        <v>Kinesthetic</v>
      </c>
      <c r="D433" t="str" s="14" cm="1">
        <f t="array" ref="D433">'Question_Bank'!F433</f>
        <v>Likert</v>
      </c>
      <c r="E433" s="172" cm="1">
        <f t="array" ref="E433">'Question_Bank'!L433</f>
        <v>0</v>
      </c>
      <c r="F433" t="str" s="14" cm="1">
        <f t="array" ref="F433">'Question_Bank'!N433</f>
        <v>No</v>
      </c>
      <c r="G433" t="str" s="14" cm="1">
        <f t="array" ref="G433">IF(D433="MCQ","Correct=1, Incorrect=0",IF(F433="Yes","Reverse: 6-response","Direct: response score"))</f>
        <v>Direct: response score</v>
      </c>
      <c r="H433" s="15"/>
    </row>
    <row r="434" ht="17.45" customHeight="1">
      <c r="A434" t="str" s="13" cm="1">
        <f t="array" ref="A434">'Question_Bank'!A434</f>
        <v>NPI0430</v>
      </c>
      <c r="B434" t="str" s="14" cm="1">
        <f t="array" ref="B434">'Question_Bank'!C434</f>
        <v>Learning Style</v>
      </c>
      <c r="C434" t="str" s="14" cm="1">
        <f t="array" ref="C434">'Question_Bank'!D434</f>
        <v>Kinesthetic</v>
      </c>
      <c r="D434" t="str" s="14" cm="1">
        <f t="array" ref="D434">'Question_Bank'!F434</f>
        <v>Likert</v>
      </c>
      <c r="E434" s="172" cm="1">
        <f t="array" ref="E434">'Question_Bank'!L434</f>
        <v>0</v>
      </c>
      <c r="F434" t="str" s="14" cm="1">
        <f t="array" ref="F434">'Question_Bank'!N434</f>
        <v>No</v>
      </c>
      <c r="G434" t="str" s="14" cm="1">
        <f t="array" ref="G434">IF(D434="MCQ","Correct=1, Incorrect=0",IF(F434="Yes","Reverse: 6-response","Direct: response score"))</f>
        <v>Direct: response score</v>
      </c>
      <c r="H434" s="15"/>
    </row>
    <row r="435" ht="17.45" customHeight="1">
      <c r="A435" t="str" s="13" cm="1">
        <f t="array" ref="A435">'Question_Bank'!A435</f>
        <v>NPI0431</v>
      </c>
      <c r="B435" t="str" s="14" cm="1">
        <f t="array" ref="B435">'Question_Bank'!C435</f>
        <v>Learning Style</v>
      </c>
      <c r="C435" t="str" s="14" cm="1">
        <f t="array" ref="C435">'Question_Bank'!D435</f>
        <v>Kinesthetic</v>
      </c>
      <c r="D435" t="str" s="14" cm="1">
        <f t="array" ref="D435">'Question_Bank'!F435</f>
        <v>Likert</v>
      </c>
      <c r="E435" s="172" cm="1">
        <f t="array" ref="E435">'Question_Bank'!L435</f>
        <v>0</v>
      </c>
      <c r="F435" t="str" s="14" cm="1">
        <f t="array" ref="F435">'Question_Bank'!N435</f>
        <v>No</v>
      </c>
      <c r="G435" t="str" s="14" cm="1">
        <f t="array" ref="G435">IF(D435="MCQ","Correct=1, Incorrect=0",IF(F435="Yes","Reverse: 6-response","Direct: response score"))</f>
        <v>Direct: response score</v>
      </c>
      <c r="H435" s="15"/>
    </row>
    <row r="436" ht="17.45" customHeight="1">
      <c r="A436" t="str" s="13" cm="1">
        <f t="array" ref="A436">'Question_Bank'!A436</f>
        <v>NPI0432</v>
      </c>
      <c r="B436" t="str" s="14" cm="1">
        <f t="array" ref="B436">'Question_Bank'!C436</f>
        <v>Learning Style</v>
      </c>
      <c r="C436" t="str" s="14" cm="1">
        <f t="array" ref="C436">'Question_Bank'!D436</f>
        <v>Kinesthetic</v>
      </c>
      <c r="D436" t="str" s="14" cm="1">
        <f t="array" ref="D436">'Question_Bank'!F436</f>
        <v>Likert</v>
      </c>
      <c r="E436" s="172" cm="1">
        <f t="array" ref="E436">'Question_Bank'!L436</f>
        <v>0</v>
      </c>
      <c r="F436" t="str" s="14" cm="1">
        <f t="array" ref="F436">'Question_Bank'!N436</f>
        <v>No</v>
      </c>
      <c r="G436" t="str" s="14" cm="1">
        <f t="array" ref="G436">IF(D436="MCQ","Correct=1, Incorrect=0",IF(F436="Yes","Reverse: 6-response","Direct: response score"))</f>
        <v>Direct: response score</v>
      </c>
      <c r="H436" s="15"/>
    </row>
    <row r="437" ht="17.45" customHeight="1">
      <c r="A437" t="str" s="13" cm="1">
        <f t="array" ref="A437">'Question_Bank'!A437</f>
        <v>NPI0433</v>
      </c>
      <c r="B437" t="str" s="14" cm="1">
        <f t="array" ref="B437">'Question_Bank'!C437</f>
        <v>Learning Style</v>
      </c>
      <c r="C437" t="str" s="14" cm="1">
        <f t="array" ref="C437">'Question_Bank'!D437</f>
        <v>Kinesthetic</v>
      </c>
      <c r="D437" t="str" s="14" cm="1">
        <f t="array" ref="D437">'Question_Bank'!F437</f>
        <v>Likert</v>
      </c>
      <c r="E437" s="172" cm="1">
        <f t="array" ref="E437">'Question_Bank'!L437</f>
        <v>0</v>
      </c>
      <c r="F437" t="str" s="14" cm="1">
        <f t="array" ref="F437">'Question_Bank'!N437</f>
        <v>No</v>
      </c>
      <c r="G437" t="str" s="14" cm="1">
        <f t="array" ref="G437">IF(D437="MCQ","Correct=1, Incorrect=0",IF(F437="Yes","Reverse: 6-response","Direct: response score"))</f>
        <v>Direct: response score</v>
      </c>
      <c r="H437" s="15"/>
    </row>
    <row r="438" ht="17.45" customHeight="1">
      <c r="A438" t="str" s="13" cm="1">
        <f t="array" ref="A438">'Question_Bank'!A438</f>
        <v>NPI0434</v>
      </c>
      <c r="B438" t="str" s="14" cm="1">
        <f t="array" ref="B438">'Question_Bank'!C438</f>
        <v>Learning Style</v>
      </c>
      <c r="C438" t="str" s="14" cm="1">
        <f t="array" ref="C438">'Question_Bank'!D438</f>
        <v>Kinesthetic</v>
      </c>
      <c r="D438" t="str" s="14" cm="1">
        <f t="array" ref="D438">'Question_Bank'!F438</f>
        <v>Likert</v>
      </c>
      <c r="E438" s="172" cm="1">
        <f t="array" ref="E438">'Question_Bank'!L438</f>
        <v>0</v>
      </c>
      <c r="F438" t="str" s="14" cm="1">
        <f t="array" ref="F438">'Question_Bank'!N438</f>
        <v>No</v>
      </c>
      <c r="G438" t="str" s="14" cm="1">
        <f t="array" ref="G438">IF(D438="MCQ","Correct=1, Incorrect=0",IF(F438="Yes","Reverse: 6-response","Direct: response score"))</f>
        <v>Direct: response score</v>
      </c>
      <c r="H438" s="15"/>
    </row>
    <row r="439" ht="17.45" customHeight="1">
      <c r="A439" t="str" s="13" cm="1">
        <f t="array" ref="A439">'Question_Bank'!A439</f>
        <v>NPI0435</v>
      </c>
      <c r="B439" t="str" s="14" cm="1">
        <f t="array" ref="B439">'Question_Bank'!C439</f>
        <v>Learning Style</v>
      </c>
      <c r="C439" t="str" s="14" cm="1">
        <f t="array" ref="C439">'Question_Bank'!D439</f>
        <v>Kinesthetic</v>
      </c>
      <c r="D439" t="str" s="14" cm="1">
        <f t="array" ref="D439">'Question_Bank'!F439</f>
        <v>Likert</v>
      </c>
      <c r="E439" s="172" cm="1">
        <f t="array" ref="E439">'Question_Bank'!L439</f>
        <v>0</v>
      </c>
      <c r="F439" t="str" s="14" cm="1">
        <f t="array" ref="F439">'Question_Bank'!N439</f>
        <v>No</v>
      </c>
      <c r="G439" t="str" s="14" cm="1">
        <f t="array" ref="G439">IF(D439="MCQ","Correct=1, Incorrect=0",IF(F439="Yes","Reverse: 6-response","Direct: response score"))</f>
        <v>Direct: response score</v>
      </c>
      <c r="H439" s="15"/>
    </row>
    <row r="440" ht="17.45" customHeight="1">
      <c r="A440" t="str" s="13" cm="1">
        <f t="array" ref="A440">'Question_Bank'!A440</f>
        <v>NPI0436</v>
      </c>
      <c r="B440" t="str" s="14" cm="1">
        <f t="array" ref="B440">'Question_Bank'!C440</f>
        <v>Learning Style</v>
      </c>
      <c r="C440" t="str" s="14" cm="1">
        <f t="array" ref="C440">'Question_Bank'!D440</f>
        <v>Kinesthetic</v>
      </c>
      <c r="D440" t="str" s="14" cm="1">
        <f t="array" ref="D440">'Question_Bank'!F440</f>
        <v>Likert</v>
      </c>
      <c r="E440" s="172" cm="1">
        <f t="array" ref="E440">'Question_Bank'!L440</f>
        <v>0</v>
      </c>
      <c r="F440" t="str" s="14" cm="1">
        <f t="array" ref="F440">'Question_Bank'!N440</f>
        <v>No</v>
      </c>
      <c r="G440" t="str" s="14" cm="1">
        <f t="array" ref="G440">IF(D440="MCQ","Correct=1, Incorrect=0",IF(F440="Yes","Reverse: 6-response","Direct: response score"))</f>
        <v>Direct: response score</v>
      </c>
      <c r="H440" s="15"/>
    </row>
    <row r="441" ht="17.45" customHeight="1">
      <c r="A441" t="str" s="13" cm="1">
        <f t="array" ref="A441">'Question_Bank'!A441</f>
        <v>NPI0437</v>
      </c>
      <c r="B441" t="str" s="14" cm="1">
        <f t="array" ref="B441">'Question_Bank'!C441</f>
        <v>Learning Style</v>
      </c>
      <c r="C441" t="str" s="14" cm="1">
        <f t="array" ref="C441">'Question_Bank'!D441</f>
        <v>Kinesthetic</v>
      </c>
      <c r="D441" t="str" s="14" cm="1">
        <f t="array" ref="D441">'Question_Bank'!F441</f>
        <v>Likert</v>
      </c>
      <c r="E441" s="172" cm="1">
        <f t="array" ref="E441">'Question_Bank'!L441</f>
        <v>0</v>
      </c>
      <c r="F441" t="str" s="14" cm="1">
        <f t="array" ref="F441">'Question_Bank'!N441</f>
        <v>No</v>
      </c>
      <c r="G441" t="str" s="14" cm="1">
        <f t="array" ref="G441">IF(D441="MCQ","Correct=1, Incorrect=0",IF(F441="Yes","Reverse: 6-response","Direct: response score"))</f>
        <v>Direct: response score</v>
      </c>
      <c r="H441" s="15"/>
    </row>
    <row r="442" ht="17.45" customHeight="1">
      <c r="A442" t="str" s="13" cm="1">
        <f t="array" ref="A442">'Question_Bank'!A442</f>
        <v>NPI0438</v>
      </c>
      <c r="B442" t="str" s="14" cm="1">
        <f t="array" ref="B442">'Question_Bank'!C442</f>
        <v>Learning Style</v>
      </c>
      <c r="C442" t="str" s="14" cm="1">
        <f t="array" ref="C442">'Question_Bank'!D442</f>
        <v>Kinesthetic</v>
      </c>
      <c r="D442" t="str" s="14" cm="1">
        <f t="array" ref="D442">'Question_Bank'!F442</f>
        <v>Likert</v>
      </c>
      <c r="E442" s="172" cm="1">
        <f t="array" ref="E442">'Question_Bank'!L442</f>
        <v>0</v>
      </c>
      <c r="F442" t="str" s="14" cm="1">
        <f t="array" ref="F442">'Question_Bank'!N442</f>
        <v>No</v>
      </c>
      <c r="G442" t="str" s="14" cm="1">
        <f t="array" ref="G442">IF(D442="MCQ","Correct=1, Incorrect=0",IF(F442="Yes","Reverse: 6-response","Direct: response score"))</f>
        <v>Direct: response score</v>
      </c>
      <c r="H442" s="15"/>
    </row>
    <row r="443" ht="17.45" customHeight="1">
      <c r="A443" t="str" s="13" cm="1">
        <f t="array" ref="A443">'Question_Bank'!A443</f>
        <v>NPI0439</v>
      </c>
      <c r="B443" t="str" s="14" cm="1">
        <f t="array" ref="B443">'Question_Bank'!C443</f>
        <v>Learning Style</v>
      </c>
      <c r="C443" t="str" s="14" cm="1">
        <f t="array" ref="C443">'Question_Bank'!D443</f>
        <v>Kinesthetic</v>
      </c>
      <c r="D443" t="str" s="14" cm="1">
        <f t="array" ref="D443">'Question_Bank'!F443</f>
        <v>Likert</v>
      </c>
      <c r="E443" s="172" cm="1">
        <f t="array" ref="E443">'Question_Bank'!L443</f>
        <v>0</v>
      </c>
      <c r="F443" t="str" s="14" cm="1">
        <f t="array" ref="F443">'Question_Bank'!N443</f>
        <v>No</v>
      </c>
      <c r="G443" t="str" s="14" cm="1">
        <f t="array" ref="G443">IF(D443="MCQ","Correct=1, Incorrect=0",IF(F443="Yes","Reverse: 6-response","Direct: response score"))</f>
        <v>Direct: response score</v>
      </c>
      <c r="H443" s="15"/>
    </row>
    <row r="444" ht="17.45" customHeight="1">
      <c r="A444" t="str" s="13" cm="1">
        <f t="array" ref="A444">'Question_Bank'!A444</f>
        <v>NPI0440</v>
      </c>
      <c r="B444" t="str" s="14" cm="1">
        <f t="array" ref="B444">'Question_Bank'!C444</f>
        <v>Learning Style</v>
      </c>
      <c r="C444" t="str" s="14" cm="1">
        <f t="array" ref="C444">'Question_Bank'!D444</f>
        <v>Kinesthetic</v>
      </c>
      <c r="D444" t="str" s="14" cm="1">
        <f t="array" ref="D444">'Question_Bank'!F444</f>
        <v>Likert</v>
      </c>
      <c r="E444" s="172" cm="1">
        <f t="array" ref="E444">'Question_Bank'!L444</f>
        <v>0</v>
      </c>
      <c r="F444" t="str" s="14" cm="1">
        <f t="array" ref="F444">'Question_Bank'!N444</f>
        <v>No</v>
      </c>
      <c r="G444" t="str" s="14" cm="1">
        <f t="array" ref="G444">IF(D444="MCQ","Correct=1, Incorrect=0",IF(F444="Yes","Reverse: 6-response","Direct: response score"))</f>
        <v>Direct: response score</v>
      </c>
      <c r="H444" s="15"/>
    </row>
    <row r="445" ht="17.45" customHeight="1">
      <c r="A445" t="str" s="13" cm="1">
        <f t="array" ref="A445">'Question_Bank'!A445</f>
        <v>NPI0441</v>
      </c>
      <c r="B445" t="str" s="14" cm="1">
        <f t="array" ref="B445">'Question_Bank'!C445</f>
        <v>Learning Style</v>
      </c>
      <c r="C445" t="str" s="14" cm="1">
        <f t="array" ref="C445">'Question_Bank'!D445</f>
        <v>ReadingWriting</v>
      </c>
      <c r="D445" t="str" s="14" cm="1">
        <f t="array" ref="D445">'Question_Bank'!F445</f>
        <v>Likert</v>
      </c>
      <c r="E445" s="172" cm="1">
        <f t="array" ref="E445">'Question_Bank'!L445</f>
        <v>0</v>
      </c>
      <c r="F445" t="str" s="14" cm="1">
        <f t="array" ref="F445">'Question_Bank'!N445</f>
        <v>No</v>
      </c>
      <c r="G445" t="str" s="14" cm="1">
        <f t="array" ref="G445">IF(D445="MCQ","Correct=1, Incorrect=0",IF(F445="Yes","Reverse: 6-response","Direct: response score"))</f>
        <v>Direct: response score</v>
      </c>
      <c r="H445" s="15"/>
    </row>
    <row r="446" ht="17.45" customHeight="1">
      <c r="A446" t="str" s="13" cm="1">
        <f t="array" ref="A446">'Question_Bank'!A446</f>
        <v>NPI0442</v>
      </c>
      <c r="B446" t="str" s="14" cm="1">
        <f t="array" ref="B446">'Question_Bank'!C446</f>
        <v>Learning Style</v>
      </c>
      <c r="C446" t="str" s="14" cm="1">
        <f t="array" ref="C446">'Question_Bank'!D446</f>
        <v>ReadingWriting</v>
      </c>
      <c r="D446" t="str" s="14" cm="1">
        <f t="array" ref="D446">'Question_Bank'!F446</f>
        <v>Likert</v>
      </c>
      <c r="E446" s="172" cm="1">
        <f t="array" ref="E446">'Question_Bank'!L446</f>
        <v>0</v>
      </c>
      <c r="F446" t="str" s="14" cm="1">
        <f t="array" ref="F446">'Question_Bank'!N446</f>
        <v>No</v>
      </c>
      <c r="G446" t="str" s="14" cm="1">
        <f t="array" ref="G446">IF(D446="MCQ","Correct=1, Incorrect=0",IF(F446="Yes","Reverse: 6-response","Direct: response score"))</f>
        <v>Direct: response score</v>
      </c>
      <c r="H446" s="15"/>
    </row>
    <row r="447" ht="17.45" customHeight="1">
      <c r="A447" t="str" s="13" cm="1">
        <f t="array" ref="A447">'Question_Bank'!A447</f>
        <v>NPI0443</v>
      </c>
      <c r="B447" t="str" s="14" cm="1">
        <f t="array" ref="B447">'Question_Bank'!C447</f>
        <v>Learning Style</v>
      </c>
      <c r="C447" t="str" s="14" cm="1">
        <f t="array" ref="C447">'Question_Bank'!D447</f>
        <v>ReadingWriting</v>
      </c>
      <c r="D447" t="str" s="14" cm="1">
        <f t="array" ref="D447">'Question_Bank'!F447</f>
        <v>Likert</v>
      </c>
      <c r="E447" s="172" cm="1">
        <f t="array" ref="E447">'Question_Bank'!L447</f>
        <v>0</v>
      </c>
      <c r="F447" t="str" s="14" cm="1">
        <f t="array" ref="F447">'Question_Bank'!N447</f>
        <v>No</v>
      </c>
      <c r="G447" t="str" s="14" cm="1">
        <f t="array" ref="G447">IF(D447="MCQ","Correct=1, Incorrect=0",IF(F447="Yes","Reverse: 6-response","Direct: response score"))</f>
        <v>Direct: response score</v>
      </c>
      <c r="H447" s="15"/>
    </row>
    <row r="448" ht="17.45" customHeight="1">
      <c r="A448" t="str" s="13" cm="1">
        <f t="array" ref="A448">'Question_Bank'!A448</f>
        <v>NPI0444</v>
      </c>
      <c r="B448" t="str" s="14" cm="1">
        <f t="array" ref="B448">'Question_Bank'!C448</f>
        <v>Learning Style</v>
      </c>
      <c r="C448" t="str" s="14" cm="1">
        <f t="array" ref="C448">'Question_Bank'!D448</f>
        <v>ReadingWriting</v>
      </c>
      <c r="D448" t="str" s="14" cm="1">
        <f t="array" ref="D448">'Question_Bank'!F448</f>
        <v>Likert</v>
      </c>
      <c r="E448" s="172" cm="1">
        <f t="array" ref="E448">'Question_Bank'!L448</f>
        <v>0</v>
      </c>
      <c r="F448" t="str" s="14" cm="1">
        <f t="array" ref="F448">'Question_Bank'!N448</f>
        <v>No</v>
      </c>
      <c r="G448" t="str" s="14" cm="1">
        <f t="array" ref="G448">IF(D448="MCQ","Correct=1, Incorrect=0",IF(F448="Yes","Reverse: 6-response","Direct: response score"))</f>
        <v>Direct: response score</v>
      </c>
      <c r="H448" s="15"/>
    </row>
    <row r="449" ht="17.45" customHeight="1">
      <c r="A449" t="str" s="13" cm="1">
        <f t="array" ref="A449">'Question_Bank'!A449</f>
        <v>NPI0445</v>
      </c>
      <c r="B449" t="str" s="14" cm="1">
        <f t="array" ref="B449">'Question_Bank'!C449</f>
        <v>Learning Style</v>
      </c>
      <c r="C449" t="str" s="14" cm="1">
        <f t="array" ref="C449">'Question_Bank'!D449</f>
        <v>ReadingWriting</v>
      </c>
      <c r="D449" t="str" s="14" cm="1">
        <f t="array" ref="D449">'Question_Bank'!F449</f>
        <v>Likert</v>
      </c>
      <c r="E449" s="172" cm="1">
        <f t="array" ref="E449">'Question_Bank'!L449</f>
        <v>0</v>
      </c>
      <c r="F449" t="str" s="14" cm="1">
        <f t="array" ref="F449">'Question_Bank'!N449</f>
        <v>No</v>
      </c>
      <c r="G449" t="str" s="14" cm="1">
        <f t="array" ref="G449">IF(D449="MCQ","Correct=1, Incorrect=0",IF(F449="Yes","Reverse: 6-response","Direct: response score"))</f>
        <v>Direct: response score</v>
      </c>
      <c r="H449" s="15"/>
    </row>
    <row r="450" ht="17.45" customHeight="1">
      <c r="A450" t="str" s="13" cm="1">
        <f t="array" ref="A450">'Question_Bank'!A450</f>
        <v>NPI0446</v>
      </c>
      <c r="B450" t="str" s="14" cm="1">
        <f t="array" ref="B450">'Question_Bank'!C450</f>
        <v>Learning Style</v>
      </c>
      <c r="C450" t="str" s="14" cm="1">
        <f t="array" ref="C450">'Question_Bank'!D450</f>
        <v>ReadingWriting</v>
      </c>
      <c r="D450" t="str" s="14" cm="1">
        <f t="array" ref="D450">'Question_Bank'!F450</f>
        <v>Likert</v>
      </c>
      <c r="E450" s="172" cm="1">
        <f t="array" ref="E450">'Question_Bank'!L450</f>
        <v>0</v>
      </c>
      <c r="F450" t="str" s="14" cm="1">
        <f t="array" ref="F450">'Question_Bank'!N450</f>
        <v>No</v>
      </c>
      <c r="G450" t="str" s="14" cm="1">
        <f t="array" ref="G450">IF(D450="MCQ","Correct=1, Incorrect=0",IF(F450="Yes","Reverse: 6-response","Direct: response score"))</f>
        <v>Direct: response score</v>
      </c>
      <c r="H450" s="15"/>
    </row>
    <row r="451" ht="17.45" customHeight="1">
      <c r="A451" t="str" s="13" cm="1">
        <f t="array" ref="A451">'Question_Bank'!A451</f>
        <v>NPI0447</v>
      </c>
      <c r="B451" t="str" s="14" cm="1">
        <f t="array" ref="B451">'Question_Bank'!C451</f>
        <v>Learning Style</v>
      </c>
      <c r="C451" t="str" s="14" cm="1">
        <f t="array" ref="C451">'Question_Bank'!D451</f>
        <v>ReadingWriting</v>
      </c>
      <c r="D451" t="str" s="14" cm="1">
        <f t="array" ref="D451">'Question_Bank'!F451</f>
        <v>Likert</v>
      </c>
      <c r="E451" s="172" cm="1">
        <f t="array" ref="E451">'Question_Bank'!L451</f>
        <v>0</v>
      </c>
      <c r="F451" t="str" s="14" cm="1">
        <f t="array" ref="F451">'Question_Bank'!N451</f>
        <v>No</v>
      </c>
      <c r="G451" t="str" s="14" cm="1">
        <f t="array" ref="G451">IF(D451="MCQ","Correct=1, Incorrect=0",IF(F451="Yes","Reverse: 6-response","Direct: response score"))</f>
        <v>Direct: response score</v>
      </c>
      <c r="H451" s="15"/>
    </row>
    <row r="452" ht="17.45" customHeight="1">
      <c r="A452" t="str" s="13" cm="1">
        <f t="array" ref="A452">'Question_Bank'!A452</f>
        <v>NPI0448</v>
      </c>
      <c r="B452" t="str" s="14" cm="1">
        <f t="array" ref="B452">'Question_Bank'!C452</f>
        <v>Learning Style</v>
      </c>
      <c r="C452" t="str" s="14" cm="1">
        <f t="array" ref="C452">'Question_Bank'!D452</f>
        <v>ReadingWriting</v>
      </c>
      <c r="D452" t="str" s="14" cm="1">
        <f t="array" ref="D452">'Question_Bank'!F452</f>
        <v>Likert</v>
      </c>
      <c r="E452" s="172" cm="1">
        <f t="array" ref="E452">'Question_Bank'!L452</f>
        <v>0</v>
      </c>
      <c r="F452" t="str" s="14" cm="1">
        <f t="array" ref="F452">'Question_Bank'!N452</f>
        <v>No</v>
      </c>
      <c r="G452" t="str" s="14" cm="1">
        <f t="array" ref="G452">IF(D452="MCQ","Correct=1, Incorrect=0",IF(F452="Yes","Reverse: 6-response","Direct: response score"))</f>
        <v>Direct: response score</v>
      </c>
      <c r="H452" s="15"/>
    </row>
    <row r="453" ht="17.45" customHeight="1">
      <c r="A453" t="str" s="13" cm="1">
        <f t="array" ref="A453">'Question_Bank'!A453</f>
        <v>NPI0449</v>
      </c>
      <c r="B453" t="str" s="14" cm="1">
        <f t="array" ref="B453">'Question_Bank'!C453</f>
        <v>Learning Style</v>
      </c>
      <c r="C453" t="str" s="14" cm="1">
        <f t="array" ref="C453">'Question_Bank'!D453</f>
        <v>ReadingWriting</v>
      </c>
      <c r="D453" t="str" s="14" cm="1">
        <f t="array" ref="D453">'Question_Bank'!F453</f>
        <v>Likert</v>
      </c>
      <c r="E453" s="172" cm="1">
        <f t="array" ref="E453">'Question_Bank'!L453</f>
        <v>0</v>
      </c>
      <c r="F453" t="str" s="14" cm="1">
        <f t="array" ref="F453">'Question_Bank'!N453</f>
        <v>No</v>
      </c>
      <c r="G453" t="str" s="14" cm="1">
        <f t="array" ref="G453">IF(D453="MCQ","Correct=1, Incorrect=0",IF(F453="Yes","Reverse: 6-response","Direct: response score"))</f>
        <v>Direct: response score</v>
      </c>
      <c r="H453" s="15"/>
    </row>
    <row r="454" ht="17.45" customHeight="1">
      <c r="A454" t="str" s="13" cm="1">
        <f t="array" ref="A454">'Question_Bank'!A454</f>
        <v>NPI0450</v>
      </c>
      <c r="B454" t="str" s="14" cm="1">
        <f t="array" ref="B454">'Question_Bank'!C454</f>
        <v>Learning Style</v>
      </c>
      <c r="C454" t="str" s="14" cm="1">
        <f t="array" ref="C454">'Question_Bank'!D454</f>
        <v>ReadingWriting</v>
      </c>
      <c r="D454" t="str" s="14" cm="1">
        <f t="array" ref="D454">'Question_Bank'!F454</f>
        <v>Likert</v>
      </c>
      <c r="E454" s="172" cm="1">
        <f t="array" ref="E454">'Question_Bank'!L454</f>
        <v>0</v>
      </c>
      <c r="F454" t="str" s="14" cm="1">
        <f t="array" ref="F454">'Question_Bank'!N454</f>
        <v>No</v>
      </c>
      <c r="G454" t="str" s="14" cm="1">
        <f t="array" ref="G454">IF(D454="MCQ","Correct=1, Incorrect=0",IF(F454="Yes","Reverse: 6-response","Direct: response score"))</f>
        <v>Direct: response score</v>
      </c>
      <c r="H454" s="15"/>
    </row>
    <row r="455" ht="17.45" customHeight="1">
      <c r="A455" t="str" s="13" cm="1">
        <f t="array" ref="A455">'Question_Bank'!A455</f>
        <v>NPI0451</v>
      </c>
      <c r="B455" t="str" s="14" cm="1">
        <f t="array" ref="B455">'Question_Bank'!C455</f>
        <v>Learning Style</v>
      </c>
      <c r="C455" t="str" s="14" cm="1">
        <f t="array" ref="C455">'Question_Bank'!D455</f>
        <v>ReadingWriting</v>
      </c>
      <c r="D455" t="str" s="14" cm="1">
        <f t="array" ref="D455">'Question_Bank'!F455</f>
        <v>Likert</v>
      </c>
      <c r="E455" s="172" cm="1">
        <f t="array" ref="E455">'Question_Bank'!L455</f>
        <v>0</v>
      </c>
      <c r="F455" t="str" s="14" cm="1">
        <f t="array" ref="F455">'Question_Bank'!N455</f>
        <v>No</v>
      </c>
      <c r="G455" t="str" s="14" cm="1">
        <f t="array" ref="G455">IF(D455="MCQ","Correct=1, Incorrect=0",IF(F455="Yes","Reverse: 6-response","Direct: response score"))</f>
        <v>Direct: response score</v>
      </c>
      <c r="H455" s="15"/>
    </row>
    <row r="456" ht="17.45" customHeight="1">
      <c r="A456" t="str" s="13" cm="1">
        <f t="array" ref="A456">'Question_Bank'!A456</f>
        <v>NPI0452</v>
      </c>
      <c r="B456" t="str" s="14" cm="1">
        <f t="array" ref="B456">'Question_Bank'!C456</f>
        <v>Learning Style</v>
      </c>
      <c r="C456" t="str" s="14" cm="1">
        <f t="array" ref="C456">'Question_Bank'!D456</f>
        <v>ReadingWriting</v>
      </c>
      <c r="D456" t="str" s="14" cm="1">
        <f t="array" ref="D456">'Question_Bank'!F456</f>
        <v>Likert</v>
      </c>
      <c r="E456" s="172" cm="1">
        <f t="array" ref="E456">'Question_Bank'!L456</f>
        <v>0</v>
      </c>
      <c r="F456" t="str" s="14" cm="1">
        <f t="array" ref="F456">'Question_Bank'!N456</f>
        <v>No</v>
      </c>
      <c r="G456" t="str" s="14" cm="1">
        <f t="array" ref="G456">IF(D456="MCQ","Correct=1, Incorrect=0",IF(F456="Yes","Reverse: 6-response","Direct: response score"))</f>
        <v>Direct: response score</v>
      </c>
      <c r="H456" s="15"/>
    </row>
    <row r="457" ht="17.45" customHeight="1">
      <c r="A457" t="str" s="13" cm="1">
        <f t="array" ref="A457">'Question_Bank'!A457</f>
        <v>NPI0453</v>
      </c>
      <c r="B457" t="str" s="14" cm="1">
        <f t="array" ref="B457">'Question_Bank'!C457</f>
        <v>Learning Style</v>
      </c>
      <c r="C457" t="str" s="14" cm="1">
        <f t="array" ref="C457">'Question_Bank'!D457</f>
        <v>ReadingWriting</v>
      </c>
      <c r="D457" t="str" s="14" cm="1">
        <f t="array" ref="D457">'Question_Bank'!F457</f>
        <v>Likert</v>
      </c>
      <c r="E457" s="172" cm="1">
        <f t="array" ref="E457">'Question_Bank'!L457</f>
        <v>0</v>
      </c>
      <c r="F457" t="str" s="14" cm="1">
        <f t="array" ref="F457">'Question_Bank'!N457</f>
        <v>No</v>
      </c>
      <c r="G457" t="str" s="14" cm="1">
        <f t="array" ref="G457">IF(D457="MCQ","Correct=1, Incorrect=0",IF(F457="Yes","Reverse: 6-response","Direct: response score"))</f>
        <v>Direct: response score</v>
      </c>
      <c r="H457" s="15"/>
    </row>
    <row r="458" ht="17.45" customHeight="1">
      <c r="A458" t="str" s="13" cm="1">
        <f t="array" ref="A458">'Question_Bank'!A458</f>
        <v>NPI0454</v>
      </c>
      <c r="B458" t="str" s="14" cm="1">
        <f t="array" ref="B458">'Question_Bank'!C458</f>
        <v>Learning Style</v>
      </c>
      <c r="C458" t="str" s="14" cm="1">
        <f t="array" ref="C458">'Question_Bank'!D458</f>
        <v>ReadingWriting</v>
      </c>
      <c r="D458" t="str" s="14" cm="1">
        <f t="array" ref="D458">'Question_Bank'!F458</f>
        <v>Likert</v>
      </c>
      <c r="E458" s="172" cm="1">
        <f t="array" ref="E458">'Question_Bank'!L458</f>
        <v>0</v>
      </c>
      <c r="F458" t="str" s="14" cm="1">
        <f t="array" ref="F458">'Question_Bank'!N458</f>
        <v>No</v>
      </c>
      <c r="G458" t="str" s="14" cm="1">
        <f t="array" ref="G458">IF(D458="MCQ","Correct=1, Incorrect=0",IF(F458="Yes","Reverse: 6-response","Direct: response score"))</f>
        <v>Direct: response score</v>
      </c>
      <c r="H458" s="15"/>
    </row>
    <row r="459" ht="17.45" customHeight="1">
      <c r="A459" t="str" s="13" cm="1">
        <f t="array" ref="A459">'Question_Bank'!A459</f>
        <v>NPI0455</v>
      </c>
      <c r="B459" t="str" s="14" cm="1">
        <f t="array" ref="B459">'Question_Bank'!C459</f>
        <v>Learning Style</v>
      </c>
      <c r="C459" t="str" s="14" cm="1">
        <f t="array" ref="C459">'Question_Bank'!D459</f>
        <v>ReadingWriting</v>
      </c>
      <c r="D459" t="str" s="14" cm="1">
        <f t="array" ref="D459">'Question_Bank'!F459</f>
        <v>Likert</v>
      </c>
      <c r="E459" s="172" cm="1">
        <f t="array" ref="E459">'Question_Bank'!L459</f>
        <v>0</v>
      </c>
      <c r="F459" t="str" s="14" cm="1">
        <f t="array" ref="F459">'Question_Bank'!N459</f>
        <v>No</v>
      </c>
      <c r="G459" t="str" s="14" cm="1">
        <f t="array" ref="G459">IF(D459="MCQ","Correct=1, Incorrect=0",IF(F459="Yes","Reverse: 6-response","Direct: response score"))</f>
        <v>Direct: response score</v>
      </c>
      <c r="H459" s="15"/>
    </row>
    <row r="460" ht="17.45" customHeight="1">
      <c r="A460" t="str" s="13" cm="1">
        <f t="array" ref="A460">'Question_Bank'!A460</f>
        <v>NPI0456</v>
      </c>
      <c r="B460" t="str" s="14" cm="1">
        <f t="array" ref="B460">'Question_Bank'!C460</f>
        <v>Additional NeuroPi Indicators</v>
      </c>
      <c r="C460" t="str" s="14" cm="1">
        <f t="array" ref="C460">'Question_Bank'!D460</f>
        <v>Motivation</v>
      </c>
      <c r="D460" t="str" s="14" cm="1">
        <f t="array" ref="D460">'Question_Bank'!F460</f>
        <v>Likert</v>
      </c>
      <c r="E460" s="172" cm="1">
        <f t="array" ref="E460">'Question_Bank'!L460</f>
        <v>0</v>
      </c>
      <c r="F460" t="str" s="14" cm="1">
        <f t="array" ref="F460">'Question_Bank'!N460</f>
        <v>No</v>
      </c>
      <c r="G460" t="str" s="14" cm="1">
        <f t="array" ref="G460">IF(D460="MCQ","Correct=1, Incorrect=0",IF(F460="Yes","Reverse: 6-response","Direct: response score"))</f>
        <v>Direct: response score</v>
      </c>
      <c r="H460" s="15"/>
    </row>
    <row r="461" ht="17.45" customHeight="1">
      <c r="A461" t="str" s="13" cm="1">
        <f t="array" ref="A461">'Question_Bank'!A461</f>
        <v>NPI0457</v>
      </c>
      <c r="B461" t="str" s="14" cm="1">
        <f t="array" ref="B461">'Question_Bank'!C461</f>
        <v>Additional NeuroPi Indicators</v>
      </c>
      <c r="C461" t="str" s="14" cm="1">
        <f t="array" ref="C461">'Question_Bank'!D461</f>
        <v>Motivation</v>
      </c>
      <c r="D461" t="str" s="14" cm="1">
        <f t="array" ref="D461">'Question_Bank'!F461</f>
        <v>Likert</v>
      </c>
      <c r="E461" s="172" cm="1">
        <f t="array" ref="E461">'Question_Bank'!L461</f>
        <v>0</v>
      </c>
      <c r="F461" t="str" s="14" cm="1">
        <f t="array" ref="F461">'Question_Bank'!N461</f>
        <v>No</v>
      </c>
      <c r="G461" t="str" s="14" cm="1">
        <f t="array" ref="G461">IF(D461="MCQ","Correct=1, Incorrect=0",IF(F461="Yes","Reverse: 6-response","Direct: response score"))</f>
        <v>Direct: response score</v>
      </c>
      <c r="H461" s="15"/>
    </row>
    <row r="462" ht="17.45" customHeight="1">
      <c r="A462" t="str" s="13" cm="1">
        <f t="array" ref="A462">'Question_Bank'!A462</f>
        <v>NPI0458</v>
      </c>
      <c r="B462" t="str" s="14" cm="1">
        <f t="array" ref="B462">'Question_Bank'!C462</f>
        <v>Additional NeuroPi Indicators</v>
      </c>
      <c r="C462" t="str" s="14" cm="1">
        <f t="array" ref="C462">'Question_Bank'!D462</f>
        <v>Motivation</v>
      </c>
      <c r="D462" t="str" s="14" cm="1">
        <f t="array" ref="D462">'Question_Bank'!F462</f>
        <v>Likert</v>
      </c>
      <c r="E462" s="172" cm="1">
        <f t="array" ref="E462">'Question_Bank'!L462</f>
        <v>0</v>
      </c>
      <c r="F462" t="str" s="14" cm="1">
        <f t="array" ref="F462">'Question_Bank'!N462</f>
        <v>No</v>
      </c>
      <c r="G462" t="str" s="14" cm="1">
        <f t="array" ref="G462">IF(D462="MCQ","Correct=1, Incorrect=0",IF(F462="Yes","Reverse: 6-response","Direct: response score"))</f>
        <v>Direct: response score</v>
      </c>
      <c r="H462" s="15"/>
    </row>
    <row r="463" ht="17.45" customHeight="1">
      <c r="A463" t="str" s="13" cm="1">
        <f t="array" ref="A463">'Question_Bank'!A463</f>
        <v>NPI0459</v>
      </c>
      <c r="B463" t="str" s="14" cm="1">
        <f t="array" ref="B463">'Question_Bank'!C463</f>
        <v>Additional NeuroPi Indicators</v>
      </c>
      <c r="C463" t="str" s="14" cm="1">
        <f t="array" ref="C463">'Question_Bank'!D463</f>
        <v>Motivation</v>
      </c>
      <c r="D463" t="str" s="14" cm="1">
        <f t="array" ref="D463">'Question_Bank'!F463</f>
        <v>Likert</v>
      </c>
      <c r="E463" s="172" cm="1">
        <f t="array" ref="E463">'Question_Bank'!L463</f>
        <v>0</v>
      </c>
      <c r="F463" t="str" s="14" cm="1">
        <f t="array" ref="F463">'Question_Bank'!N463</f>
        <v>No</v>
      </c>
      <c r="G463" t="str" s="14" cm="1">
        <f t="array" ref="G463">IF(D463="MCQ","Correct=1, Incorrect=0",IF(F463="Yes","Reverse: 6-response","Direct: response score"))</f>
        <v>Direct: response score</v>
      </c>
      <c r="H463" s="15"/>
    </row>
    <row r="464" ht="17.45" customHeight="1">
      <c r="A464" t="str" s="13" cm="1">
        <f t="array" ref="A464">'Question_Bank'!A464</f>
        <v>NPI0460</v>
      </c>
      <c r="B464" t="str" s="14" cm="1">
        <f t="array" ref="B464">'Question_Bank'!C464</f>
        <v>Additional NeuroPi Indicators</v>
      </c>
      <c r="C464" t="str" s="14" cm="1">
        <f t="array" ref="C464">'Question_Bank'!D464</f>
        <v>Motivation</v>
      </c>
      <c r="D464" t="str" s="14" cm="1">
        <f t="array" ref="D464">'Question_Bank'!F464</f>
        <v>Likert</v>
      </c>
      <c r="E464" s="172" cm="1">
        <f t="array" ref="E464">'Question_Bank'!L464</f>
        <v>0</v>
      </c>
      <c r="F464" t="str" s="14" cm="1">
        <f t="array" ref="F464">'Question_Bank'!N464</f>
        <v>No</v>
      </c>
      <c r="G464" t="str" s="14" cm="1">
        <f t="array" ref="G464">IF(D464="MCQ","Correct=1, Incorrect=0",IF(F464="Yes","Reverse: 6-response","Direct: response score"))</f>
        <v>Direct: response score</v>
      </c>
      <c r="H464" s="15"/>
    </row>
    <row r="465" ht="17.45" customHeight="1">
      <c r="A465" t="str" s="13" cm="1">
        <f t="array" ref="A465">'Question_Bank'!A465</f>
        <v>NPI0461</v>
      </c>
      <c r="B465" t="str" s="14" cm="1">
        <f t="array" ref="B465">'Question_Bank'!C465</f>
        <v>Additional NeuroPi Indicators</v>
      </c>
      <c r="C465" t="str" s="14" cm="1">
        <f t="array" ref="C465">'Question_Bank'!D465</f>
        <v>Motivation</v>
      </c>
      <c r="D465" t="str" s="14" cm="1">
        <f t="array" ref="D465">'Question_Bank'!F465</f>
        <v>Likert</v>
      </c>
      <c r="E465" s="172" cm="1">
        <f t="array" ref="E465">'Question_Bank'!L465</f>
        <v>0</v>
      </c>
      <c r="F465" t="str" s="14" cm="1">
        <f t="array" ref="F465">'Question_Bank'!N465</f>
        <v>No</v>
      </c>
      <c r="G465" t="str" s="14" cm="1">
        <f t="array" ref="G465">IF(D465="MCQ","Correct=1, Incorrect=0",IF(F465="Yes","Reverse: 6-response","Direct: response score"))</f>
        <v>Direct: response score</v>
      </c>
      <c r="H465" s="15"/>
    </row>
    <row r="466" ht="17.45" customHeight="1">
      <c r="A466" t="str" s="13" cm="1">
        <f t="array" ref="A466">'Question_Bank'!A466</f>
        <v>NPI0462</v>
      </c>
      <c r="B466" t="str" s="14" cm="1">
        <f t="array" ref="B466">'Question_Bank'!C466</f>
        <v>Additional NeuroPi Indicators</v>
      </c>
      <c r="C466" t="str" s="14" cm="1">
        <f t="array" ref="C466">'Question_Bank'!D466</f>
        <v>Motivation</v>
      </c>
      <c r="D466" t="str" s="14" cm="1">
        <f t="array" ref="D466">'Question_Bank'!F466</f>
        <v>Likert</v>
      </c>
      <c r="E466" s="172" cm="1">
        <f t="array" ref="E466">'Question_Bank'!L466</f>
        <v>0</v>
      </c>
      <c r="F466" t="str" s="14" cm="1">
        <f t="array" ref="F466">'Question_Bank'!N466</f>
        <v>No</v>
      </c>
      <c r="G466" t="str" s="14" cm="1">
        <f t="array" ref="G466">IF(D466="MCQ","Correct=1, Incorrect=0",IF(F466="Yes","Reverse: 6-response","Direct: response score"))</f>
        <v>Direct: response score</v>
      </c>
      <c r="H466" s="15"/>
    </row>
    <row r="467" ht="17.45" customHeight="1">
      <c r="A467" t="str" s="13" cm="1">
        <f t="array" ref="A467">'Question_Bank'!A467</f>
        <v>NPI0463</v>
      </c>
      <c r="B467" t="str" s="14" cm="1">
        <f t="array" ref="B467">'Question_Bank'!C467</f>
        <v>Additional NeuroPi Indicators</v>
      </c>
      <c r="C467" t="str" s="14" cm="1">
        <f t="array" ref="C467">'Question_Bank'!D467</f>
        <v>Motivation</v>
      </c>
      <c r="D467" t="str" s="14" cm="1">
        <f t="array" ref="D467">'Question_Bank'!F467</f>
        <v>Likert</v>
      </c>
      <c r="E467" s="172" cm="1">
        <f t="array" ref="E467">'Question_Bank'!L467</f>
        <v>0</v>
      </c>
      <c r="F467" t="str" s="14" cm="1">
        <f t="array" ref="F467">'Question_Bank'!N467</f>
        <v>No</v>
      </c>
      <c r="G467" t="str" s="14" cm="1">
        <f t="array" ref="G467">IF(D467="MCQ","Correct=1, Incorrect=0",IF(F467="Yes","Reverse: 6-response","Direct: response score"))</f>
        <v>Direct: response score</v>
      </c>
      <c r="H467" s="15"/>
    </row>
    <row r="468" ht="17.45" customHeight="1">
      <c r="A468" t="str" s="13" cm="1">
        <f t="array" ref="A468">'Question_Bank'!A468</f>
        <v>NPI0464</v>
      </c>
      <c r="B468" t="str" s="14" cm="1">
        <f t="array" ref="B468">'Question_Bank'!C468</f>
        <v>Additional NeuroPi Indicators</v>
      </c>
      <c r="C468" t="str" s="14" cm="1">
        <f t="array" ref="C468">'Question_Bank'!D468</f>
        <v>Motivation</v>
      </c>
      <c r="D468" t="str" s="14" cm="1">
        <f t="array" ref="D468">'Question_Bank'!F468</f>
        <v>Likert</v>
      </c>
      <c r="E468" s="172" cm="1">
        <f t="array" ref="E468">'Question_Bank'!L468</f>
        <v>0</v>
      </c>
      <c r="F468" t="str" s="14" cm="1">
        <f t="array" ref="F468">'Question_Bank'!N468</f>
        <v>No</v>
      </c>
      <c r="G468" t="str" s="14" cm="1">
        <f t="array" ref="G468">IF(D468="MCQ","Correct=1, Incorrect=0",IF(F468="Yes","Reverse: 6-response","Direct: response score"))</f>
        <v>Direct: response score</v>
      </c>
      <c r="H468" s="15"/>
    </row>
    <row r="469" ht="17.45" customHeight="1">
      <c r="A469" t="str" s="13" cm="1">
        <f t="array" ref="A469">'Question_Bank'!A469</f>
        <v>NPI0465</v>
      </c>
      <c r="B469" t="str" s="14" cm="1">
        <f t="array" ref="B469">'Question_Bank'!C469</f>
        <v>Additional NeuroPi Indicators</v>
      </c>
      <c r="C469" t="str" s="14" cm="1">
        <f t="array" ref="C469">'Question_Bank'!D469</f>
        <v>Motivation</v>
      </c>
      <c r="D469" t="str" s="14" cm="1">
        <f t="array" ref="D469">'Question_Bank'!F469</f>
        <v>Likert</v>
      </c>
      <c r="E469" s="172" cm="1">
        <f t="array" ref="E469">'Question_Bank'!L469</f>
        <v>0</v>
      </c>
      <c r="F469" t="str" s="14" cm="1">
        <f t="array" ref="F469">'Question_Bank'!N469</f>
        <v>No</v>
      </c>
      <c r="G469" t="str" s="14" cm="1">
        <f t="array" ref="G469">IF(D469="MCQ","Correct=1, Incorrect=0",IF(F469="Yes","Reverse: 6-response","Direct: response score"))</f>
        <v>Direct: response score</v>
      </c>
      <c r="H469" s="15"/>
    </row>
    <row r="470" ht="17.45" customHeight="1">
      <c r="A470" t="str" s="13" cm="1">
        <f t="array" ref="A470">'Question_Bank'!A470</f>
        <v>NPI0466</v>
      </c>
      <c r="B470" t="str" s="14" cm="1">
        <f t="array" ref="B470">'Question_Bank'!C470</f>
        <v>Additional NeuroPi Indicators</v>
      </c>
      <c r="C470" t="str" s="14" cm="1">
        <f t="array" ref="C470">'Question_Bank'!D470</f>
        <v>Motivation</v>
      </c>
      <c r="D470" t="str" s="14" cm="1">
        <f t="array" ref="D470">'Question_Bank'!F470</f>
        <v>Likert</v>
      </c>
      <c r="E470" s="172" cm="1">
        <f t="array" ref="E470">'Question_Bank'!L470</f>
        <v>0</v>
      </c>
      <c r="F470" t="str" s="14" cm="1">
        <f t="array" ref="F470">'Question_Bank'!N470</f>
        <v>No</v>
      </c>
      <c r="G470" t="str" s="14" cm="1">
        <f t="array" ref="G470">IF(D470="MCQ","Correct=1, Incorrect=0",IF(F470="Yes","Reverse: 6-response","Direct: response score"))</f>
        <v>Direct: response score</v>
      </c>
      <c r="H470" s="15"/>
    </row>
    <row r="471" ht="17.45" customHeight="1">
      <c r="A471" t="str" s="13" cm="1">
        <f t="array" ref="A471">'Question_Bank'!A471</f>
        <v>NPI0467</v>
      </c>
      <c r="B471" t="str" s="14" cm="1">
        <f t="array" ref="B471">'Question_Bank'!C471</f>
        <v>Additional NeuroPi Indicators</v>
      </c>
      <c r="C471" t="str" s="14" cm="1">
        <f t="array" ref="C471">'Question_Bank'!D471</f>
        <v>Motivation</v>
      </c>
      <c r="D471" t="str" s="14" cm="1">
        <f t="array" ref="D471">'Question_Bank'!F471</f>
        <v>Likert</v>
      </c>
      <c r="E471" s="172" cm="1">
        <f t="array" ref="E471">'Question_Bank'!L471</f>
        <v>0</v>
      </c>
      <c r="F471" t="str" s="14" cm="1">
        <f t="array" ref="F471">'Question_Bank'!N471</f>
        <v>No</v>
      </c>
      <c r="G471" t="str" s="14" cm="1">
        <f t="array" ref="G471">IF(D471="MCQ","Correct=1, Incorrect=0",IF(F471="Yes","Reverse: 6-response","Direct: response score"))</f>
        <v>Direct: response score</v>
      </c>
      <c r="H471" s="15"/>
    </row>
    <row r="472" ht="17.45" customHeight="1">
      <c r="A472" t="str" s="13" cm="1">
        <f t="array" ref="A472">'Question_Bank'!A472</f>
        <v>NPI0468</v>
      </c>
      <c r="B472" t="str" s="14" cm="1">
        <f t="array" ref="B472">'Question_Bank'!C472</f>
        <v>Additional NeuroPi Indicators</v>
      </c>
      <c r="C472" t="str" s="14" cm="1">
        <f t="array" ref="C472">'Question_Bank'!D472</f>
        <v>Motivation</v>
      </c>
      <c r="D472" t="str" s="14" cm="1">
        <f t="array" ref="D472">'Question_Bank'!F472</f>
        <v>Likert</v>
      </c>
      <c r="E472" s="172" cm="1">
        <f t="array" ref="E472">'Question_Bank'!L472</f>
        <v>0</v>
      </c>
      <c r="F472" t="str" s="14" cm="1">
        <f t="array" ref="F472">'Question_Bank'!N472</f>
        <v>No</v>
      </c>
      <c r="G472" t="str" s="14" cm="1">
        <f t="array" ref="G472">IF(D472="MCQ","Correct=1, Incorrect=0",IF(F472="Yes","Reverse: 6-response","Direct: response score"))</f>
        <v>Direct: response score</v>
      </c>
      <c r="H472" s="15"/>
    </row>
    <row r="473" ht="17.45" customHeight="1">
      <c r="A473" t="str" s="13" cm="1">
        <f t="array" ref="A473">'Question_Bank'!A473</f>
        <v>NPI0469</v>
      </c>
      <c r="B473" t="str" s="14" cm="1">
        <f t="array" ref="B473">'Question_Bank'!C473</f>
        <v>Additional NeuroPi Indicators</v>
      </c>
      <c r="C473" t="str" s="14" cm="1">
        <f t="array" ref="C473">'Question_Bank'!D473</f>
        <v>Motivation</v>
      </c>
      <c r="D473" t="str" s="14" cm="1">
        <f t="array" ref="D473">'Question_Bank'!F473</f>
        <v>Likert</v>
      </c>
      <c r="E473" s="172" cm="1">
        <f t="array" ref="E473">'Question_Bank'!L473</f>
        <v>0</v>
      </c>
      <c r="F473" t="str" s="14" cm="1">
        <f t="array" ref="F473">'Question_Bank'!N473</f>
        <v>No</v>
      </c>
      <c r="G473" t="str" s="14" cm="1">
        <f t="array" ref="G473">IF(D473="MCQ","Correct=1, Incorrect=0",IF(F473="Yes","Reverse: 6-response","Direct: response score"))</f>
        <v>Direct: response score</v>
      </c>
      <c r="H473" s="15"/>
    </row>
    <row r="474" ht="17.45" customHeight="1">
      <c r="A474" t="str" s="13" cm="1">
        <f t="array" ref="A474">'Question_Bank'!A474</f>
        <v>NPI0470</v>
      </c>
      <c r="B474" t="str" s="14" cm="1">
        <f t="array" ref="B474">'Question_Bank'!C474</f>
        <v>Additional NeuroPi Indicators</v>
      </c>
      <c r="C474" t="str" s="14" cm="1">
        <f t="array" ref="C474">'Question_Bank'!D474</f>
        <v>Motivation</v>
      </c>
      <c r="D474" t="str" s="14" cm="1">
        <f t="array" ref="D474">'Question_Bank'!F474</f>
        <v>Likert</v>
      </c>
      <c r="E474" s="172" cm="1">
        <f t="array" ref="E474">'Question_Bank'!L474</f>
        <v>0</v>
      </c>
      <c r="F474" t="str" s="14" cm="1">
        <f t="array" ref="F474">'Question_Bank'!N474</f>
        <v>No</v>
      </c>
      <c r="G474" t="str" s="14" cm="1">
        <f t="array" ref="G474">IF(D474="MCQ","Correct=1, Incorrect=0",IF(F474="Yes","Reverse: 6-response","Direct: response score"))</f>
        <v>Direct: response score</v>
      </c>
      <c r="H474" s="15"/>
    </row>
    <row r="475" ht="17.45" customHeight="1">
      <c r="A475" t="str" s="13" cm="1">
        <f t="array" ref="A475">'Question_Bank'!A475</f>
        <v>NPI0471</v>
      </c>
      <c r="B475" t="str" s="14" cm="1">
        <f t="array" ref="B475">'Question_Bank'!C475</f>
        <v>Additional NeuroPi Indicators</v>
      </c>
      <c r="C475" t="str" s="14" cm="1">
        <f t="array" ref="C475">'Question_Bank'!D475</f>
        <v>Motivation</v>
      </c>
      <c r="D475" t="str" s="14" cm="1">
        <f t="array" ref="D475">'Question_Bank'!F475</f>
        <v>Likert</v>
      </c>
      <c r="E475" s="172" cm="1">
        <f t="array" ref="E475">'Question_Bank'!L475</f>
        <v>0</v>
      </c>
      <c r="F475" t="str" s="14" cm="1">
        <f t="array" ref="F475">'Question_Bank'!N475</f>
        <v>No</v>
      </c>
      <c r="G475" t="str" s="14" cm="1">
        <f t="array" ref="G475">IF(D475="MCQ","Correct=1, Incorrect=0",IF(F475="Yes","Reverse: 6-response","Direct: response score"))</f>
        <v>Direct: response score</v>
      </c>
      <c r="H475" s="15"/>
    </row>
    <row r="476" ht="17.45" customHeight="1">
      <c r="A476" t="str" s="13" cm="1">
        <f t="array" ref="A476">'Question_Bank'!A476</f>
        <v>NPI0472</v>
      </c>
      <c r="B476" t="str" s="14" cm="1">
        <f t="array" ref="B476">'Question_Bank'!C476</f>
        <v>Additional NeuroPi Indicators</v>
      </c>
      <c r="C476" t="str" s="14" cm="1">
        <f t="array" ref="C476">'Question_Bank'!D476</f>
        <v>Motivation</v>
      </c>
      <c r="D476" t="str" s="14" cm="1">
        <f t="array" ref="D476">'Question_Bank'!F476</f>
        <v>Likert</v>
      </c>
      <c r="E476" s="172" cm="1">
        <f t="array" ref="E476">'Question_Bank'!L476</f>
        <v>0</v>
      </c>
      <c r="F476" t="str" s="14" cm="1">
        <f t="array" ref="F476">'Question_Bank'!N476</f>
        <v>No</v>
      </c>
      <c r="G476" t="str" s="14" cm="1">
        <f t="array" ref="G476">IF(D476="MCQ","Correct=1, Incorrect=0",IF(F476="Yes","Reverse: 6-response","Direct: response score"))</f>
        <v>Direct: response score</v>
      </c>
      <c r="H476" s="15"/>
    </row>
    <row r="477" ht="17.45" customHeight="1">
      <c r="A477" t="str" s="13" cm="1">
        <f t="array" ref="A477">'Question_Bank'!A477</f>
        <v>NPI0473</v>
      </c>
      <c r="B477" t="str" s="14" cm="1">
        <f t="array" ref="B477">'Question_Bank'!C477</f>
        <v>Additional NeuroPi Indicators</v>
      </c>
      <c r="C477" t="str" s="14" cm="1">
        <f t="array" ref="C477">'Question_Bank'!D477</f>
        <v>Motivation</v>
      </c>
      <c r="D477" t="str" s="14" cm="1">
        <f t="array" ref="D477">'Question_Bank'!F477</f>
        <v>Likert</v>
      </c>
      <c r="E477" s="172" cm="1">
        <f t="array" ref="E477">'Question_Bank'!L477</f>
        <v>0</v>
      </c>
      <c r="F477" t="str" s="14" cm="1">
        <f t="array" ref="F477">'Question_Bank'!N477</f>
        <v>No</v>
      </c>
      <c r="G477" t="str" s="14" cm="1">
        <f t="array" ref="G477">IF(D477="MCQ","Correct=1, Incorrect=0",IF(F477="Yes","Reverse: 6-response","Direct: response score"))</f>
        <v>Direct: response score</v>
      </c>
      <c r="H477" s="15"/>
    </row>
    <row r="478" ht="17.45" customHeight="1">
      <c r="A478" t="str" s="13" cm="1">
        <f t="array" ref="A478">'Question_Bank'!A478</f>
        <v>NPI0474</v>
      </c>
      <c r="B478" t="str" s="14" cm="1">
        <f t="array" ref="B478">'Question_Bank'!C478</f>
        <v>Additional NeuroPi Indicators</v>
      </c>
      <c r="C478" t="str" s="14" cm="1">
        <f t="array" ref="C478">'Question_Bank'!D478</f>
        <v>Motivation</v>
      </c>
      <c r="D478" t="str" s="14" cm="1">
        <f t="array" ref="D478">'Question_Bank'!F478</f>
        <v>Likert</v>
      </c>
      <c r="E478" s="172" cm="1">
        <f t="array" ref="E478">'Question_Bank'!L478</f>
        <v>0</v>
      </c>
      <c r="F478" t="str" s="14" cm="1">
        <f t="array" ref="F478">'Question_Bank'!N478</f>
        <v>No</v>
      </c>
      <c r="G478" t="str" s="14" cm="1">
        <f t="array" ref="G478">IF(D478="MCQ","Correct=1, Incorrect=0",IF(F478="Yes","Reverse: 6-response","Direct: response score"))</f>
        <v>Direct: response score</v>
      </c>
      <c r="H478" s="15"/>
    </row>
    <row r="479" ht="17.45" customHeight="1">
      <c r="A479" t="str" s="13" cm="1">
        <f t="array" ref="A479">'Question_Bank'!A479</f>
        <v>NPI0475</v>
      </c>
      <c r="B479" t="str" s="14" cm="1">
        <f t="array" ref="B479">'Question_Bank'!C479</f>
        <v>Additional NeuroPi Indicators</v>
      </c>
      <c r="C479" t="str" s="14" cm="1">
        <f t="array" ref="C479">'Question_Bank'!D479</f>
        <v>Motivation</v>
      </c>
      <c r="D479" t="str" s="14" cm="1">
        <f t="array" ref="D479">'Question_Bank'!F479</f>
        <v>Likert</v>
      </c>
      <c r="E479" s="172" cm="1">
        <f t="array" ref="E479">'Question_Bank'!L479</f>
        <v>0</v>
      </c>
      <c r="F479" t="str" s="14" cm="1">
        <f t="array" ref="F479">'Question_Bank'!N479</f>
        <v>No</v>
      </c>
      <c r="G479" t="str" s="14" cm="1">
        <f t="array" ref="G479">IF(D479="MCQ","Correct=1, Incorrect=0",IF(F479="Yes","Reverse: 6-response","Direct: response score"))</f>
        <v>Direct: response score</v>
      </c>
      <c r="H479" s="15"/>
    </row>
    <row r="480" ht="17.45" customHeight="1">
      <c r="A480" t="str" s="13" cm="1">
        <f t="array" ref="A480">'Question_Bank'!A480</f>
        <v>NPI0476</v>
      </c>
      <c r="B480" t="str" s="14" cm="1">
        <f t="array" ref="B480">'Question_Bank'!C480</f>
        <v>Additional NeuroPi Indicators</v>
      </c>
      <c r="C480" t="str" s="14" cm="1">
        <f t="array" ref="C480">'Question_Bank'!D480</f>
        <v>StudyHabits</v>
      </c>
      <c r="D480" t="str" s="14" cm="1">
        <f t="array" ref="D480">'Question_Bank'!F480</f>
        <v>Likert</v>
      </c>
      <c r="E480" s="172" cm="1">
        <f t="array" ref="E480">'Question_Bank'!L480</f>
        <v>0</v>
      </c>
      <c r="F480" t="str" s="14" cm="1">
        <f t="array" ref="F480">'Question_Bank'!N480</f>
        <v>No</v>
      </c>
      <c r="G480" t="str" s="14" cm="1">
        <f t="array" ref="G480">IF(D480="MCQ","Correct=1, Incorrect=0",IF(F480="Yes","Reverse: 6-response","Direct: response score"))</f>
        <v>Direct: response score</v>
      </c>
      <c r="H480" s="15"/>
    </row>
    <row r="481" ht="17.45" customHeight="1">
      <c r="A481" t="str" s="13" cm="1">
        <f t="array" ref="A481">'Question_Bank'!A481</f>
        <v>NPI0477</v>
      </c>
      <c r="B481" t="str" s="14" cm="1">
        <f t="array" ref="B481">'Question_Bank'!C481</f>
        <v>Additional NeuroPi Indicators</v>
      </c>
      <c r="C481" t="str" s="14" cm="1">
        <f t="array" ref="C481">'Question_Bank'!D481</f>
        <v>StudyHabits</v>
      </c>
      <c r="D481" t="str" s="14" cm="1">
        <f t="array" ref="D481">'Question_Bank'!F481</f>
        <v>Likert</v>
      </c>
      <c r="E481" s="172" cm="1">
        <f t="array" ref="E481">'Question_Bank'!L481</f>
        <v>0</v>
      </c>
      <c r="F481" t="str" s="14" cm="1">
        <f t="array" ref="F481">'Question_Bank'!N481</f>
        <v>No</v>
      </c>
      <c r="G481" t="str" s="14" cm="1">
        <f t="array" ref="G481">IF(D481="MCQ","Correct=1, Incorrect=0",IF(F481="Yes","Reverse: 6-response","Direct: response score"))</f>
        <v>Direct: response score</v>
      </c>
      <c r="H481" s="15"/>
    </row>
    <row r="482" ht="17.45" customHeight="1">
      <c r="A482" t="str" s="13" cm="1">
        <f t="array" ref="A482">'Question_Bank'!A482</f>
        <v>NPI0478</v>
      </c>
      <c r="B482" t="str" s="14" cm="1">
        <f t="array" ref="B482">'Question_Bank'!C482</f>
        <v>Additional NeuroPi Indicators</v>
      </c>
      <c r="C482" t="str" s="14" cm="1">
        <f t="array" ref="C482">'Question_Bank'!D482</f>
        <v>StudyHabits</v>
      </c>
      <c r="D482" t="str" s="14" cm="1">
        <f t="array" ref="D482">'Question_Bank'!F482</f>
        <v>Likert</v>
      </c>
      <c r="E482" s="172" cm="1">
        <f t="array" ref="E482">'Question_Bank'!L482</f>
        <v>0</v>
      </c>
      <c r="F482" t="str" s="14" cm="1">
        <f t="array" ref="F482">'Question_Bank'!N482</f>
        <v>No</v>
      </c>
      <c r="G482" t="str" s="14" cm="1">
        <f t="array" ref="G482">IF(D482="MCQ","Correct=1, Incorrect=0",IF(F482="Yes","Reverse: 6-response","Direct: response score"))</f>
        <v>Direct: response score</v>
      </c>
      <c r="H482" s="15"/>
    </row>
    <row r="483" ht="17.45" customHeight="1">
      <c r="A483" t="str" s="13" cm="1">
        <f t="array" ref="A483">'Question_Bank'!A483</f>
        <v>NPI0479</v>
      </c>
      <c r="B483" t="str" s="14" cm="1">
        <f t="array" ref="B483">'Question_Bank'!C483</f>
        <v>Additional NeuroPi Indicators</v>
      </c>
      <c r="C483" t="str" s="14" cm="1">
        <f t="array" ref="C483">'Question_Bank'!D483</f>
        <v>StudyHabits</v>
      </c>
      <c r="D483" t="str" s="14" cm="1">
        <f t="array" ref="D483">'Question_Bank'!F483</f>
        <v>Likert</v>
      </c>
      <c r="E483" s="172" cm="1">
        <f t="array" ref="E483">'Question_Bank'!L483</f>
        <v>0</v>
      </c>
      <c r="F483" t="str" s="14" cm="1">
        <f t="array" ref="F483">'Question_Bank'!N483</f>
        <v>No</v>
      </c>
      <c r="G483" t="str" s="14" cm="1">
        <f t="array" ref="G483">IF(D483="MCQ","Correct=1, Incorrect=0",IF(F483="Yes","Reverse: 6-response","Direct: response score"))</f>
        <v>Direct: response score</v>
      </c>
      <c r="H483" s="15"/>
    </row>
    <row r="484" ht="17.45" customHeight="1">
      <c r="A484" t="str" s="13" cm="1">
        <f t="array" ref="A484">'Question_Bank'!A484</f>
        <v>NPI0480</v>
      </c>
      <c r="B484" t="str" s="14" cm="1">
        <f t="array" ref="B484">'Question_Bank'!C484</f>
        <v>Additional NeuroPi Indicators</v>
      </c>
      <c r="C484" t="str" s="14" cm="1">
        <f t="array" ref="C484">'Question_Bank'!D484</f>
        <v>StudyHabits</v>
      </c>
      <c r="D484" t="str" s="14" cm="1">
        <f t="array" ref="D484">'Question_Bank'!F484</f>
        <v>Likert</v>
      </c>
      <c r="E484" s="172" cm="1">
        <f t="array" ref="E484">'Question_Bank'!L484</f>
        <v>0</v>
      </c>
      <c r="F484" t="str" s="14" cm="1">
        <f t="array" ref="F484">'Question_Bank'!N484</f>
        <v>No</v>
      </c>
      <c r="G484" t="str" s="14" cm="1">
        <f t="array" ref="G484">IF(D484="MCQ","Correct=1, Incorrect=0",IF(F484="Yes","Reverse: 6-response","Direct: response score"))</f>
        <v>Direct: response score</v>
      </c>
      <c r="H484" s="15"/>
    </row>
    <row r="485" ht="17.45" customHeight="1">
      <c r="A485" t="str" s="13" cm="1">
        <f t="array" ref="A485">'Question_Bank'!A485</f>
        <v>NPI0481</v>
      </c>
      <c r="B485" t="str" s="14" cm="1">
        <f t="array" ref="B485">'Question_Bank'!C485</f>
        <v>Additional NeuroPi Indicators</v>
      </c>
      <c r="C485" t="str" s="14" cm="1">
        <f t="array" ref="C485">'Question_Bank'!D485</f>
        <v>StudyHabits</v>
      </c>
      <c r="D485" t="str" s="14" cm="1">
        <f t="array" ref="D485">'Question_Bank'!F485</f>
        <v>Likert</v>
      </c>
      <c r="E485" s="172" cm="1">
        <f t="array" ref="E485">'Question_Bank'!L485</f>
        <v>0</v>
      </c>
      <c r="F485" t="str" s="14" cm="1">
        <f t="array" ref="F485">'Question_Bank'!N485</f>
        <v>No</v>
      </c>
      <c r="G485" t="str" s="14" cm="1">
        <f t="array" ref="G485">IF(D485="MCQ","Correct=1, Incorrect=0",IF(F485="Yes","Reverse: 6-response","Direct: response score"))</f>
        <v>Direct: response score</v>
      </c>
      <c r="H485" s="15"/>
    </row>
    <row r="486" ht="17.45" customHeight="1">
      <c r="A486" t="str" s="13" cm="1">
        <f t="array" ref="A486">'Question_Bank'!A486</f>
        <v>NPI0482</v>
      </c>
      <c r="B486" t="str" s="14" cm="1">
        <f t="array" ref="B486">'Question_Bank'!C486</f>
        <v>Additional NeuroPi Indicators</v>
      </c>
      <c r="C486" t="str" s="14" cm="1">
        <f t="array" ref="C486">'Question_Bank'!D486</f>
        <v>StudyHabits</v>
      </c>
      <c r="D486" t="str" s="14" cm="1">
        <f t="array" ref="D486">'Question_Bank'!F486</f>
        <v>Likert</v>
      </c>
      <c r="E486" s="172" cm="1">
        <f t="array" ref="E486">'Question_Bank'!L486</f>
        <v>0</v>
      </c>
      <c r="F486" t="str" s="14" cm="1">
        <f t="array" ref="F486">'Question_Bank'!N486</f>
        <v>No</v>
      </c>
      <c r="G486" t="str" s="14" cm="1">
        <f t="array" ref="G486">IF(D486="MCQ","Correct=1, Incorrect=0",IF(F486="Yes","Reverse: 6-response","Direct: response score"))</f>
        <v>Direct: response score</v>
      </c>
      <c r="H486" s="15"/>
    </row>
    <row r="487" ht="17.45" customHeight="1">
      <c r="A487" t="str" s="13" cm="1">
        <f t="array" ref="A487">'Question_Bank'!A487</f>
        <v>NPI0483</v>
      </c>
      <c r="B487" t="str" s="14" cm="1">
        <f t="array" ref="B487">'Question_Bank'!C487</f>
        <v>Additional NeuroPi Indicators</v>
      </c>
      <c r="C487" t="str" s="14" cm="1">
        <f t="array" ref="C487">'Question_Bank'!D487</f>
        <v>StudyHabits</v>
      </c>
      <c r="D487" t="str" s="14" cm="1">
        <f t="array" ref="D487">'Question_Bank'!F487</f>
        <v>Likert</v>
      </c>
      <c r="E487" s="172" cm="1">
        <f t="array" ref="E487">'Question_Bank'!L487</f>
        <v>0</v>
      </c>
      <c r="F487" t="str" s="14" cm="1">
        <f t="array" ref="F487">'Question_Bank'!N487</f>
        <v>No</v>
      </c>
      <c r="G487" t="str" s="14" cm="1">
        <f t="array" ref="G487">IF(D487="MCQ","Correct=1, Incorrect=0",IF(F487="Yes","Reverse: 6-response","Direct: response score"))</f>
        <v>Direct: response score</v>
      </c>
      <c r="H487" s="15"/>
    </row>
    <row r="488" ht="17.45" customHeight="1">
      <c r="A488" t="str" s="13" cm="1">
        <f t="array" ref="A488">'Question_Bank'!A488</f>
        <v>NPI0484</v>
      </c>
      <c r="B488" t="str" s="14" cm="1">
        <f t="array" ref="B488">'Question_Bank'!C488</f>
        <v>Additional NeuroPi Indicators</v>
      </c>
      <c r="C488" t="str" s="14" cm="1">
        <f t="array" ref="C488">'Question_Bank'!D488</f>
        <v>StudyHabits</v>
      </c>
      <c r="D488" t="str" s="14" cm="1">
        <f t="array" ref="D488">'Question_Bank'!F488</f>
        <v>Likert</v>
      </c>
      <c r="E488" s="172" cm="1">
        <f t="array" ref="E488">'Question_Bank'!L488</f>
        <v>0</v>
      </c>
      <c r="F488" t="str" s="14" cm="1">
        <f t="array" ref="F488">'Question_Bank'!N488</f>
        <v>No</v>
      </c>
      <c r="G488" t="str" s="14" cm="1">
        <f t="array" ref="G488">IF(D488="MCQ","Correct=1, Incorrect=0",IF(F488="Yes","Reverse: 6-response","Direct: response score"))</f>
        <v>Direct: response score</v>
      </c>
      <c r="H488" s="15"/>
    </row>
    <row r="489" ht="17.45" customHeight="1">
      <c r="A489" t="str" s="13" cm="1">
        <f t="array" ref="A489">'Question_Bank'!A489</f>
        <v>NPI0485</v>
      </c>
      <c r="B489" t="str" s="14" cm="1">
        <f t="array" ref="B489">'Question_Bank'!C489</f>
        <v>Additional NeuroPi Indicators</v>
      </c>
      <c r="C489" t="str" s="14" cm="1">
        <f t="array" ref="C489">'Question_Bank'!D489</f>
        <v>StudyHabits</v>
      </c>
      <c r="D489" t="str" s="14" cm="1">
        <f t="array" ref="D489">'Question_Bank'!F489</f>
        <v>Likert</v>
      </c>
      <c r="E489" s="172" cm="1">
        <f t="array" ref="E489">'Question_Bank'!L489</f>
        <v>0</v>
      </c>
      <c r="F489" t="str" s="14" cm="1">
        <f t="array" ref="F489">'Question_Bank'!N489</f>
        <v>No</v>
      </c>
      <c r="G489" t="str" s="14" cm="1">
        <f t="array" ref="G489">IF(D489="MCQ","Correct=1, Incorrect=0",IF(F489="Yes","Reverse: 6-response","Direct: response score"))</f>
        <v>Direct: response score</v>
      </c>
      <c r="H489" s="15"/>
    </row>
    <row r="490" ht="17.45" customHeight="1">
      <c r="A490" t="str" s="13" cm="1">
        <f t="array" ref="A490">'Question_Bank'!A490</f>
        <v>NPI0486</v>
      </c>
      <c r="B490" t="str" s="14" cm="1">
        <f t="array" ref="B490">'Question_Bank'!C490</f>
        <v>Additional NeuroPi Indicators</v>
      </c>
      <c r="C490" t="str" s="14" cm="1">
        <f t="array" ref="C490">'Question_Bank'!D490</f>
        <v>StudyHabits</v>
      </c>
      <c r="D490" t="str" s="14" cm="1">
        <f t="array" ref="D490">'Question_Bank'!F490</f>
        <v>Likert</v>
      </c>
      <c r="E490" s="172" cm="1">
        <f t="array" ref="E490">'Question_Bank'!L490</f>
        <v>0</v>
      </c>
      <c r="F490" t="str" s="14" cm="1">
        <f t="array" ref="F490">'Question_Bank'!N490</f>
        <v>No</v>
      </c>
      <c r="G490" t="str" s="14" cm="1">
        <f t="array" ref="G490">IF(D490="MCQ","Correct=1, Incorrect=0",IF(F490="Yes","Reverse: 6-response","Direct: response score"))</f>
        <v>Direct: response score</v>
      </c>
      <c r="H490" s="15"/>
    </row>
    <row r="491" ht="17.45" customHeight="1">
      <c r="A491" t="str" s="13" cm="1">
        <f t="array" ref="A491">'Question_Bank'!A491</f>
        <v>NPI0487</v>
      </c>
      <c r="B491" t="str" s="14" cm="1">
        <f t="array" ref="B491">'Question_Bank'!C491</f>
        <v>Additional NeuroPi Indicators</v>
      </c>
      <c r="C491" t="str" s="14" cm="1">
        <f t="array" ref="C491">'Question_Bank'!D491</f>
        <v>StudyHabits</v>
      </c>
      <c r="D491" t="str" s="14" cm="1">
        <f t="array" ref="D491">'Question_Bank'!F491</f>
        <v>Likert</v>
      </c>
      <c r="E491" s="172" cm="1">
        <f t="array" ref="E491">'Question_Bank'!L491</f>
        <v>0</v>
      </c>
      <c r="F491" t="str" s="14" cm="1">
        <f t="array" ref="F491">'Question_Bank'!N491</f>
        <v>No</v>
      </c>
      <c r="G491" t="str" s="14" cm="1">
        <f t="array" ref="G491">IF(D491="MCQ","Correct=1, Incorrect=0",IF(F491="Yes","Reverse: 6-response","Direct: response score"))</f>
        <v>Direct: response score</v>
      </c>
      <c r="H491" s="15"/>
    </row>
    <row r="492" ht="17.45" customHeight="1">
      <c r="A492" t="str" s="13" cm="1">
        <f t="array" ref="A492">'Question_Bank'!A492</f>
        <v>NPI0488</v>
      </c>
      <c r="B492" t="str" s="14" cm="1">
        <f t="array" ref="B492">'Question_Bank'!C492</f>
        <v>Additional NeuroPi Indicators</v>
      </c>
      <c r="C492" t="str" s="14" cm="1">
        <f t="array" ref="C492">'Question_Bank'!D492</f>
        <v>StudyHabits</v>
      </c>
      <c r="D492" t="str" s="14" cm="1">
        <f t="array" ref="D492">'Question_Bank'!F492</f>
        <v>Likert</v>
      </c>
      <c r="E492" s="172" cm="1">
        <f t="array" ref="E492">'Question_Bank'!L492</f>
        <v>0</v>
      </c>
      <c r="F492" t="str" s="14" cm="1">
        <f t="array" ref="F492">'Question_Bank'!N492</f>
        <v>No</v>
      </c>
      <c r="G492" t="str" s="14" cm="1">
        <f t="array" ref="G492">IF(D492="MCQ","Correct=1, Incorrect=0",IF(F492="Yes","Reverse: 6-response","Direct: response score"))</f>
        <v>Direct: response score</v>
      </c>
      <c r="H492" s="15"/>
    </row>
    <row r="493" ht="17.45" customHeight="1">
      <c r="A493" t="str" s="13" cm="1">
        <f t="array" ref="A493">'Question_Bank'!A493</f>
        <v>NPI0489</v>
      </c>
      <c r="B493" t="str" s="14" cm="1">
        <f t="array" ref="B493">'Question_Bank'!C493</f>
        <v>Additional NeuroPi Indicators</v>
      </c>
      <c r="C493" t="str" s="14" cm="1">
        <f t="array" ref="C493">'Question_Bank'!D493</f>
        <v>StudyHabits</v>
      </c>
      <c r="D493" t="str" s="14" cm="1">
        <f t="array" ref="D493">'Question_Bank'!F493</f>
        <v>Likert</v>
      </c>
      <c r="E493" s="172" cm="1">
        <f t="array" ref="E493">'Question_Bank'!L493</f>
        <v>0</v>
      </c>
      <c r="F493" t="str" s="14" cm="1">
        <f t="array" ref="F493">'Question_Bank'!N493</f>
        <v>No</v>
      </c>
      <c r="G493" t="str" s="14" cm="1">
        <f t="array" ref="G493">IF(D493="MCQ","Correct=1, Incorrect=0",IF(F493="Yes","Reverse: 6-response","Direct: response score"))</f>
        <v>Direct: response score</v>
      </c>
      <c r="H493" s="15"/>
    </row>
    <row r="494" ht="17.45" customHeight="1">
      <c r="A494" t="str" s="13" cm="1">
        <f t="array" ref="A494">'Question_Bank'!A494</f>
        <v>NPI0490</v>
      </c>
      <c r="B494" t="str" s="14" cm="1">
        <f t="array" ref="B494">'Question_Bank'!C494</f>
        <v>Additional NeuroPi Indicators</v>
      </c>
      <c r="C494" t="str" s="14" cm="1">
        <f t="array" ref="C494">'Question_Bank'!D494</f>
        <v>StudyHabits</v>
      </c>
      <c r="D494" t="str" s="14" cm="1">
        <f t="array" ref="D494">'Question_Bank'!F494</f>
        <v>Likert</v>
      </c>
      <c r="E494" s="172" cm="1">
        <f t="array" ref="E494">'Question_Bank'!L494</f>
        <v>0</v>
      </c>
      <c r="F494" t="str" s="14" cm="1">
        <f t="array" ref="F494">'Question_Bank'!N494</f>
        <v>No</v>
      </c>
      <c r="G494" t="str" s="14" cm="1">
        <f t="array" ref="G494">IF(D494="MCQ","Correct=1, Incorrect=0",IF(F494="Yes","Reverse: 6-response","Direct: response score"))</f>
        <v>Direct: response score</v>
      </c>
      <c r="H494" s="15"/>
    </row>
    <row r="495" ht="17.45" customHeight="1">
      <c r="A495" t="str" s="13" cm="1">
        <f t="array" ref="A495">'Question_Bank'!A495</f>
        <v>NPI0491</v>
      </c>
      <c r="B495" t="str" s="14" cm="1">
        <f t="array" ref="B495">'Question_Bank'!C495</f>
        <v>Additional NeuroPi Indicators</v>
      </c>
      <c r="C495" t="str" s="14" cm="1">
        <f t="array" ref="C495">'Question_Bank'!D495</f>
        <v>StudyHabits</v>
      </c>
      <c r="D495" t="str" s="14" cm="1">
        <f t="array" ref="D495">'Question_Bank'!F495</f>
        <v>Likert</v>
      </c>
      <c r="E495" s="172" cm="1">
        <f t="array" ref="E495">'Question_Bank'!L495</f>
        <v>0</v>
      </c>
      <c r="F495" t="str" s="14" cm="1">
        <f t="array" ref="F495">'Question_Bank'!N495</f>
        <v>No</v>
      </c>
      <c r="G495" t="str" s="14" cm="1">
        <f t="array" ref="G495">IF(D495="MCQ","Correct=1, Incorrect=0",IF(F495="Yes","Reverse: 6-response","Direct: response score"))</f>
        <v>Direct: response score</v>
      </c>
      <c r="H495" s="15"/>
    </row>
    <row r="496" ht="17.45" customHeight="1">
      <c r="A496" t="str" s="13" cm="1">
        <f t="array" ref="A496">'Question_Bank'!A496</f>
        <v>NPI0492</v>
      </c>
      <c r="B496" t="str" s="14" cm="1">
        <f t="array" ref="B496">'Question_Bank'!C496</f>
        <v>Additional NeuroPi Indicators</v>
      </c>
      <c r="C496" t="str" s="14" cm="1">
        <f t="array" ref="C496">'Question_Bank'!D496</f>
        <v>StudyHabits</v>
      </c>
      <c r="D496" t="str" s="14" cm="1">
        <f t="array" ref="D496">'Question_Bank'!F496</f>
        <v>Likert</v>
      </c>
      <c r="E496" s="172" cm="1">
        <f t="array" ref="E496">'Question_Bank'!L496</f>
        <v>0</v>
      </c>
      <c r="F496" t="str" s="14" cm="1">
        <f t="array" ref="F496">'Question_Bank'!N496</f>
        <v>No</v>
      </c>
      <c r="G496" t="str" s="14" cm="1">
        <f t="array" ref="G496">IF(D496="MCQ","Correct=1, Incorrect=0",IF(F496="Yes","Reverse: 6-response","Direct: response score"))</f>
        <v>Direct: response score</v>
      </c>
      <c r="H496" s="15"/>
    </row>
    <row r="497" ht="17.45" customHeight="1">
      <c r="A497" t="str" s="13" cm="1">
        <f t="array" ref="A497">'Question_Bank'!A497</f>
        <v>NPI0493</v>
      </c>
      <c r="B497" t="str" s="14" cm="1">
        <f t="array" ref="B497">'Question_Bank'!C497</f>
        <v>Additional NeuroPi Indicators</v>
      </c>
      <c r="C497" t="str" s="14" cm="1">
        <f t="array" ref="C497">'Question_Bank'!D497</f>
        <v>StudyHabits</v>
      </c>
      <c r="D497" t="str" s="14" cm="1">
        <f t="array" ref="D497">'Question_Bank'!F497</f>
        <v>Likert</v>
      </c>
      <c r="E497" s="172" cm="1">
        <f t="array" ref="E497">'Question_Bank'!L497</f>
        <v>0</v>
      </c>
      <c r="F497" t="str" s="14" cm="1">
        <f t="array" ref="F497">'Question_Bank'!N497</f>
        <v>No</v>
      </c>
      <c r="G497" t="str" s="14" cm="1">
        <f t="array" ref="G497">IF(D497="MCQ","Correct=1, Incorrect=0",IF(F497="Yes","Reverse: 6-response","Direct: response score"))</f>
        <v>Direct: response score</v>
      </c>
      <c r="H497" s="15"/>
    </row>
    <row r="498" ht="17.45" customHeight="1">
      <c r="A498" t="str" s="13" cm="1">
        <f t="array" ref="A498">'Question_Bank'!A498</f>
        <v>NPI0494</v>
      </c>
      <c r="B498" t="str" s="14" cm="1">
        <f t="array" ref="B498">'Question_Bank'!C498</f>
        <v>Additional NeuroPi Indicators</v>
      </c>
      <c r="C498" t="str" s="14" cm="1">
        <f t="array" ref="C498">'Question_Bank'!D498</f>
        <v>StudyHabits</v>
      </c>
      <c r="D498" t="str" s="14" cm="1">
        <f t="array" ref="D498">'Question_Bank'!F498</f>
        <v>Likert</v>
      </c>
      <c r="E498" s="172" cm="1">
        <f t="array" ref="E498">'Question_Bank'!L498</f>
        <v>0</v>
      </c>
      <c r="F498" t="str" s="14" cm="1">
        <f t="array" ref="F498">'Question_Bank'!N498</f>
        <v>No</v>
      </c>
      <c r="G498" t="str" s="14" cm="1">
        <f t="array" ref="G498">IF(D498="MCQ","Correct=1, Incorrect=0",IF(F498="Yes","Reverse: 6-response","Direct: response score"))</f>
        <v>Direct: response score</v>
      </c>
      <c r="H498" s="15"/>
    </row>
    <row r="499" ht="17.45" customHeight="1">
      <c r="A499" t="str" s="13" cm="1">
        <f t="array" ref="A499">'Question_Bank'!A499</f>
        <v>NPI0495</v>
      </c>
      <c r="B499" t="str" s="14" cm="1">
        <f t="array" ref="B499">'Question_Bank'!C499</f>
        <v>Additional NeuroPi Indicators</v>
      </c>
      <c r="C499" t="str" s="14" cm="1">
        <f t="array" ref="C499">'Question_Bank'!D499</f>
        <v>StudyHabits</v>
      </c>
      <c r="D499" t="str" s="14" cm="1">
        <f t="array" ref="D499">'Question_Bank'!F499</f>
        <v>Likert</v>
      </c>
      <c r="E499" s="172" cm="1">
        <f t="array" ref="E499">'Question_Bank'!L499</f>
        <v>0</v>
      </c>
      <c r="F499" t="str" s="14" cm="1">
        <f t="array" ref="F499">'Question_Bank'!N499</f>
        <v>No</v>
      </c>
      <c r="G499" t="str" s="14" cm="1">
        <f t="array" ref="G499">IF(D499="MCQ","Correct=1, Incorrect=0",IF(F499="Yes","Reverse: 6-response","Direct: response score"))</f>
        <v>Direct: response score</v>
      </c>
      <c r="H499" s="15"/>
    </row>
    <row r="500" ht="17.45" customHeight="1">
      <c r="A500" t="str" s="13" cm="1">
        <f t="array" ref="A500">'Question_Bank'!A500</f>
        <v>NPI0496</v>
      </c>
      <c r="B500" t="str" s="14" cm="1">
        <f t="array" ref="B500">'Question_Bank'!C500</f>
        <v>Additional NeuroPi Indicators</v>
      </c>
      <c r="C500" t="str" s="14" cm="1">
        <f t="array" ref="C500">'Question_Bank'!D500</f>
        <v>CareerClarity</v>
      </c>
      <c r="D500" t="str" s="14" cm="1">
        <f t="array" ref="D500">'Question_Bank'!F500</f>
        <v>Likert</v>
      </c>
      <c r="E500" s="172" cm="1">
        <f t="array" ref="E500">'Question_Bank'!L500</f>
        <v>0</v>
      </c>
      <c r="F500" t="str" s="14" cm="1">
        <f t="array" ref="F500">'Question_Bank'!N500</f>
        <v>No</v>
      </c>
      <c r="G500" t="str" s="14" cm="1">
        <f t="array" ref="G500">IF(D500="MCQ","Correct=1, Incorrect=0",IF(F500="Yes","Reverse: 6-response","Direct: response score"))</f>
        <v>Direct: response score</v>
      </c>
      <c r="H500" s="15"/>
    </row>
    <row r="501" ht="17.45" customHeight="1">
      <c r="A501" t="str" s="13" cm="1">
        <f t="array" ref="A501">'Question_Bank'!A501</f>
        <v>NPI0497</v>
      </c>
      <c r="B501" t="str" s="14" cm="1">
        <f t="array" ref="B501">'Question_Bank'!C501</f>
        <v>Additional NeuroPi Indicators</v>
      </c>
      <c r="C501" t="str" s="14" cm="1">
        <f t="array" ref="C501">'Question_Bank'!D501</f>
        <v>CareerClarity</v>
      </c>
      <c r="D501" t="str" s="14" cm="1">
        <f t="array" ref="D501">'Question_Bank'!F501</f>
        <v>Likert</v>
      </c>
      <c r="E501" s="172" cm="1">
        <f t="array" ref="E501">'Question_Bank'!L501</f>
        <v>0</v>
      </c>
      <c r="F501" t="str" s="14" cm="1">
        <f t="array" ref="F501">'Question_Bank'!N501</f>
        <v>No</v>
      </c>
      <c r="G501" t="str" s="14" cm="1">
        <f t="array" ref="G501">IF(D501="MCQ","Correct=1, Incorrect=0",IF(F501="Yes","Reverse: 6-response","Direct: response score"))</f>
        <v>Direct: response score</v>
      </c>
      <c r="H501" s="15"/>
    </row>
    <row r="502" ht="17.45" customHeight="1">
      <c r="A502" t="str" s="13" cm="1">
        <f t="array" ref="A502">'Question_Bank'!A502</f>
        <v>NPI0498</v>
      </c>
      <c r="B502" t="str" s="14" cm="1">
        <f t="array" ref="B502">'Question_Bank'!C502</f>
        <v>Additional NeuroPi Indicators</v>
      </c>
      <c r="C502" t="str" s="14" cm="1">
        <f t="array" ref="C502">'Question_Bank'!D502</f>
        <v>CareerClarity</v>
      </c>
      <c r="D502" t="str" s="14" cm="1">
        <f t="array" ref="D502">'Question_Bank'!F502</f>
        <v>Likert</v>
      </c>
      <c r="E502" s="172" cm="1">
        <f t="array" ref="E502">'Question_Bank'!L502</f>
        <v>0</v>
      </c>
      <c r="F502" t="str" s="14" cm="1">
        <f t="array" ref="F502">'Question_Bank'!N502</f>
        <v>No</v>
      </c>
      <c r="G502" t="str" s="14" cm="1">
        <f t="array" ref="G502">IF(D502="MCQ","Correct=1, Incorrect=0",IF(F502="Yes","Reverse: 6-response","Direct: response score"))</f>
        <v>Direct: response score</v>
      </c>
      <c r="H502" s="15"/>
    </row>
    <row r="503" ht="17.45" customHeight="1">
      <c r="A503" t="str" s="13" cm="1">
        <f t="array" ref="A503">'Question_Bank'!A503</f>
        <v>NPI0499</v>
      </c>
      <c r="B503" t="str" s="14" cm="1">
        <f t="array" ref="B503">'Question_Bank'!C503</f>
        <v>Additional NeuroPi Indicators</v>
      </c>
      <c r="C503" t="str" s="14" cm="1">
        <f t="array" ref="C503">'Question_Bank'!D503</f>
        <v>CareerClarity</v>
      </c>
      <c r="D503" t="str" s="14" cm="1">
        <f t="array" ref="D503">'Question_Bank'!F503</f>
        <v>Likert</v>
      </c>
      <c r="E503" s="172" cm="1">
        <f t="array" ref="E503">'Question_Bank'!L503</f>
        <v>0</v>
      </c>
      <c r="F503" t="str" s="14" cm="1">
        <f t="array" ref="F503">'Question_Bank'!N503</f>
        <v>No</v>
      </c>
      <c r="G503" t="str" s="14" cm="1">
        <f t="array" ref="G503">IF(D503="MCQ","Correct=1, Incorrect=0",IF(F503="Yes","Reverse: 6-response","Direct: response score"))</f>
        <v>Direct: response score</v>
      </c>
      <c r="H503" s="15"/>
    </row>
    <row r="504" ht="17.45" customHeight="1">
      <c r="A504" t="str" s="13" cm="1">
        <f t="array" ref="A504">'Question_Bank'!A504</f>
        <v>NPI0500</v>
      </c>
      <c r="B504" t="str" s="14" cm="1">
        <f t="array" ref="B504">'Question_Bank'!C504</f>
        <v>Additional NeuroPi Indicators</v>
      </c>
      <c r="C504" t="str" s="14" cm="1">
        <f t="array" ref="C504">'Question_Bank'!D504</f>
        <v>CareerClarity</v>
      </c>
      <c r="D504" t="str" s="14" cm="1">
        <f t="array" ref="D504">'Question_Bank'!F504</f>
        <v>Likert</v>
      </c>
      <c r="E504" s="172" cm="1">
        <f t="array" ref="E504">'Question_Bank'!L504</f>
        <v>0</v>
      </c>
      <c r="F504" t="str" s="14" cm="1">
        <f t="array" ref="F504">'Question_Bank'!N504</f>
        <v>No</v>
      </c>
      <c r="G504" t="str" s="14" cm="1">
        <f t="array" ref="G504">IF(D504="MCQ","Correct=1, Incorrect=0",IF(F504="Yes","Reverse: 6-response","Direct: response score"))</f>
        <v>Direct: response score</v>
      </c>
      <c r="H504" s="15"/>
    </row>
    <row r="505" ht="17.45" customHeight="1">
      <c r="A505" t="str" s="13" cm="1">
        <f t="array" ref="A505">'Question_Bank'!A505</f>
        <v>NPI0501</v>
      </c>
      <c r="B505" t="str" s="14" cm="1">
        <f t="array" ref="B505">'Question_Bank'!C505</f>
        <v>Additional NeuroPi Indicators</v>
      </c>
      <c r="C505" t="str" s="14" cm="1">
        <f t="array" ref="C505">'Question_Bank'!D505</f>
        <v>CareerClarity</v>
      </c>
      <c r="D505" t="str" s="14" cm="1">
        <f t="array" ref="D505">'Question_Bank'!F505</f>
        <v>Likert</v>
      </c>
      <c r="E505" s="172" cm="1">
        <f t="array" ref="E505">'Question_Bank'!L505</f>
        <v>0</v>
      </c>
      <c r="F505" t="str" s="14" cm="1">
        <f t="array" ref="F505">'Question_Bank'!N505</f>
        <v>No</v>
      </c>
      <c r="G505" t="str" s="14" cm="1">
        <f t="array" ref="G505">IF(D505="MCQ","Correct=1, Incorrect=0",IF(F505="Yes","Reverse: 6-response","Direct: response score"))</f>
        <v>Direct: response score</v>
      </c>
      <c r="H505" s="15"/>
    </row>
    <row r="506" ht="17.45" customHeight="1">
      <c r="A506" t="str" s="13" cm="1">
        <f t="array" ref="A506">'Question_Bank'!A506</f>
        <v>NPI0502</v>
      </c>
      <c r="B506" t="str" s="14" cm="1">
        <f t="array" ref="B506">'Question_Bank'!C506</f>
        <v>Additional NeuroPi Indicators</v>
      </c>
      <c r="C506" t="str" s="14" cm="1">
        <f t="array" ref="C506">'Question_Bank'!D506</f>
        <v>CareerClarity</v>
      </c>
      <c r="D506" t="str" s="14" cm="1">
        <f t="array" ref="D506">'Question_Bank'!F506</f>
        <v>Likert</v>
      </c>
      <c r="E506" s="172" cm="1">
        <f t="array" ref="E506">'Question_Bank'!L506</f>
        <v>0</v>
      </c>
      <c r="F506" t="str" s="14" cm="1">
        <f t="array" ref="F506">'Question_Bank'!N506</f>
        <v>No</v>
      </c>
      <c r="G506" t="str" s="14" cm="1">
        <f t="array" ref="G506">IF(D506="MCQ","Correct=1, Incorrect=0",IF(F506="Yes","Reverse: 6-response","Direct: response score"))</f>
        <v>Direct: response score</v>
      </c>
      <c r="H506" s="15"/>
    </row>
    <row r="507" ht="17.45" customHeight="1">
      <c r="A507" t="str" s="13" cm="1">
        <f t="array" ref="A507">'Question_Bank'!A507</f>
        <v>NPI0503</v>
      </c>
      <c r="B507" t="str" s="14" cm="1">
        <f t="array" ref="B507">'Question_Bank'!C507</f>
        <v>Additional NeuroPi Indicators</v>
      </c>
      <c r="C507" t="str" s="14" cm="1">
        <f t="array" ref="C507">'Question_Bank'!D507</f>
        <v>CareerClarity</v>
      </c>
      <c r="D507" t="str" s="14" cm="1">
        <f t="array" ref="D507">'Question_Bank'!F507</f>
        <v>Likert</v>
      </c>
      <c r="E507" s="172" cm="1">
        <f t="array" ref="E507">'Question_Bank'!L507</f>
        <v>0</v>
      </c>
      <c r="F507" t="str" s="14" cm="1">
        <f t="array" ref="F507">'Question_Bank'!N507</f>
        <v>No</v>
      </c>
      <c r="G507" t="str" s="14" cm="1">
        <f t="array" ref="G507">IF(D507="MCQ","Correct=1, Incorrect=0",IF(F507="Yes","Reverse: 6-response","Direct: response score"))</f>
        <v>Direct: response score</v>
      </c>
      <c r="H507" s="15"/>
    </row>
    <row r="508" ht="17.45" customHeight="1">
      <c r="A508" t="str" s="13" cm="1">
        <f t="array" ref="A508">'Question_Bank'!A508</f>
        <v>NPI0504</v>
      </c>
      <c r="B508" t="str" s="14" cm="1">
        <f t="array" ref="B508">'Question_Bank'!C508</f>
        <v>Additional NeuroPi Indicators</v>
      </c>
      <c r="C508" t="str" s="14" cm="1">
        <f t="array" ref="C508">'Question_Bank'!D508</f>
        <v>CareerClarity</v>
      </c>
      <c r="D508" t="str" s="14" cm="1">
        <f t="array" ref="D508">'Question_Bank'!F508</f>
        <v>Likert</v>
      </c>
      <c r="E508" s="172" cm="1">
        <f t="array" ref="E508">'Question_Bank'!L508</f>
        <v>0</v>
      </c>
      <c r="F508" t="str" s="14" cm="1">
        <f t="array" ref="F508">'Question_Bank'!N508</f>
        <v>No</v>
      </c>
      <c r="G508" t="str" s="14" cm="1">
        <f t="array" ref="G508">IF(D508="MCQ","Correct=1, Incorrect=0",IF(F508="Yes","Reverse: 6-response","Direct: response score"))</f>
        <v>Direct: response score</v>
      </c>
      <c r="H508" s="15"/>
    </row>
    <row r="509" ht="17.45" customHeight="1">
      <c r="A509" t="str" s="13" cm="1">
        <f t="array" ref="A509">'Question_Bank'!A509</f>
        <v>NPI0505</v>
      </c>
      <c r="B509" t="str" s="14" cm="1">
        <f t="array" ref="B509">'Question_Bank'!C509</f>
        <v>Additional NeuroPi Indicators</v>
      </c>
      <c r="C509" t="str" s="14" cm="1">
        <f t="array" ref="C509">'Question_Bank'!D509</f>
        <v>CareerClarity</v>
      </c>
      <c r="D509" t="str" s="14" cm="1">
        <f t="array" ref="D509">'Question_Bank'!F509</f>
        <v>Likert</v>
      </c>
      <c r="E509" s="172" cm="1">
        <f t="array" ref="E509">'Question_Bank'!L509</f>
        <v>0</v>
      </c>
      <c r="F509" t="str" s="14" cm="1">
        <f t="array" ref="F509">'Question_Bank'!N509</f>
        <v>No</v>
      </c>
      <c r="G509" t="str" s="14" cm="1">
        <f t="array" ref="G509">IF(D509="MCQ","Correct=1, Incorrect=0",IF(F509="Yes","Reverse: 6-response","Direct: response score"))</f>
        <v>Direct: response score</v>
      </c>
      <c r="H509" s="15"/>
    </row>
    <row r="510" ht="17.45" customHeight="1">
      <c r="A510" t="str" s="13" cm="1">
        <f t="array" ref="A510">'Question_Bank'!A510</f>
        <v>NPI0506</v>
      </c>
      <c r="B510" t="str" s="14" cm="1">
        <f t="array" ref="B510">'Question_Bank'!C510</f>
        <v>Additional NeuroPi Indicators</v>
      </c>
      <c r="C510" t="str" s="14" cm="1">
        <f t="array" ref="C510">'Question_Bank'!D510</f>
        <v>CareerClarity</v>
      </c>
      <c r="D510" t="str" s="14" cm="1">
        <f t="array" ref="D510">'Question_Bank'!F510</f>
        <v>Likert</v>
      </c>
      <c r="E510" s="172" cm="1">
        <f t="array" ref="E510">'Question_Bank'!L510</f>
        <v>0</v>
      </c>
      <c r="F510" t="str" s="14" cm="1">
        <f t="array" ref="F510">'Question_Bank'!N510</f>
        <v>No</v>
      </c>
      <c r="G510" t="str" s="14" cm="1">
        <f t="array" ref="G510">IF(D510="MCQ","Correct=1, Incorrect=0",IF(F510="Yes","Reverse: 6-response","Direct: response score"))</f>
        <v>Direct: response score</v>
      </c>
      <c r="H510" s="15"/>
    </row>
    <row r="511" ht="17.45" customHeight="1">
      <c r="A511" t="str" s="13" cm="1">
        <f t="array" ref="A511">'Question_Bank'!A511</f>
        <v>NPI0507</v>
      </c>
      <c r="B511" t="str" s="14" cm="1">
        <f t="array" ref="B511">'Question_Bank'!C511</f>
        <v>Additional NeuroPi Indicators</v>
      </c>
      <c r="C511" t="str" s="14" cm="1">
        <f t="array" ref="C511">'Question_Bank'!D511</f>
        <v>CareerClarity</v>
      </c>
      <c r="D511" t="str" s="14" cm="1">
        <f t="array" ref="D511">'Question_Bank'!F511</f>
        <v>Likert</v>
      </c>
      <c r="E511" s="172" cm="1">
        <f t="array" ref="E511">'Question_Bank'!L511</f>
        <v>0</v>
      </c>
      <c r="F511" t="str" s="14" cm="1">
        <f t="array" ref="F511">'Question_Bank'!N511</f>
        <v>No</v>
      </c>
      <c r="G511" t="str" s="14" cm="1">
        <f t="array" ref="G511">IF(D511="MCQ","Correct=1, Incorrect=0",IF(F511="Yes","Reverse: 6-response","Direct: response score"))</f>
        <v>Direct: response score</v>
      </c>
      <c r="H511" s="15"/>
    </row>
    <row r="512" ht="17.45" customHeight="1">
      <c r="A512" t="str" s="13" cm="1">
        <f t="array" ref="A512">'Question_Bank'!A512</f>
        <v>NPI0508</v>
      </c>
      <c r="B512" t="str" s="14" cm="1">
        <f t="array" ref="B512">'Question_Bank'!C512</f>
        <v>Additional NeuroPi Indicators</v>
      </c>
      <c r="C512" t="str" s="14" cm="1">
        <f t="array" ref="C512">'Question_Bank'!D512</f>
        <v>CareerClarity</v>
      </c>
      <c r="D512" t="str" s="14" cm="1">
        <f t="array" ref="D512">'Question_Bank'!F512</f>
        <v>Likert</v>
      </c>
      <c r="E512" s="172" cm="1">
        <f t="array" ref="E512">'Question_Bank'!L512</f>
        <v>0</v>
      </c>
      <c r="F512" t="str" s="14" cm="1">
        <f t="array" ref="F512">'Question_Bank'!N512</f>
        <v>No</v>
      </c>
      <c r="G512" t="str" s="14" cm="1">
        <f t="array" ref="G512">IF(D512="MCQ","Correct=1, Incorrect=0",IF(F512="Yes","Reverse: 6-response","Direct: response score"))</f>
        <v>Direct: response score</v>
      </c>
      <c r="H512" s="15"/>
    </row>
    <row r="513" ht="17.45" customHeight="1">
      <c r="A513" t="str" s="13" cm="1">
        <f t="array" ref="A513">'Question_Bank'!A513</f>
        <v>NPI0509</v>
      </c>
      <c r="B513" t="str" s="14" cm="1">
        <f t="array" ref="B513">'Question_Bank'!C513</f>
        <v>Additional NeuroPi Indicators</v>
      </c>
      <c r="C513" t="str" s="14" cm="1">
        <f t="array" ref="C513">'Question_Bank'!D513</f>
        <v>CareerClarity</v>
      </c>
      <c r="D513" t="str" s="14" cm="1">
        <f t="array" ref="D513">'Question_Bank'!F513</f>
        <v>Likert</v>
      </c>
      <c r="E513" s="172" cm="1">
        <f t="array" ref="E513">'Question_Bank'!L513</f>
        <v>0</v>
      </c>
      <c r="F513" t="str" s="14" cm="1">
        <f t="array" ref="F513">'Question_Bank'!N513</f>
        <v>No</v>
      </c>
      <c r="G513" t="str" s="14" cm="1">
        <f t="array" ref="G513">IF(D513="MCQ","Correct=1, Incorrect=0",IF(F513="Yes","Reverse: 6-response","Direct: response score"))</f>
        <v>Direct: response score</v>
      </c>
      <c r="H513" s="15"/>
    </row>
    <row r="514" ht="17.45" customHeight="1">
      <c r="A514" t="str" s="13" cm="1">
        <f t="array" ref="A514">'Question_Bank'!A514</f>
        <v>NPI0510</v>
      </c>
      <c r="B514" t="str" s="14" cm="1">
        <f t="array" ref="B514">'Question_Bank'!C514</f>
        <v>Additional NeuroPi Indicators</v>
      </c>
      <c r="C514" t="str" s="14" cm="1">
        <f t="array" ref="C514">'Question_Bank'!D514</f>
        <v>CareerClarity</v>
      </c>
      <c r="D514" t="str" s="14" cm="1">
        <f t="array" ref="D514">'Question_Bank'!F514</f>
        <v>Likert</v>
      </c>
      <c r="E514" s="172" cm="1">
        <f t="array" ref="E514">'Question_Bank'!L514</f>
        <v>0</v>
      </c>
      <c r="F514" t="str" s="14" cm="1">
        <f t="array" ref="F514">'Question_Bank'!N514</f>
        <v>No</v>
      </c>
      <c r="G514" t="str" s="14" cm="1">
        <f t="array" ref="G514">IF(D514="MCQ","Correct=1, Incorrect=0",IF(F514="Yes","Reverse: 6-response","Direct: response score"))</f>
        <v>Direct: response score</v>
      </c>
      <c r="H514" s="15"/>
    </row>
    <row r="515" ht="17.45" customHeight="1">
      <c r="A515" t="str" s="13" cm="1">
        <f t="array" ref="A515">'Question_Bank'!A515</f>
        <v>NPI0511</v>
      </c>
      <c r="B515" t="str" s="14" cm="1">
        <f t="array" ref="B515">'Question_Bank'!C515</f>
        <v>Additional NeuroPi Indicators</v>
      </c>
      <c r="C515" t="str" s="14" cm="1">
        <f t="array" ref="C515">'Question_Bank'!D515</f>
        <v>CareerClarity</v>
      </c>
      <c r="D515" t="str" s="14" cm="1">
        <f t="array" ref="D515">'Question_Bank'!F515</f>
        <v>Likert</v>
      </c>
      <c r="E515" s="172" cm="1">
        <f t="array" ref="E515">'Question_Bank'!L515</f>
        <v>0</v>
      </c>
      <c r="F515" t="str" s="14" cm="1">
        <f t="array" ref="F515">'Question_Bank'!N515</f>
        <v>No</v>
      </c>
      <c r="G515" t="str" s="14" cm="1">
        <f t="array" ref="G515">IF(D515="MCQ","Correct=1, Incorrect=0",IF(F515="Yes","Reverse: 6-response","Direct: response score"))</f>
        <v>Direct: response score</v>
      </c>
      <c r="H515" s="15"/>
    </row>
    <row r="516" ht="17.45" customHeight="1">
      <c r="A516" t="str" s="13" cm="1">
        <f t="array" ref="A516">'Question_Bank'!A516</f>
        <v>NPI0512</v>
      </c>
      <c r="B516" t="str" s="14" cm="1">
        <f t="array" ref="B516">'Question_Bank'!C516</f>
        <v>Additional NeuroPi Indicators</v>
      </c>
      <c r="C516" t="str" s="14" cm="1">
        <f t="array" ref="C516">'Question_Bank'!D516</f>
        <v>CareerClarity</v>
      </c>
      <c r="D516" t="str" s="14" cm="1">
        <f t="array" ref="D516">'Question_Bank'!F516</f>
        <v>Likert</v>
      </c>
      <c r="E516" s="172" cm="1">
        <f t="array" ref="E516">'Question_Bank'!L516</f>
        <v>0</v>
      </c>
      <c r="F516" t="str" s="14" cm="1">
        <f t="array" ref="F516">'Question_Bank'!N516</f>
        <v>No</v>
      </c>
      <c r="G516" t="str" s="14" cm="1">
        <f t="array" ref="G516">IF(D516="MCQ","Correct=1, Incorrect=0",IF(F516="Yes","Reverse: 6-response","Direct: response score"))</f>
        <v>Direct: response score</v>
      </c>
      <c r="H516" s="15"/>
    </row>
    <row r="517" ht="17.45" customHeight="1">
      <c r="A517" t="str" s="13" cm="1">
        <f t="array" ref="A517">'Question_Bank'!A517</f>
        <v>NPI0513</v>
      </c>
      <c r="B517" t="str" s="14" cm="1">
        <f t="array" ref="B517">'Question_Bank'!C517</f>
        <v>Additional NeuroPi Indicators</v>
      </c>
      <c r="C517" t="str" s="14" cm="1">
        <f t="array" ref="C517">'Question_Bank'!D517</f>
        <v>CareerClarity</v>
      </c>
      <c r="D517" t="str" s="14" cm="1">
        <f t="array" ref="D517">'Question_Bank'!F517</f>
        <v>Likert</v>
      </c>
      <c r="E517" s="172" cm="1">
        <f t="array" ref="E517">'Question_Bank'!L517</f>
        <v>0</v>
      </c>
      <c r="F517" t="str" s="14" cm="1">
        <f t="array" ref="F517">'Question_Bank'!N517</f>
        <v>No</v>
      </c>
      <c r="G517" t="str" s="14" cm="1">
        <f t="array" ref="G517">IF(D517="MCQ","Correct=1, Incorrect=0",IF(F517="Yes","Reverse: 6-response","Direct: response score"))</f>
        <v>Direct: response score</v>
      </c>
      <c r="H517" s="15"/>
    </row>
    <row r="518" ht="17.45" customHeight="1">
      <c r="A518" t="str" s="13" cm="1">
        <f t="array" ref="A518">'Question_Bank'!A518</f>
        <v>NPI0514</v>
      </c>
      <c r="B518" t="str" s="14" cm="1">
        <f t="array" ref="B518">'Question_Bank'!C518</f>
        <v>Additional NeuroPi Indicators</v>
      </c>
      <c r="C518" t="str" s="14" cm="1">
        <f t="array" ref="C518">'Question_Bank'!D518</f>
        <v>CareerClarity</v>
      </c>
      <c r="D518" t="str" s="14" cm="1">
        <f t="array" ref="D518">'Question_Bank'!F518</f>
        <v>Likert</v>
      </c>
      <c r="E518" s="172" cm="1">
        <f t="array" ref="E518">'Question_Bank'!L518</f>
        <v>0</v>
      </c>
      <c r="F518" t="str" s="14" cm="1">
        <f t="array" ref="F518">'Question_Bank'!N518</f>
        <v>No</v>
      </c>
      <c r="G518" t="str" s="14" cm="1">
        <f t="array" ref="G518">IF(D518="MCQ","Correct=1, Incorrect=0",IF(F518="Yes","Reverse: 6-response","Direct: response score"))</f>
        <v>Direct: response score</v>
      </c>
      <c r="H518" s="15"/>
    </row>
    <row r="519" ht="17.45" customHeight="1">
      <c r="A519" t="str" s="13" cm="1">
        <f t="array" ref="A519">'Question_Bank'!A519</f>
        <v>NPI0515</v>
      </c>
      <c r="B519" t="str" s="14" cm="1">
        <f t="array" ref="B519">'Question_Bank'!C519</f>
        <v>Additional NeuroPi Indicators</v>
      </c>
      <c r="C519" t="str" s="14" cm="1">
        <f t="array" ref="C519">'Question_Bank'!D519</f>
        <v>CareerClarity</v>
      </c>
      <c r="D519" t="str" s="14" cm="1">
        <f t="array" ref="D519">'Question_Bank'!F519</f>
        <v>Likert</v>
      </c>
      <c r="E519" s="172" cm="1">
        <f t="array" ref="E519">'Question_Bank'!L519</f>
        <v>0</v>
      </c>
      <c r="F519" t="str" s="14" cm="1">
        <f t="array" ref="F519">'Question_Bank'!N519</f>
        <v>No</v>
      </c>
      <c r="G519" t="str" s="14" cm="1">
        <f t="array" ref="G519">IF(D519="MCQ","Correct=1, Incorrect=0",IF(F519="Yes","Reverse: 6-response","Direct: response score"))</f>
        <v>Direct: response score</v>
      </c>
      <c r="H519" s="15"/>
    </row>
    <row r="520" ht="17.45" customHeight="1">
      <c r="A520" t="str" s="13" cm="1">
        <f t="array" ref="A520">'Question_Bank'!A520</f>
        <v>NPI0516</v>
      </c>
      <c r="B520" t="str" s="14" cm="1">
        <f t="array" ref="B520">'Question_Bank'!C520</f>
        <v>Validity &amp; Readiness</v>
      </c>
      <c r="C520" t="str" s="14" cm="1">
        <f t="array" ref="C520">'Question_Bank'!D520</f>
        <v>Validity</v>
      </c>
      <c r="D520" t="str" s="14" cm="1">
        <f t="array" ref="D520">'Question_Bank'!F520</f>
        <v>Likert</v>
      </c>
      <c r="E520" s="172" cm="1">
        <f t="array" ref="E520">'Question_Bank'!L520</f>
        <v>0</v>
      </c>
      <c r="F520" t="str" s="14" cm="1">
        <f t="array" ref="F520">'Question_Bank'!N520</f>
        <v>No</v>
      </c>
      <c r="G520" t="str" s="14" cm="1">
        <f t="array" ref="G520">IF(D520="MCQ","Correct=1, Incorrect=0",IF(F520="Yes","Reverse: 6-response","Direct: response score"))</f>
        <v>Direct: response score</v>
      </c>
      <c r="H520" s="15"/>
    </row>
    <row r="521" ht="17.45" customHeight="1">
      <c r="A521" t="str" s="13" cm="1">
        <f t="array" ref="A521">'Question_Bank'!A521</f>
        <v>NPI0517</v>
      </c>
      <c r="B521" t="str" s="14" cm="1">
        <f t="array" ref="B521">'Question_Bank'!C521</f>
        <v>Validity &amp; Readiness</v>
      </c>
      <c r="C521" t="str" s="14" cm="1">
        <f t="array" ref="C521">'Question_Bank'!D521</f>
        <v>Validity</v>
      </c>
      <c r="D521" t="str" s="14" cm="1">
        <f t="array" ref="D521">'Question_Bank'!F521</f>
        <v>Likert</v>
      </c>
      <c r="E521" s="172" cm="1">
        <f t="array" ref="E521">'Question_Bank'!L521</f>
        <v>0</v>
      </c>
      <c r="F521" t="str" s="14" cm="1">
        <f t="array" ref="F521">'Question_Bank'!N521</f>
        <v>No</v>
      </c>
      <c r="G521" t="str" s="14" cm="1">
        <f t="array" ref="G521">IF(D521="MCQ","Correct=1, Incorrect=0",IF(F521="Yes","Reverse: 6-response","Direct: response score"))</f>
        <v>Direct: response score</v>
      </c>
      <c r="H521" s="15"/>
    </row>
    <row r="522" ht="17.45" customHeight="1">
      <c r="A522" t="str" s="13" cm="1">
        <f t="array" ref="A522">'Question_Bank'!A522</f>
        <v>NPI0518</v>
      </c>
      <c r="B522" t="str" s="14" cm="1">
        <f t="array" ref="B522">'Question_Bank'!C522</f>
        <v>Validity &amp; Readiness</v>
      </c>
      <c r="C522" t="str" s="14" cm="1">
        <f t="array" ref="C522">'Question_Bank'!D522</f>
        <v>Validity</v>
      </c>
      <c r="D522" t="str" s="14" cm="1">
        <f t="array" ref="D522">'Question_Bank'!F522</f>
        <v>Likert</v>
      </c>
      <c r="E522" s="172" cm="1">
        <f t="array" ref="E522">'Question_Bank'!L522</f>
        <v>0</v>
      </c>
      <c r="F522" t="str" s="14" cm="1">
        <f t="array" ref="F522">'Question_Bank'!N522</f>
        <v>Yes</v>
      </c>
      <c r="G522" t="str" s="14" cm="1">
        <f t="array" ref="G522">IF(D522="MCQ","Correct=1, Incorrect=0",IF(F522="Yes","Reverse: 6-response","Direct: response score"))</f>
        <v>Reverse: 6-response</v>
      </c>
      <c r="H522" s="15"/>
    </row>
    <row r="523" ht="17.45" customHeight="1">
      <c r="A523" t="str" s="13" cm="1">
        <f t="array" ref="A523">'Question_Bank'!A523</f>
        <v>NPI0519</v>
      </c>
      <c r="B523" t="str" s="14" cm="1">
        <f t="array" ref="B523">'Question_Bank'!C523</f>
        <v>Validity &amp; Readiness</v>
      </c>
      <c r="C523" t="str" s="14" cm="1">
        <f t="array" ref="C523">'Question_Bank'!D523</f>
        <v>Validity</v>
      </c>
      <c r="D523" t="str" s="14" cm="1">
        <f t="array" ref="D523">'Question_Bank'!F523</f>
        <v>Likert</v>
      </c>
      <c r="E523" s="172" cm="1">
        <f t="array" ref="E523">'Question_Bank'!L523</f>
        <v>0</v>
      </c>
      <c r="F523" t="str" s="14" cm="1">
        <f t="array" ref="F523">'Question_Bank'!N523</f>
        <v>Yes</v>
      </c>
      <c r="G523" t="str" s="14" cm="1">
        <f t="array" ref="G523">IF(D523="MCQ","Correct=1, Incorrect=0",IF(F523="Yes","Reverse: 6-response","Direct: response score"))</f>
        <v>Reverse: 6-response</v>
      </c>
      <c r="H523" s="15"/>
    </row>
    <row r="524" ht="17.45" customHeight="1">
      <c r="A524" t="str" s="13" cm="1">
        <f t="array" ref="A524">'Question_Bank'!A524</f>
        <v>NPI0520</v>
      </c>
      <c r="B524" t="str" s="14" cm="1">
        <f t="array" ref="B524">'Question_Bank'!C524</f>
        <v>Validity &amp; Readiness</v>
      </c>
      <c r="C524" t="str" s="14" cm="1">
        <f t="array" ref="C524">'Question_Bank'!D524</f>
        <v>Validity</v>
      </c>
      <c r="D524" t="str" s="14" cm="1">
        <f t="array" ref="D524">'Question_Bank'!F524</f>
        <v>Likert</v>
      </c>
      <c r="E524" s="172" cm="1">
        <f t="array" ref="E524">'Question_Bank'!L524</f>
        <v>0</v>
      </c>
      <c r="F524" t="str" s="14" cm="1">
        <f t="array" ref="F524">'Question_Bank'!N524</f>
        <v>No</v>
      </c>
      <c r="G524" t="str" s="14" cm="1">
        <f t="array" ref="G524">IF(D524="MCQ","Correct=1, Incorrect=0",IF(F524="Yes","Reverse: 6-response","Direct: response score"))</f>
        <v>Direct: response score</v>
      </c>
      <c r="H524" s="15"/>
    </row>
    <row r="525" ht="17.45" customHeight="1">
      <c r="A525" t="str" s="13" cm="1">
        <f t="array" ref="A525">'Question_Bank'!A525</f>
        <v>NPI0521</v>
      </c>
      <c r="B525" t="str" s="14" cm="1">
        <f t="array" ref="B525">'Question_Bank'!C525</f>
        <v>Validity &amp; Readiness</v>
      </c>
      <c r="C525" t="str" s="14" cm="1">
        <f t="array" ref="C525">'Question_Bank'!D525</f>
        <v>Validity</v>
      </c>
      <c r="D525" t="str" s="14" cm="1">
        <f t="array" ref="D525">'Question_Bank'!F525</f>
        <v>Likert</v>
      </c>
      <c r="E525" s="172" cm="1">
        <f t="array" ref="E525">'Question_Bank'!L525</f>
        <v>0</v>
      </c>
      <c r="F525" t="str" s="14" cm="1">
        <f t="array" ref="F525">'Question_Bank'!N525</f>
        <v>Yes</v>
      </c>
      <c r="G525" t="str" s="14" cm="1">
        <f t="array" ref="G525">IF(D525="MCQ","Correct=1, Incorrect=0",IF(F525="Yes","Reverse: 6-response","Direct: response score"))</f>
        <v>Reverse: 6-response</v>
      </c>
      <c r="H525" s="15"/>
    </row>
    <row r="526" ht="17.45" customHeight="1">
      <c r="A526" t="str" s="13" cm="1">
        <f t="array" ref="A526">'Question_Bank'!A526</f>
        <v>NPI0522</v>
      </c>
      <c r="B526" t="str" s="14" cm="1">
        <f t="array" ref="B526">'Question_Bank'!C526</f>
        <v>Validity &amp; Readiness</v>
      </c>
      <c r="C526" t="str" s="14" cm="1">
        <f t="array" ref="C526">'Question_Bank'!D526</f>
        <v>Validity</v>
      </c>
      <c r="D526" t="str" s="14" cm="1">
        <f t="array" ref="D526">'Question_Bank'!F526</f>
        <v>Likert</v>
      </c>
      <c r="E526" s="172" cm="1">
        <f t="array" ref="E526">'Question_Bank'!L526</f>
        <v>0</v>
      </c>
      <c r="F526" t="str" s="14" cm="1">
        <f t="array" ref="F526">'Question_Bank'!N526</f>
        <v>No</v>
      </c>
      <c r="G526" t="str" s="14" cm="1">
        <f t="array" ref="G526">IF(D526="MCQ","Correct=1, Incorrect=0",IF(F526="Yes","Reverse: 6-response","Direct: response score"))</f>
        <v>Direct: response score</v>
      </c>
      <c r="H526" s="15"/>
    </row>
    <row r="527" ht="17.45" customHeight="1">
      <c r="A527" t="str" s="13" cm="1">
        <f t="array" ref="A527">'Question_Bank'!A527</f>
        <v>NPI0523</v>
      </c>
      <c r="B527" t="str" s="14" cm="1">
        <f t="array" ref="B527">'Question_Bank'!C527</f>
        <v>Validity &amp; Readiness</v>
      </c>
      <c r="C527" t="str" s="14" cm="1">
        <f t="array" ref="C527">'Question_Bank'!D527</f>
        <v>Validity</v>
      </c>
      <c r="D527" t="str" s="14" cm="1">
        <f t="array" ref="D527">'Question_Bank'!F527</f>
        <v>Likert</v>
      </c>
      <c r="E527" s="172" cm="1">
        <f t="array" ref="E527">'Question_Bank'!L527</f>
        <v>0</v>
      </c>
      <c r="F527" t="str" s="14" cm="1">
        <f t="array" ref="F527">'Question_Bank'!N527</f>
        <v>Yes</v>
      </c>
      <c r="G527" t="str" s="14" cm="1">
        <f t="array" ref="G527">IF(D527="MCQ","Correct=1, Incorrect=0",IF(F527="Yes","Reverse: 6-response","Direct: response score"))</f>
        <v>Reverse: 6-response</v>
      </c>
      <c r="H527" s="15"/>
    </row>
    <row r="528" ht="17.45" customHeight="1">
      <c r="A528" t="str" s="13" cm="1">
        <f t="array" ref="A528">'Question_Bank'!A528</f>
        <v>NPI0524</v>
      </c>
      <c r="B528" t="str" s="14" cm="1">
        <f t="array" ref="B528">'Question_Bank'!C528</f>
        <v>Validity &amp; Readiness</v>
      </c>
      <c r="C528" t="str" s="14" cm="1">
        <f t="array" ref="C528">'Question_Bank'!D528</f>
        <v>Validity</v>
      </c>
      <c r="D528" t="str" s="14" cm="1">
        <f t="array" ref="D528">'Question_Bank'!F528</f>
        <v>Likert</v>
      </c>
      <c r="E528" s="172" cm="1">
        <f t="array" ref="E528">'Question_Bank'!L528</f>
        <v>0</v>
      </c>
      <c r="F528" t="str" s="14" cm="1">
        <f t="array" ref="F528">'Question_Bank'!N528</f>
        <v>No</v>
      </c>
      <c r="G528" t="str" s="14" cm="1">
        <f t="array" ref="G528">IF(D528="MCQ","Correct=1, Incorrect=0",IF(F528="Yes","Reverse: 6-response","Direct: response score"))</f>
        <v>Direct: response score</v>
      </c>
      <c r="H528" s="15"/>
    </row>
    <row r="529" ht="17.45" customHeight="1">
      <c r="A529" t="str" s="173" cm="1">
        <f t="array" ref="A529">'Question_Bank'!A529</f>
        <v>NPI0525</v>
      </c>
      <c r="B529" t="str" s="164" cm="1">
        <f t="array" ref="B529">'Question_Bank'!C529</f>
        <v>Validity &amp; Readiness</v>
      </c>
      <c r="C529" t="str" s="164" cm="1">
        <f t="array" ref="C529">'Question_Bank'!D529</f>
        <v>Validity</v>
      </c>
      <c r="D529" t="str" s="164" cm="1">
        <f t="array" ref="D529">'Question_Bank'!F529</f>
        <v>Likert</v>
      </c>
      <c r="E529" s="174" cm="1">
        <f t="array" ref="E529">'Question_Bank'!L529</f>
        <v>0</v>
      </c>
      <c r="F529" t="str" s="164" cm="1">
        <f t="array" ref="F529">'Question_Bank'!N529</f>
        <v>No</v>
      </c>
      <c r="G529" t="str" s="164" cm="1">
        <f t="array" ref="G529">IF(D529="MCQ","Correct=1, Incorrect=0",IF(F529="Yes","Reverse: 6-response","Direct: response score"))</f>
        <v>Direct: response score</v>
      </c>
      <c r="H529" s="165"/>
    </row>
  </sheetData>
  <mergeCells count="2">
    <mergeCell ref="A2:H2"/>
    <mergeCell ref="A1:H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H13"/>
  <sheetViews>
    <sheetView workbookViewId="0" showGridLines="0" defaultGridColor="1"/>
  </sheetViews>
  <sheetFormatPr defaultColWidth="8.83333" defaultRowHeight="15" customHeight="1" outlineLevelRow="0" outlineLevelCol="0"/>
  <cols>
    <col min="1" max="1" width="26" style="175" customWidth="1"/>
    <col min="2" max="2" width="110" style="175" customWidth="1"/>
    <col min="3" max="8" width="8.85156" style="175" customWidth="1"/>
    <col min="9" max="16384" width="8.85156" style="175" customWidth="1"/>
  </cols>
  <sheetData>
    <row r="1" ht="18.4" customHeight="1">
      <c r="A1" t="s" s="7">
        <v>3120</v>
      </c>
      <c r="B1" s="8"/>
      <c r="C1" s="8"/>
      <c r="D1" s="8"/>
      <c r="E1" s="8"/>
      <c r="F1" s="8"/>
      <c r="G1" s="8"/>
      <c r="H1" s="9"/>
    </row>
    <row r="2" ht="17.45" customHeight="1">
      <c r="A2" t="s" s="87">
        <v>3121</v>
      </c>
      <c r="B2" s="11"/>
      <c r="C2" s="11"/>
      <c r="D2" s="11"/>
      <c r="E2" s="11"/>
      <c r="F2" s="11"/>
      <c r="G2" s="11"/>
      <c r="H2" s="12"/>
    </row>
    <row r="3" ht="17.45" customHeight="1">
      <c r="A3" s="13"/>
      <c r="B3" s="14"/>
      <c r="C3" s="14"/>
      <c r="D3" s="14"/>
      <c r="E3" s="14"/>
      <c r="F3" s="14"/>
      <c r="G3" s="14"/>
      <c r="H3" s="15"/>
    </row>
    <row r="4" ht="42" customHeight="1">
      <c r="A4" t="s" s="16">
        <v>3122</v>
      </c>
      <c r="B4" t="s" s="17">
        <v>3123</v>
      </c>
      <c r="C4" s="14"/>
      <c r="D4" s="14"/>
      <c r="E4" s="14"/>
      <c r="F4" s="14"/>
      <c r="G4" s="14"/>
      <c r="H4" s="15"/>
    </row>
    <row r="5" ht="42" customHeight="1">
      <c r="A5" t="s" s="16">
        <v>3124</v>
      </c>
      <c r="B5" t="s" s="17">
        <v>3125</v>
      </c>
      <c r="C5" s="14"/>
      <c r="D5" s="14"/>
      <c r="E5" s="14"/>
      <c r="F5" s="14"/>
      <c r="G5" s="14"/>
      <c r="H5" s="15"/>
    </row>
    <row r="6" ht="42" customHeight="1">
      <c r="A6" t="s" s="16">
        <v>3126</v>
      </c>
      <c r="B6" t="s" s="17">
        <v>3127</v>
      </c>
      <c r="C6" s="14"/>
      <c r="D6" s="14"/>
      <c r="E6" s="14"/>
      <c r="F6" s="14"/>
      <c r="G6" s="14"/>
      <c r="H6" s="15"/>
    </row>
    <row r="7" ht="42" customHeight="1">
      <c r="A7" t="s" s="16">
        <v>28</v>
      </c>
      <c r="B7" t="s" s="17">
        <v>3128</v>
      </c>
      <c r="C7" s="14"/>
      <c r="D7" s="14"/>
      <c r="E7" s="14"/>
      <c r="F7" s="14"/>
      <c r="G7" s="14"/>
      <c r="H7" s="15"/>
    </row>
    <row r="8" ht="42" customHeight="1">
      <c r="A8" t="s" s="16">
        <v>104</v>
      </c>
      <c r="B8" t="s" s="17">
        <v>3129</v>
      </c>
      <c r="C8" s="14"/>
      <c r="D8" s="14"/>
      <c r="E8" s="14"/>
      <c r="F8" s="14"/>
      <c r="G8" s="14"/>
      <c r="H8" s="15"/>
    </row>
    <row r="9" ht="42" customHeight="1">
      <c r="A9" t="s" s="16">
        <v>130</v>
      </c>
      <c r="B9" t="s" s="17">
        <v>3130</v>
      </c>
      <c r="C9" s="14"/>
      <c r="D9" s="14"/>
      <c r="E9" s="14"/>
      <c r="F9" s="14"/>
      <c r="G9" s="14"/>
      <c r="H9" s="15"/>
    </row>
    <row r="10" ht="42" customHeight="1">
      <c r="A10" t="s" s="16">
        <v>156</v>
      </c>
      <c r="B10" t="s" s="17">
        <v>3131</v>
      </c>
      <c r="C10" s="14"/>
      <c r="D10" s="14"/>
      <c r="E10" s="14"/>
      <c r="F10" s="14"/>
      <c r="G10" s="14"/>
      <c r="H10" s="15"/>
    </row>
    <row r="11" ht="42" customHeight="1">
      <c r="A11" t="s" s="16">
        <v>3132</v>
      </c>
      <c r="B11" t="s" s="17">
        <v>3133</v>
      </c>
      <c r="C11" s="14"/>
      <c r="D11" s="14"/>
      <c r="E11" s="14"/>
      <c r="F11" s="14"/>
      <c r="G11" s="14"/>
      <c r="H11" s="15"/>
    </row>
    <row r="12" ht="42" customHeight="1">
      <c r="A12" t="s" s="16">
        <v>214</v>
      </c>
      <c r="B12" t="s" s="17">
        <v>3134</v>
      </c>
      <c r="C12" s="14"/>
      <c r="D12" s="14"/>
      <c r="E12" s="14"/>
      <c r="F12" s="14"/>
      <c r="G12" s="14"/>
      <c r="H12" s="15"/>
    </row>
    <row r="13" ht="42" customHeight="1">
      <c r="A13" t="s" s="167">
        <v>3135</v>
      </c>
      <c r="B13" t="s" s="148">
        <v>3136</v>
      </c>
      <c r="C13" s="164"/>
      <c r="D13" s="164"/>
      <c r="E13" s="164"/>
      <c r="F13" s="164"/>
      <c r="G13" s="164"/>
      <c r="H13" s="165"/>
    </row>
  </sheetData>
  <mergeCells count="2">
    <mergeCell ref="A2:H2"/>
    <mergeCell ref="A1:H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dimension ref="A1:H11"/>
  <sheetViews>
    <sheetView workbookViewId="0" showGridLines="0" defaultGridColor="1"/>
  </sheetViews>
  <sheetFormatPr defaultColWidth="8.83333" defaultRowHeight="15" customHeight="1" outlineLevelRow="0" outlineLevelCol="0"/>
  <cols>
    <col min="1" max="1" width="24" style="176" customWidth="1"/>
    <col min="2" max="2" width="28" style="176" customWidth="1"/>
    <col min="3" max="3" width="20" style="176" customWidth="1"/>
    <col min="4" max="4" width="30" style="176" customWidth="1"/>
    <col min="5" max="5" width="55" style="176" customWidth="1"/>
    <col min="6" max="8" width="8.85156" style="176" customWidth="1"/>
    <col min="9" max="16384" width="8.85156" style="176" customWidth="1"/>
  </cols>
  <sheetData>
    <row r="1" ht="18.4" customHeight="1">
      <c r="A1" t="s" s="7">
        <v>3138</v>
      </c>
      <c r="B1" s="8"/>
      <c r="C1" s="8"/>
      <c r="D1" s="8"/>
      <c r="E1" s="8"/>
      <c r="F1" s="8"/>
      <c r="G1" s="8"/>
      <c r="H1" s="9"/>
    </row>
    <row r="2" ht="17.45" customHeight="1">
      <c r="A2" t="s" s="87">
        <v>3139</v>
      </c>
      <c r="B2" s="11"/>
      <c r="C2" s="11"/>
      <c r="D2" s="11"/>
      <c r="E2" s="11"/>
      <c r="F2" s="11"/>
      <c r="G2" s="11"/>
      <c r="H2" s="12"/>
    </row>
    <row r="3" ht="17.95" customHeight="1">
      <c r="A3" s="88"/>
      <c r="B3" s="89"/>
      <c r="C3" s="89"/>
      <c r="D3" s="89"/>
      <c r="E3" s="89"/>
      <c r="F3" s="89"/>
      <c r="G3" s="89"/>
      <c r="H3" s="90"/>
    </row>
    <row r="4" ht="17.95" customHeight="1">
      <c r="A4" t="s" s="155">
        <v>3140</v>
      </c>
      <c r="B4" t="s" s="156">
        <v>3141</v>
      </c>
      <c r="C4" t="s" s="156">
        <v>3142</v>
      </c>
      <c r="D4" t="s" s="156">
        <v>3143</v>
      </c>
      <c r="E4" t="s" s="156">
        <v>3144</v>
      </c>
      <c r="F4" s="158"/>
      <c r="G4" s="158"/>
      <c r="H4" s="159"/>
    </row>
    <row r="5" ht="17.45" customHeight="1">
      <c r="A5" t="s" s="160">
        <v>28</v>
      </c>
      <c r="B5" t="s" s="161">
        <v>3145</v>
      </c>
      <c r="C5" t="s" s="161">
        <v>3146</v>
      </c>
      <c r="D5" t="s" s="161">
        <v>3147</v>
      </c>
      <c r="E5" t="s" s="161">
        <v>3148</v>
      </c>
      <c r="F5" s="14"/>
      <c r="G5" s="14"/>
      <c r="H5" s="15"/>
    </row>
    <row r="6" ht="17.45" customHeight="1">
      <c r="A6" t="s" s="160">
        <v>104</v>
      </c>
      <c r="B6" t="s" s="161">
        <v>3149</v>
      </c>
      <c r="C6" t="s" s="161">
        <v>3150</v>
      </c>
      <c r="D6" t="s" s="161">
        <v>3151</v>
      </c>
      <c r="E6" t="s" s="161">
        <v>3152</v>
      </c>
      <c r="F6" s="14"/>
      <c r="G6" s="14"/>
      <c r="H6" s="15"/>
    </row>
    <row r="7" ht="17.45" customHeight="1">
      <c r="A7" t="s" s="160">
        <v>130</v>
      </c>
      <c r="B7" t="s" s="161">
        <v>3153</v>
      </c>
      <c r="C7" t="s" s="161">
        <v>3154</v>
      </c>
      <c r="D7" t="s" s="161">
        <v>3155</v>
      </c>
      <c r="E7" t="s" s="161">
        <v>3156</v>
      </c>
      <c r="F7" s="14"/>
      <c r="G7" s="14"/>
      <c r="H7" s="15"/>
    </row>
    <row r="8" ht="17.45" customHeight="1">
      <c r="A8" t="s" s="160">
        <v>156</v>
      </c>
      <c r="B8" t="s" s="161">
        <v>3157</v>
      </c>
      <c r="C8" t="s" s="161">
        <v>3154</v>
      </c>
      <c r="D8" t="s" s="161">
        <v>3158</v>
      </c>
      <c r="E8" t="s" s="161">
        <v>3159</v>
      </c>
      <c r="F8" s="14"/>
      <c r="G8" s="14"/>
      <c r="H8" s="15"/>
    </row>
    <row r="9" ht="17.45" customHeight="1">
      <c r="A9" t="s" s="160">
        <v>1353</v>
      </c>
      <c r="B9" t="s" s="161">
        <v>3160</v>
      </c>
      <c r="C9" t="s" s="161">
        <v>3161</v>
      </c>
      <c r="D9" t="s" s="161">
        <v>3162</v>
      </c>
      <c r="E9" t="s" s="161">
        <v>3163</v>
      </c>
      <c r="F9" s="14"/>
      <c r="G9" s="14"/>
      <c r="H9" s="15"/>
    </row>
    <row r="10" ht="17.45" customHeight="1">
      <c r="A10" t="s" s="160">
        <v>3164</v>
      </c>
      <c r="B10" t="s" s="161">
        <v>3165</v>
      </c>
      <c r="C10" t="s" s="161">
        <v>3166</v>
      </c>
      <c r="D10" t="s" s="161">
        <v>3167</v>
      </c>
      <c r="E10" t="s" s="161">
        <v>3168</v>
      </c>
      <c r="F10" s="14"/>
      <c r="G10" s="14"/>
      <c r="H10" s="15"/>
    </row>
    <row r="11" ht="17.45" customHeight="1">
      <c r="A11" t="s" s="163">
        <v>214</v>
      </c>
      <c r="B11" t="s" s="177">
        <v>3169</v>
      </c>
      <c r="C11" t="s" s="177">
        <v>3170</v>
      </c>
      <c r="D11" t="s" s="177">
        <v>3171</v>
      </c>
      <c r="E11" t="s" s="177">
        <v>3172</v>
      </c>
      <c r="F11" s="164"/>
      <c r="G11" s="164"/>
      <c r="H11" s="165"/>
    </row>
  </sheetData>
  <mergeCells count="2">
    <mergeCell ref="A2:H2"/>
    <mergeCell ref="A1:H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